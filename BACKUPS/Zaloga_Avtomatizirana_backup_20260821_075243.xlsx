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KIv38vUa64ybzp68/b3s/WvA5JcRjii18EGzZ7Wc5CYp1f1ukAGTwAzm6JKcenHgMywW48b5tj8IzccE5qrUKA==" workbookSaltValue="LWhV44LJqsuS/qwz51FfRg==" workbookSpinCount="100000"/>
  <bookViews>
    <workbookView visibility="visible" minimized="0" showHorizontalScroll="1" showVerticalScroll="1" showSheetTabs="1" xWindow="1560" yWindow="1560" windowWidth="21600" windowHeight="11385" tabRatio="600" firstSheet="0" activeTab="2" autoFilterDateGrouping="1"/>
  </bookViews>
  <sheets>
    <sheet name="TRENUTNA ZALOGA" sheetId="1" state="visible" r:id="rId1"/>
    <sheet name="PRISPELO" sheetId="2" state="visible" r:id="rId2"/>
    <sheet name="ODPIS" sheetId="3" state="visible" r:id="rId3"/>
    <sheet name="AVGUST 26" sheetId="4" state="visible" r:id="rId4"/>
  </sheets>
  <definedNames>
    <definedName name="_xlnm._FilterDatabase" localSheetId="0" hidden="1">'TRENUTNA ZALOGA'!$A$1:$I$2290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1"/>
    </font>
    <font>
      <name val="Calibri"/>
      <charset val="238"/>
      <family val="2"/>
      <sz val="11"/>
    </font>
    <font>
      <name val="Calibri"/>
      <charset val="238"/>
      <family val="2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E3A8A"/>
        <bgColor rgb="FF1E3A8A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4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</cellXfs>
  <cellStyles count="1">
    <cellStyle name="Navadno" xfId="0" builtinId="0"/>
  </cellStyles>
  <dxfs count="1"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_AVGUST_26" displayName="Tabela_AVGUST_26" ref="A1:L13" headerRowCount="1">
  <autoFilter ref="A1:L13"/>
  <tableColumns count="12">
    <tableColumn id="1" name="Datum"/>
    <tableColumn id="2" name="Tip"/>
    <tableColumn id="3" name="Šifra materiala"/>
    <tableColumn id="4" name="Naziv"/>
    <tableColumn id="5" name="Širina"/>
    <tableColumn id="6" name="Višina"/>
    <tableColumn id="7" name="Gramatura"/>
    <tableColumn id="8" name="Količina"/>
    <tableColumn id="9" name="Št. Dobavnice / DN"/>
    <tableColumn id="10" name="Dobavitelj"/>
    <tableColumn id="11" name="Oseba"/>
    <tableColumn id="12" name="Opom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1"/>
  <sheetViews>
    <sheetView zoomScaleNormal="100" workbookViewId="0">
      <pane ySplit="1" topLeftCell="A158" activePane="bottomLeft" state="frozen"/>
      <selection pane="bottomLeft" activeCell="K169" sqref="K169"/>
    </sheetView>
  </sheetViews>
  <sheetFormatPr baseColWidth="8" defaultRowHeight="15"/>
  <cols>
    <col width="15" customWidth="1" min="1" max="1"/>
    <col width="30" bestFit="1" customWidth="1" min="2" max="2"/>
    <col width="12" bestFit="1" customWidth="1" min="3" max="4"/>
    <col width="12" customWidth="1" min="5" max="5"/>
    <col width="15" customWidth="1" min="6" max="8"/>
    <col width="20" customWidth="1" min="9" max="9"/>
  </cols>
  <sheetData>
    <row r="1">
      <c r="A1" s="1" t="inlineStr">
        <is>
          <t>Šifra materiala</t>
        </is>
      </c>
      <c r="B1" s="1" t="inlineStr">
        <is>
          <t>Naziv materiala</t>
        </is>
      </c>
      <c r="C1" s="1" t="inlineStr">
        <is>
          <t>Širina</t>
        </is>
      </c>
      <c r="D1" s="1" t="inlineStr">
        <is>
          <t>Višina</t>
        </is>
      </c>
      <c r="E1" s="1" t="inlineStr">
        <is>
          <t>Gramatura</t>
        </is>
      </c>
      <c r="F1" s="1" t="inlineStr">
        <is>
          <t>Začetna zaloga</t>
        </is>
      </c>
      <c r="G1" s="1" t="inlineStr">
        <is>
          <t>Prispelo</t>
        </is>
      </c>
      <c r="H1" s="1" t="inlineStr">
        <is>
          <t>Odpis</t>
        </is>
      </c>
      <c r="I1" s="1" t="inlineStr">
        <is>
          <t>TRENUTNA ZALOGA</t>
        </is>
      </c>
    </row>
    <row r="2" customFormat="1" s="5">
      <c r="A2" s="4" t="n">
        <v>112</v>
      </c>
      <c r="B2" s="7" t="inlineStr">
        <is>
          <t xml:space="preserve">Claro silk </t>
        </is>
      </c>
      <c r="C2" s="4" t="n">
        <v>100</v>
      </c>
      <c r="D2" s="4" t="n">
        <v>70</v>
      </c>
      <c r="E2" s="4" t="n">
        <v>90</v>
      </c>
      <c r="F2" s="4" t="n">
        <v>400</v>
      </c>
      <c r="G2" s="4">
        <f>SUMIF(PRISPELO!B:B, A2, PRISPELO!G:G)</f>
        <v/>
      </c>
      <c r="H2" s="4">
        <f>SUMIF(ODPIS!B:B, A2, ODPIS!G:G)</f>
        <v/>
      </c>
      <c r="I2" s="6">
        <f>F2 + G2 - H2</f>
        <v/>
      </c>
    </row>
    <row r="3">
      <c r="A3" t="n">
        <v>114</v>
      </c>
      <c r="B3" t="inlineStr">
        <is>
          <t>Claro silk</t>
        </is>
      </c>
      <c r="C3" t="n">
        <v>90</v>
      </c>
      <c r="D3" t="n">
        <v>64</v>
      </c>
      <c r="E3" t="n">
        <v>90</v>
      </c>
      <c r="F3" t="n">
        <v>0</v>
      </c>
      <c r="G3">
        <f>SUMIF(PRISPELO!B:B, A3, PRISPELO!G:G)</f>
        <v/>
      </c>
      <c r="H3">
        <f>SUMIF(ODPIS!B:B, A3, ODPIS!G:G)</f>
        <v/>
      </c>
      <c r="I3" s="6">
        <f>F3 + G3 - H3</f>
        <v/>
      </c>
    </row>
    <row r="4">
      <c r="A4" t="n">
        <v>117</v>
      </c>
      <c r="B4" t="inlineStr">
        <is>
          <t>Claro silk</t>
        </is>
      </c>
      <c r="C4" t="n">
        <v>64</v>
      </c>
      <c r="D4" t="n">
        <v>90</v>
      </c>
      <c r="E4" t="n">
        <v>90</v>
      </c>
      <c r="F4" t="n">
        <v>0</v>
      </c>
      <c r="G4">
        <f>SUMIF(PRISPELO!B:B, A4, PRISPELO!G:G)</f>
        <v/>
      </c>
      <c r="H4">
        <f>SUMIF(ODPIS!B:B, A4, ODPIS!G:G)</f>
        <v/>
      </c>
      <c r="I4" s="2">
        <f>F4 + G4 - H4</f>
        <v/>
      </c>
    </row>
    <row r="5">
      <c r="A5" t="n">
        <v>118</v>
      </c>
      <c r="B5" t="inlineStr">
        <is>
          <t>Claro silk</t>
        </is>
      </c>
      <c r="C5" t="n">
        <v>70</v>
      </c>
      <c r="D5" t="n">
        <v>100</v>
      </c>
      <c r="E5" t="n">
        <v>90</v>
      </c>
      <c r="F5" t="n">
        <v>0</v>
      </c>
      <c r="G5">
        <f>SUMIF(PRISPELO!B:B, A5, PRISPELO!G:G)</f>
        <v/>
      </c>
      <c r="H5">
        <f>SUMIF(ODPIS!B:B, A5, ODPIS!G:G)</f>
        <v/>
      </c>
      <c r="I5" s="2">
        <f>F5 + G5 - H5</f>
        <v/>
      </c>
    </row>
    <row r="6">
      <c r="A6" t="n">
        <v>119</v>
      </c>
      <c r="B6" t="inlineStr">
        <is>
          <t>Claro silk</t>
        </is>
      </c>
      <c r="C6" t="n">
        <v>70</v>
      </c>
      <c r="D6" t="n">
        <v>100</v>
      </c>
      <c r="E6" t="n">
        <v>115</v>
      </c>
      <c r="F6" t="n">
        <v>0</v>
      </c>
      <c r="G6">
        <f>SUMIF(PRISPELO!B:B, A6, PRISPELO!G:G)</f>
        <v/>
      </c>
      <c r="H6">
        <f>SUMIF(ODPIS!B:B, A6, ODPIS!G:G)</f>
        <v/>
      </c>
      <c r="I6" s="2">
        <f>F6 + G6 - H6</f>
        <v/>
      </c>
    </row>
    <row r="7">
      <c r="A7" t="n">
        <v>125</v>
      </c>
      <c r="B7" t="inlineStr">
        <is>
          <t>Claro silk</t>
        </is>
      </c>
      <c r="C7" t="n">
        <v>100</v>
      </c>
      <c r="D7" t="n">
        <v>70</v>
      </c>
      <c r="E7" t="n">
        <v>100</v>
      </c>
      <c r="F7" t="n">
        <v>0</v>
      </c>
      <c r="G7">
        <f>SUMIF(PRISPELO!B:B, A7, PRISPELO!G:G)</f>
        <v/>
      </c>
      <c r="H7">
        <f>SUMIF(ODPIS!B:B, A7, ODPIS!G:G)</f>
        <v/>
      </c>
      <c r="I7" s="2">
        <f>F7 + G7 - H7</f>
        <v/>
      </c>
    </row>
    <row r="8">
      <c r="A8" t="n">
        <v>128</v>
      </c>
      <c r="B8" t="inlineStr">
        <is>
          <t>Claro silk</t>
        </is>
      </c>
      <c r="C8" t="n">
        <v>90</v>
      </c>
      <c r="D8" t="n">
        <v>64</v>
      </c>
      <c r="E8" t="n">
        <v>100</v>
      </c>
      <c r="F8" t="n">
        <v>0</v>
      </c>
      <c r="G8">
        <f>SUMIF(PRISPELO!B:B, A8, PRISPELO!G:G)</f>
        <v/>
      </c>
      <c r="H8">
        <f>SUMIF(ODPIS!B:B, A8, ODPIS!G:G)</f>
        <v/>
      </c>
      <c r="I8" s="2">
        <f>F8 + G8 - H8</f>
        <v/>
      </c>
    </row>
    <row r="9">
      <c r="A9" t="n">
        <v>135</v>
      </c>
      <c r="B9" t="inlineStr">
        <is>
          <t>Claro silk</t>
        </is>
      </c>
      <c r="C9" t="n">
        <v>64</v>
      </c>
      <c r="D9" t="n">
        <v>90</v>
      </c>
      <c r="E9" t="n">
        <v>100</v>
      </c>
      <c r="F9" t="n">
        <v>0</v>
      </c>
      <c r="G9">
        <f>SUMIF(PRISPELO!B:B, A9, PRISPELO!G:G)</f>
        <v/>
      </c>
      <c r="H9">
        <f>SUMIF(ODPIS!B:B, A9, ODPIS!G:G)</f>
        <v/>
      </c>
      <c r="I9" s="2">
        <f>F9 + G9 - H9</f>
        <v/>
      </c>
    </row>
    <row r="10">
      <c r="A10" t="n">
        <v>138</v>
      </c>
      <c r="B10" t="inlineStr">
        <is>
          <t>Claro silk</t>
        </is>
      </c>
      <c r="C10" t="n">
        <v>90</v>
      </c>
      <c r="D10" t="n">
        <v>64</v>
      </c>
      <c r="E10" t="n">
        <v>115</v>
      </c>
      <c r="F10" t="n">
        <v>0</v>
      </c>
      <c r="G10">
        <f>SUMIF(PRISPELO!B:B, A10, PRISPELO!G:G)</f>
        <v/>
      </c>
      <c r="H10">
        <f>SUMIF(ODPIS!B:B, A10, ODPIS!G:G)</f>
        <v/>
      </c>
      <c r="I10" s="2">
        <f>F10 + G10 - H10</f>
        <v/>
      </c>
    </row>
    <row r="11">
      <c r="A11" t="n">
        <v>139</v>
      </c>
      <c r="B11" t="inlineStr">
        <is>
          <t>Claro silk</t>
        </is>
      </c>
      <c r="C11" t="n">
        <v>64</v>
      </c>
      <c r="D11" t="n">
        <v>90</v>
      </c>
      <c r="E11" t="n">
        <v>115</v>
      </c>
      <c r="F11" t="n">
        <v>0</v>
      </c>
      <c r="G11">
        <f>SUMIF(PRISPELO!B:B, A11, PRISPELO!G:G)</f>
        <v/>
      </c>
      <c r="H11">
        <f>SUMIF(ODPIS!B:B, A11, ODPIS!G:G)</f>
        <v/>
      </c>
      <c r="I11" s="2">
        <f>F11 + G11 - H11</f>
        <v/>
      </c>
    </row>
    <row r="12">
      <c r="A12" t="n">
        <v>145</v>
      </c>
      <c r="B12" t="inlineStr">
        <is>
          <t>Claro silk</t>
        </is>
      </c>
      <c r="C12" t="n">
        <v>100</v>
      </c>
      <c r="D12" t="n">
        <v>70</v>
      </c>
      <c r="E12" t="n">
        <v>115</v>
      </c>
      <c r="F12" t="n">
        <v>0</v>
      </c>
      <c r="G12">
        <f>SUMIF(PRISPELO!B:B, A12, PRISPELO!G:G)</f>
        <v/>
      </c>
      <c r="H12">
        <f>SUMIF(ODPIS!B:B, A12, ODPIS!G:G)</f>
        <v/>
      </c>
      <c r="I12" s="2">
        <f>F12 + G12 - H12</f>
        <v/>
      </c>
    </row>
    <row r="13">
      <c r="A13" t="n">
        <v>149</v>
      </c>
      <c r="B13" t="inlineStr">
        <is>
          <t>Claro silk</t>
        </is>
      </c>
      <c r="C13" t="n">
        <v>90</v>
      </c>
      <c r="D13" t="n">
        <v>64</v>
      </c>
      <c r="E13" t="n">
        <v>135</v>
      </c>
      <c r="F13" t="n">
        <v>0</v>
      </c>
      <c r="G13">
        <f>SUMIF(PRISPELO!B:B, A13, PRISPELO!G:G)</f>
        <v/>
      </c>
      <c r="H13">
        <f>SUMIF(ODPIS!B:B, A13, ODPIS!G:G)</f>
        <v/>
      </c>
      <c r="I13" s="2">
        <f>F13 + G13 - H13</f>
        <v/>
      </c>
    </row>
    <row r="14">
      <c r="A14" t="n">
        <v>150</v>
      </c>
      <c r="B14" t="inlineStr">
        <is>
          <t>Claro silk</t>
        </is>
      </c>
      <c r="C14" t="n">
        <v>64</v>
      </c>
      <c r="D14" t="n">
        <v>90</v>
      </c>
      <c r="E14" t="n">
        <v>135</v>
      </c>
      <c r="F14" t="n">
        <v>0</v>
      </c>
      <c r="G14">
        <f>SUMIF(PRISPELO!B:B, A14, PRISPELO!G:G)</f>
        <v/>
      </c>
      <c r="H14">
        <f>SUMIF(ODPIS!B:B, A14, ODPIS!G:G)</f>
        <v/>
      </c>
      <c r="I14" s="2">
        <f>F14 + G14 - H14</f>
        <v/>
      </c>
    </row>
    <row r="15">
      <c r="A15" t="n">
        <v>151</v>
      </c>
      <c r="B15" t="inlineStr">
        <is>
          <t>Claro silk</t>
        </is>
      </c>
      <c r="C15" t="n">
        <v>70</v>
      </c>
      <c r="D15" t="n">
        <v>100</v>
      </c>
      <c r="E15" t="n">
        <v>135</v>
      </c>
      <c r="F15" t="n">
        <v>0</v>
      </c>
      <c r="G15">
        <f>SUMIF(PRISPELO!B:B, A15, PRISPELO!G:G)</f>
        <v/>
      </c>
      <c r="H15">
        <f>SUMIF(ODPIS!B:B, A15, ODPIS!G:G)</f>
        <v/>
      </c>
      <c r="I15" s="2">
        <f>F15 + G15 - H15</f>
        <v/>
      </c>
    </row>
    <row r="16">
      <c r="A16" t="n">
        <v>152</v>
      </c>
      <c r="B16" t="inlineStr">
        <is>
          <t>Claro silk</t>
        </is>
      </c>
      <c r="C16" t="n">
        <v>100</v>
      </c>
      <c r="D16" t="n">
        <v>70</v>
      </c>
      <c r="E16" t="n">
        <v>135</v>
      </c>
      <c r="F16" t="n">
        <v>0</v>
      </c>
      <c r="G16">
        <f>SUMIF(PRISPELO!B:B, A16, PRISPELO!G:G)</f>
        <v/>
      </c>
      <c r="H16">
        <f>SUMIF(ODPIS!B:B, A16, ODPIS!G:G)</f>
        <v/>
      </c>
      <c r="I16" s="2">
        <f>F16 + G16 - H16</f>
        <v/>
      </c>
    </row>
    <row r="17">
      <c r="A17" t="n">
        <v>153</v>
      </c>
      <c r="B17" t="inlineStr">
        <is>
          <t>Claro silk</t>
        </is>
      </c>
      <c r="C17" t="n">
        <v>100</v>
      </c>
      <c r="D17" t="n">
        <v>70</v>
      </c>
      <c r="E17" t="n">
        <v>150</v>
      </c>
      <c r="F17" t="n">
        <v>0</v>
      </c>
      <c r="G17">
        <f>SUMIF(PRISPELO!B:B, A17, PRISPELO!G:G)</f>
        <v/>
      </c>
      <c r="H17">
        <f>SUMIF(ODPIS!B:B, A17, ODPIS!G:G)</f>
        <v/>
      </c>
      <c r="I17" s="2">
        <f>F17 + G17 - H17</f>
        <v/>
      </c>
    </row>
    <row r="18">
      <c r="A18" t="n">
        <v>154</v>
      </c>
      <c r="B18" t="inlineStr">
        <is>
          <t>Claro silk</t>
        </is>
      </c>
      <c r="C18" t="n">
        <v>70</v>
      </c>
      <c r="D18" t="n">
        <v>100</v>
      </c>
      <c r="E18" t="n">
        <v>150</v>
      </c>
      <c r="F18" t="n">
        <v>0</v>
      </c>
      <c r="G18">
        <f>SUMIF(PRISPELO!B:B, A18, PRISPELO!G:G)</f>
        <v/>
      </c>
      <c r="H18">
        <f>SUMIF(ODPIS!B:B, A18, ODPIS!G:G)</f>
        <v/>
      </c>
      <c r="I18" s="2">
        <f>F18 + G18 - H18</f>
        <v/>
      </c>
    </row>
    <row r="19">
      <c r="A19" t="n">
        <v>156</v>
      </c>
      <c r="B19" t="inlineStr">
        <is>
          <t>Claro silk</t>
        </is>
      </c>
      <c r="C19" t="n">
        <v>90</v>
      </c>
      <c r="D19" t="n">
        <v>64</v>
      </c>
      <c r="E19" t="n">
        <v>150</v>
      </c>
      <c r="F19" t="n">
        <v>0</v>
      </c>
      <c r="G19">
        <f>SUMIF(PRISPELO!B:B, A19, PRISPELO!G:G)</f>
        <v/>
      </c>
      <c r="H19">
        <f>SUMIF(ODPIS!B:B, A19, ODPIS!G:G)</f>
        <v/>
      </c>
      <c r="I19" s="2">
        <f>F19 + G19 - H19</f>
        <v/>
      </c>
    </row>
    <row r="20">
      <c r="A20" t="n">
        <v>161</v>
      </c>
      <c r="B20" t="inlineStr">
        <is>
          <t>Claro silk</t>
        </is>
      </c>
      <c r="C20" t="n">
        <v>70</v>
      </c>
      <c r="D20" t="n">
        <v>100</v>
      </c>
      <c r="E20" t="n">
        <v>170</v>
      </c>
      <c r="F20" t="n">
        <v>0</v>
      </c>
      <c r="G20">
        <f>SUMIF(PRISPELO!B:B, A20, PRISPELO!G:G)</f>
        <v/>
      </c>
      <c r="H20">
        <f>SUMIF(ODPIS!B:B, A20, ODPIS!G:G)</f>
        <v/>
      </c>
      <c r="I20" s="2">
        <f>F20 + G20 - H20</f>
        <v/>
      </c>
    </row>
    <row r="21">
      <c r="A21" t="n">
        <v>162</v>
      </c>
      <c r="B21" t="inlineStr">
        <is>
          <t>CLARO BULK</t>
        </is>
      </c>
      <c r="C21" t="n">
        <v>100</v>
      </c>
      <c r="D21" t="n">
        <v>70</v>
      </c>
      <c r="E21" t="n">
        <v>170</v>
      </c>
      <c r="F21" t="n">
        <v>0</v>
      </c>
      <c r="G21">
        <f>SUMIF(PRISPELO!B:B, A21, PRISPELO!G:G)</f>
        <v/>
      </c>
      <c r="H21">
        <f>SUMIF(ODPIS!B:B, A21, ODPIS!G:G)</f>
        <v/>
      </c>
      <c r="I21" s="2">
        <f>F21 + G21 - H21</f>
        <v/>
      </c>
    </row>
    <row r="22">
      <c r="A22" t="n">
        <v>165</v>
      </c>
      <c r="B22" t="inlineStr">
        <is>
          <t>Claro silk</t>
        </is>
      </c>
      <c r="C22" t="n">
        <v>100</v>
      </c>
      <c r="D22" t="n">
        <v>70</v>
      </c>
      <c r="E22" t="n">
        <v>200</v>
      </c>
      <c r="F22" t="n">
        <v>0</v>
      </c>
      <c r="G22">
        <f>SUMIF(PRISPELO!B:B, A22, PRISPELO!G:G)</f>
        <v/>
      </c>
      <c r="H22">
        <f>SUMIF(ODPIS!B:B, A22, ODPIS!G:G)</f>
        <v/>
      </c>
      <c r="I22" s="2">
        <f>F22 + G22 - H22</f>
        <v/>
      </c>
    </row>
    <row r="23">
      <c r="A23" t="n">
        <v>166</v>
      </c>
      <c r="B23" t="inlineStr">
        <is>
          <t>Claro silk</t>
        </is>
      </c>
      <c r="C23" t="n">
        <v>70</v>
      </c>
      <c r="D23" t="n">
        <v>100</v>
      </c>
      <c r="E23" t="n">
        <v>200</v>
      </c>
      <c r="F23" t="n">
        <v>0</v>
      </c>
      <c r="G23">
        <f>SUMIF(PRISPELO!B:B, A23, PRISPELO!G:G)</f>
        <v/>
      </c>
      <c r="H23">
        <f>SUMIF(ODPIS!B:B, A23, ODPIS!G:G)</f>
        <v/>
      </c>
      <c r="I23" s="2">
        <f>F23 + G23 - H23</f>
        <v/>
      </c>
    </row>
    <row r="24">
      <c r="A24" t="n">
        <v>168</v>
      </c>
      <c r="B24" t="inlineStr">
        <is>
          <t>Claro silk</t>
        </is>
      </c>
      <c r="C24" t="n">
        <v>64</v>
      </c>
      <c r="D24" t="n">
        <v>90</v>
      </c>
      <c r="E24" t="n">
        <v>200</v>
      </c>
      <c r="F24" t="n">
        <v>0</v>
      </c>
      <c r="G24">
        <f>SUMIF(PRISPELO!B:B, A24, PRISPELO!G:G)</f>
        <v/>
      </c>
      <c r="H24">
        <f>SUMIF(ODPIS!B:B, A24, ODPIS!G:G)</f>
        <v/>
      </c>
      <c r="I24" s="2">
        <f>F24 + G24 - H24</f>
        <v/>
      </c>
    </row>
    <row r="25">
      <c r="A25" t="n">
        <v>169</v>
      </c>
      <c r="B25" t="inlineStr">
        <is>
          <t>Claro silk</t>
        </is>
      </c>
      <c r="C25" t="n">
        <v>90</v>
      </c>
      <c r="D25" t="n">
        <v>64</v>
      </c>
      <c r="E25" t="n">
        <v>200</v>
      </c>
      <c r="F25" t="n">
        <v>0</v>
      </c>
      <c r="G25">
        <f>SUMIF(PRISPELO!B:B, A25, PRISPELO!G:G)</f>
        <v/>
      </c>
      <c r="H25">
        <f>SUMIF(ODPIS!B:B, A25, ODPIS!G:G)</f>
        <v/>
      </c>
      <c r="I25" s="2">
        <f>F25 + G25 - H25</f>
        <v/>
      </c>
    </row>
    <row r="26">
      <c r="A26" t="n">
        <v>172</v>
      </c>
      <c r="B26" t="inlineStr">
        <is>
          <t>Claro silk</t>
        </is>
      </c>
      <c r="C26" t="n">
        <v>70</v>
      </c>
      <c r="D26" t="n">
        <v>100</v>
      </c>
      <c r="E26" t="n">
        <v>250</v>
      </c>
      <c r="F26" t="n">
        <v>0</v>
      </c>
      <c r="G26">
        <f>SUMIF(PRISPELO!B:B, A26, PRISPELO!G:G)</f>
        <v/>
      </c>
      <c r="H26">
        <f>SUMIF(ODPIS!B:B, A26, ODPIS!G:G)</f>
        <v/>
      </c>
      <c r="I26" s="2">
        <f>F26 + G26 - H26</f>
        <v/>
      </c>
    </row>
    <row r="27">
      <c r="A27" t="n">
        <v>173</v>
      </c>
      <c r="B27" t="inlineStr">
        <is>
          <t>Claro silk</t>
        </is>
      </c>
      <c r="C27" t="n">
        <v>100</v>
      </c>
      <c r="D27" t="n">
        <v>70</v>
      </c>
      <c r="E27" t="n">
        <v>250</v>
      </c>
      <c r="F27" t="n">
        <v>0</v>
      </c>
      <c r="G27">
        <f>SUMIF(PRISPELO!B:B, A27, PRISPELO!G:G)</f>
        <v/>
      </c>
      <c r="H27">
        <f>SUMIF(ODPIS!B:B, A27, ODPIS!G:G)</f>
        <v/>
      </c>
      <c r="I27" s="2">
        <f>F27 + G27 - H27</f>
        <v/>
      </c>
    </row>
    <row r="28">
      <c r="A28" t="n">
        <v>176</v>
      </c>
      <c r="B28" t="inlineStr">
        <is>
          <t>Claro silk</t>
        </is>
      </c>
      <c r="C28" t="n">
        <v>90</v>
      </c>
      <c r="D28" t="n">
        <v>64</v>
      </c>
      <c r="E28" t="n">
        <v>250</v>
      </c>
      <c r="F28" t="n">
        <v>0</v>
      </c>
      <c r="G28">
        <f>SUMIF(PRISPELO!B:B, A28, PRISPELO!G:G)</f>
        <v/>
      </c>
      <c r="H28">
        <f>SUMIF(ODPIS!B:B, A28, ODPIS!G:G)</f>
        <v/>
      </c>
      <c r="I28" s="2">
        <f>F28 + G28 - H28</f>
        <v/>
      </c>
    </row>
    <row r="29">
      <c r="A29" t="n">
        <v>177</v>
      </c>
      <c r="B29" t="inlineStr">
        <is>
          <t>Claro silk</t>
        </is>
      </c>
      <c r="C29" t="n">
        <v>64</v>
      </c>
      <c r="D29" t="n">
        <v>90</v>
      </c>
      <c r="E29" t="n">
        <v>250</v>
      </c>
      <c r="F29" t="n">
        <v>0</v>
      </c>
      <c r="G29">
        <f>SUMIF(PRISPELO!B:B, A29, PRISPELO!G:G)</f>
        <v/>
      </c>
      <c r="H29">
        <f>SUMIF(ODPIS!B:B, A29, ODPIS!G:G)</f>
        <v/>
      </c>
      <c r="I29" s="2">
        <f>F29 + G29 - H29</f>
        <v/>
      </c>
    </row>
    <row r="30">
      <c r="A30" t="n">
        <v>178</v>
      </c>
      <c r="B30" t="inlineStr">
        <is>
          <t>Claro silk</t>
        </is>
      </c>
      <c r="C30" t="n">
        <v>100</v>
      </c>
      <c r="D30" t="n">
        <v>70</v>
      </c>
      <c r="E30" t="n">
        <v>300</v>
      </c>
      <c r="F30" t="n">
        <v>0</v>
      </c>
      <c r="G30">
        <f>SUMIF(PRISPELO!B:B, A30, PRISPELO!G:G)</f>
        <v/>
      </c>
      <c r="H30">
        <f>SUMIF(ODPIS!B:B, A30, ODPIS!G:G)</f>
        <v/>
      </c>
      <c r="I30" s="2">
        <f>F30 + G30 - H30</f>
        <v/>
      </c>
    </row>
    <row r="31">
      <c r="A31" t="n">
        <v>179</v>
      </c>
      <c r="B31" t="inlineStr">
        <is>
          <t>Claro silk</t>
        </is>
      </c>
      <c r="C31" t="n">
        <v>70</v>
      </c>
      <c r="D31" t="n">
        <v>100</v>
      </c>
      <c r="E31" t="n">
        <v>300</v>
      </c>
      <c r="F31" t="n">
        <v>0</v>
      </c>
      <c r="G31">
        <f>SUMIF(PRISPELO!B:B, A31, PRISPELO!G:G)</f>
        <v/>
      </c>
      <c r="H31">
        <f>SUMIF(ODPIS!B:B, A31, ODPIS!G:G)</f>
        <v/>
      </c>
      <c r="I31" s="2">
        <f>F31 + G31 - H31</f>
        <v/>
      </c>
    </row>
    <row r="32">
      <c r="A32" t="n">
        <v>180</v>
      </c>
      <c r="B32" t="inlineStr">
        <is>
          <t>Claro silk</t>
        </is>
      </c>
      <c r="C32" t="n">
        <v>64</v>
      </c>
      <c r="D32" t="n">
        <v>90</v>
      </c>
      <c r="E32" t="n">
        <v>300</v>
      </c>
      <c r="F32" t="n">
        <v>0</v>
      </c>
      <c r="G32">
        <f>SUMIF(PRISPELO!B:B, A32, PRISPELO!G:G)</f>
        <v/>
      </c>
      <c r="H32">
        <f>SUMIF(ODPIS!B:B, A32, ODPIS!G:G)</f>
        <v/>
      </c>
      <c r="I32" s="2">
        <f>F32 + G32 - H32</f>
        <v/>
      </c>
    </row>
    <row r="33">
      <c r="A33" t="n">
        <v>181</v>
      </c>
      <c r="B33" t="inlineStr">
        <is>
          <t>Claro silk</t>
        </is>
      </c>
      <c r="C33" t="n">
        <v>90</v>
      </c>
      <c r="D33" t="n">
        <v>64</v>
      </c>
      <c r="E33" t="n">
        <v>300</v>
      </c>
      <c r="F33" t="n">
        <v>0</v>
      </c>
      <c r="G33">
        <f>SUMIF(PRISPELO!B:B, A33, PRISPELO!G:G)</f>
        <v/>
      </c>
      <c r="H33">
        <f>SUMIF(ODPIS!B:B, A33, ODPIS!G:G)</f>
        <v/>
      </c>
      <c r="I33" s="2">
        <f>F33 + G33 - H33</f>
        <v/>
      </c>
    </row>
    <row r="34">
      <c r="A34" t="n">
        <v>185</v>
      </c>
      <c r="B34" t="inlineStr">
        <is>
          <t>Claro silk</t>
        </is>
      </c>
      <c r="C34" t="n">
        <v>70</v>
      </c>
      <c r="D34" t="n">
        <v>100</v>
      </c>
      <c r="E34" t="n">
        <v>350</v>
      </c>
      <c r="F34" t="n">
        <v>0</v>
      </c>
      <c r="G34">
        <f>SUMIF(PRISPELO!B:B, A34, PRISPELO!G:G)</f>
        <v/>
      </c>
      <c r="H34">
        <f>SUMIF(ODPIS!B:B, A34, ODPIS!G:G)</f>
        <v/>
      </c>
      <c r="I34" s="2">
        <f>F34 + G34 - H34</f>
        <v/>
      </c>
    </row>
    <row r="35">
      <c r="A35" t="n">
        <v>190</v>
      </c>
      <c r="B35" t="inlineStr">
        <is>
          <t>Claro silk</t>
        </is>
      </c>
      <c r="C35" t="n">
        <v>100</v>
      </c>
      <c r="D35" t="n">
        <v>70</v>
      </c>
      <c r="E35" t="n">
        <v>350</v>
      </c>
      <c r="F35" t="n">
        <v>0</v>
      </c>
      <c r="G35">
        <f>SUMIF(PRISPELO!B:B, A35, PRISPELO!G:G)</f>
        <v/>
      </c>
      <c r="H35">
        <f>SUMIF(ODPIS!B:B, A35, ODPIS!G:G)</f>
        <v/>
      </c>
      <c r="I35" s="2">
        <f>F35 + G35 - H35</f>
        <v/>
      </c>
    </row>
    <row r="36">
      <c r="A36" t="n">
        <v>191</v>
      </c>
      <c r="B36" t="inlineStr">
        <is>
          <t>Claro glos</t>
        </is>
      </c>
      <c r="C36" t="n">
        <v>70</v>
      </c>
      <c r="D36" t="n">
        <v>100</v>
      </c>
      <c r="E36" t="n">
        <v>90</v>
      </c>
      <c r="F36" t="n">
        <v>0</v>
      </c>
      <c r="G36">
        <f>SUMIF(PRISPELO!B:B, A36, PRISPELO!G:G)</f>
        <v/>
      </c>
      <c r="H36">
        <f>SUMIF(ODPIS!B:B, A36, ODPIS!G:G)</f>
        <v/>
      </c>
      <c r="I36" s="2">
        <f>F36 + G36 - H36</f>
        <v/>
      </c>
    </row>
    <row r="37">
      <c r="A37" t="n">
        <v>192</v>
      </c>
      <c r="B37" t="inlineStr">
        <is>
          <t>Claro glos</t>
        </is>
      </c>
      <c r="C37" t="n">
        <v>100</v>
      </c>
      <c r="D37" t="n">
        <v>70</v>
      </c>
      <c r="E37" t="n">
        <v>90</v>
      </c>
      <c r="F37" t="n">
        <v>0</v>
      </c>
      <c r="G37">
        <f>SUMIF(PRISPELO!B:B, A37, PRISPELO!G:G)</f>
        <v/>
      </c>
      <c r="H37">
        <f>SUMIF(ODPIS!B:B, A37, ODPIS!G:G)</f>
        <v/>
      </c>
      <c r="I37" s="2">
        <f>F37 + G37 - H37</f>
        <v/>
      </c>
    </row>
    <row r="38">
      <c r="A38" t="n">
        <v>193</v>
      </c>
      <c r="B38" t="inlineStr">
        <is>
          <t>Claro glos</t>
        </is>
      </c>
      <c r="C38" t="n">
        <v>64</v>
      </c>
      <c r="D38" t="n">
        <v>90</v>
      </c>
      <c r="E38" t="n">
        <v>90</v>
      </c>
      <c r="F38" t="n">
        <v>0</v>
      </c>
      <c r="G38">
        <f>SUMIF(PRISPELO!B:B, A38, PRISPELO!G:G)</f>
        <v/>
      </c>
      <c r="H38">
        <f>SUMIF(ODPIS!B:B, A38, ODPIS!G:G)</f>
        <v/>
      </c>
      <c r="I38" s="2">
        <f>F38 + G38 - H38</f>
        <v/>
      </c>
    </row>
    <row r="39">
      <c r="A39" t="n">
        <v>194</v>
      </c>
      <c r="B39" t="inlineStr">
        <is>
          <t>Claro glos</t>
        </is>
      </c>
      <c r="C39" t="n">
        <v>90</v>
      </c>
      <c r="D39" t="n">
        <v>64</v>
      </c>
      <c r="E39" t="n">
        <v>90</v>
      </c>
      <c r="F39" t="n">
        <v>0</v>
      </c>
      <c r="G39">
        <f>SUMIF(PRISPELO!B:B, A39, PRISPELO!G:G)</f>
        <v/>
      </c>
      <c r="H39">
        <f>SUMIF(ODPIS!B:B, A39, ODPIS!G:G)</f>
        <v/>
      </c>
      <c r="I39" s="2">
        <f>F39 + G39 - H39</f>
        <v/>
      </c>
    </row>
    <row r="40">
      <c r="A40" t="n">
        <v>199</v>
      </c>
      <c r="B40" t="inlineStr">
        <is>
          <t>Claro glos</t>
        </is>
      </c>
      <c r="C40" t="n">
        <v>64</v>
      </c>
      <c r="D40" t="n">
        <v>90</v>
      </c>
      <c r="E40" t="n">
        <v>100</v>
      </c>
      <c r="F40" t="n">
        <v>0</v>
      </c>
      <c r="G40">
        <f>SUMIF(PRISPELO!B:B, A40, PRISPELO!G:G)</f>
        <v/>
      </c>
      <c r="H40">
        <f>SUMIF(ODPIS!B:B, A40, ODPIS!G:G)</f>
        <v/>
      </c>
      <c r="I40" s="2">
        <f>F40 + G40 - H40</f>
        <v/>
      </c>
    </row>
    <row r="41">
      <c r="A41" t="n">
        <v>200</v>
      </c>
      <c r="B41" t="inlineStr">
        <is>
          <t>Claro glos</t>
        </is>
      </c>
      <c r="C41" t="n">
        <v>90</v>
      </c>
      <c r="D41" t="n">
        <v>64</v>
      </c>
      <c r="E41" t="n">
        <v>100</v>
      </c>
      <c r="F41" t="n">
        <v>0</v>
      </c>
      <c r="G41">
        <f>SUMIF(PRISPELO!B:B, A41, PRISPELO!G:G)</f>
        <v/>
      </c>
      <c r="H41">
        <f>SUMIF(ODPIS!B:B, A41, ODPIS!G:G)</f>
        <v/>
      </c>
      <c r="I41" s="2">
        <f>F41 + G41 - H41</f>
        <v/>
      </c>
    </row>
    <row r="42">
      <c r="A42" t="n">
        <v>201</v>
      </c>
      <c r="B42" t="inlineStr">
        <is>
          <t>Claro glos</t>
        </is>
      </c>
      <c r="C42" t="n">
        <v>100</v>
      </c>
      <c r="D42" t="n">
        <v>70</v>
      </c>
      <c r="E42" t="n">
        <v>100</v>
      </c>
      <c r="F42" t="n">
        <v>0</v>
      </c>
      <c r="G42">
        <f>SUMIF(PRISPELO!B:B, A42, PRISPELO!G:G)</f>
        <v/>
      </c>
      <c r="H42">
        <f>SUMIF(ODPIS!B:B, A42, ODPIS!G:G)</f>
        <v/>
      </c>
      <c r="I42" s="2">
        <f>F42 + G42 - H42</f>
        <v/>
      </c>
    </row>
    <row r="43">
      <c r="A43" t="n">
        <v>202</v>
      </c>
      <c r="B43" t="inlineStr">
        <is>
          <t>Claro glos</t>
        </is>
      </c>
      <c r="C43" t="n">
        <v>70</v>
      </c>
      <c r="D43" t="n">
        <v>100</v>
      </c>
      <c r="E43" t="n">
        <v>100</v>
      </c>
      <c r="F43" t="n">
        <v>0</v>
      </c>
      <c r="G43">
        <f>SUMIF(PRISPELO!B:B, A43, PRISPELO!G:G)</f>
        <v/>
      </c>
      <c r="H43">
        <f>SUMIF(ODPIS!B:B, A43, ODPIS!G:G)</f>
        <v/>
      </c>
      <c r="I43" s="2">
        <f>F43 + G43 - H43</f>
        <v/>
      </c>
    </row>
    <row r="44">
      <c r="A44" t="n">
        <v>203</v>
      </c>
      <c r="B44" t="inlineStr">
        <is>
          <t>Claro silk</t>
        </is>
      </c>
      <c r="C44" t="n">
        <v>70</v>
      </c>
      <c r="D44" t="n">
        <v>100</v>
      </c>
      <c r="E44" t="n">
        <v>100</v>
      </c>
      <c r="F44" t="n">
        <v>0</v>
      </c>
      <c r="G44">
        <f>SUMIF(PRISPELO!B:B, A44, PRISPELO!G:G)</f>
        <v/>
      </c>
      <c r="H44">
        <f>SUMIF(ODPIS!B:B, A44, ODPIS!G:G)</f>
        <v/>
      </c>
      <c r="I44" s="2">
        <f>F44 + G44 - H44</f>
        <v/>
      </c>
    </row>
    <row r="45">
      <c r="A45" t="n">
        <v>206</v>
      </c>
      <c r="B45" t="inlineStr">
        <is>
          <t>Claro glos</t>
        </is>
      </c>
      <c r="C45" t="n">
        <v>64</v>
      </c>
      <c r="D45" t="n">
        <v>90</v>
      </c>
      <c r="E45" t="n">
        <v>115</v>
      </c>
      <c r="F45" t="n">
        <v>0</v>
      </c>
      <c r="G45">
        <f>SUMIF(PRISPELO!B:B, A45, PRISPELO!G:G)</f>
        <v/>
      </c>
      <c r="H45">
        <f>SUMIF(ODPIS!B:B, A45, ODPIS!G:G)</f>
        <v/>
      </c>
      <c r="I45" s="2">
        <f>F45 + G45 - H45</f>
        <v/>
      </c>
    </row>
    <row r="46">
      <c r="A46" t="n">
        <v>207</v>
      </c>
      <c r="B46" t="inlineStr">
        <is>
          <t>Claro glos</t>
        </is>
      </c>
      <c r="C46" t="n">
        <v>90</v>
      </c>
      <c r="D46" t="n">
        <v>64</v>
      </c>
      <c r="E46" t="n">
        <v>115</v>
      </c>
      <c r="F46" t="n">
        <v>0</v>
      </c>
      <c r="G46">
        <f>SUMIF(PRISPELO!B:B, A46, PRISPELO!G:G)</f>
        <v/>
      </c>
      <c r="H46">
        <f>SUMIF(ODPIS!B:B, A46, ODPIS!G:G)</f>
        <v/>
      </c>
      <c r="I46" s="2">
        <f>F46 + G46 - H46</f>
        <v/>
      </c>
    </row>
    <row r="47">
      <c r="A47" t="n">
        <v>209</v>
      </c>
      <c r="B47" t="inlineStr">
        <is>
          <t>Claro glos</t>
        </is>
      </c>
      <c r="C47" t="n">
        <v>100</v>
      </c>
      <c r="D47" t="n">
        <v>70</v>
      </c>
      <c r="E47" t="n">
        <v>115</v>
      </c>
      <c r="F47" t="n">
        <v>0</v>
      </c>
      <c r="G47">
        <f>SUMIF(PRISPELO!B:B, A47, PRISPELO!G:G)</f>
        <v/>
      </c>
      <c r="H47">
        <f>SUMIF(ODPIS!B:B, A47, ODPIS!G:G)</f>
        <v/>
      </c>
      <c r="I47" s="2">
        <f>F47 + G47 - H47</f>
        <v/>
      </c>
    </row>
    <row r="48">
      <c r="A48" t="n">
        <v>212</v>
      </c>
      <c r="B48" t="inlineStr">
        <is>
          <t>Claro glos</t>
        </is>
      </c>
      <c r="C48" t="n">
        <v>64</v>
      </c>
      <c r="D48" t="n">
        <v>90</v>
      </c>
      <c r="E48" t="n">
        <v>135</v>
      </c>
      <c r="F48" t="n">
        <v>0</v>
      </c>
      <c r="G48">
        <f>SUMIF(PRISPELO!B:B, A48, PRISPELO!G:G)</f>
        <v/>
      </c>
      <c r="H48">
        <f>SUMIF(ODPIS!B:B, A48, ODPIS!G:G)</f>
        <v/>
      </c>
      <c r="I48" s="2">
        <f>F48 + G48 - H48</f>
        <v/>
      </c>
    </row>
    <row r="49">
      <c r="A49" t="n">
        <v>213</v>
      </c>
      <c r="B49" t="inlineStr">
        <is>
          <t>Claro glos</t>
        </is>
      </c>
      <c r="C49" t="n">
        <v>90</v>
      </c>
      <c r="D49" t="n">
        <v>64</v>
      </c>
      <c r="E49" t="n">
        <v>135</v>
      </c>
      <c r="F49" t="n">
        <v>0</v>
      </c>
      <c r="G49">
        <f>SUMIF(PRISPELO!B:B, A49, PRISPELO!G:G)</f>
        <v/>
      </c>
      <c r="H49">
        <f>SUMIF(ODPIS!B:B, A49, ODPIS!G:G)</f>
        <v/>
      </c>
      <c r="I49" s="2">
        <f>F49 + G49 - H49</f>
        <v/>
      </c>
    </row>
    <row r="50">
      <c r="A50" t="n">
        <v>214</v>
      </c>
      <c r="B50" t="inlineStr">
        <is>
          <t>Claro glos</t>
        </is>
      </c>
      <c r="C50" t="n">
        <v>70</v>
      </c>
      <c r="D50" t="n">
        <v>100</v>
      </c>
      <c r="E50" t="n">
        <v>135</v>
      </c>
      <c r="F50" t="n">
        <v>0</v>
      </c>
      <c r="G50">
        <f>SUMIF(PRISPELO!B:B, A50, PRISPELO!G:G)</f>
        <v/>
      </c>
      <c r="H50">
        <f>SUMIF(ODPIS!B:B, A50, ODPIS!G:G)</f>
        <v/>
      </c>
      <c r="I50" s="2">
        <f>F50 + G50 - H50</f>
        <v/>
      </c>
    </row>
    <row r="51">
      <c r="A51" t="n">
        <v>215</v>
      </c>
      <c r="B51" t="inlineStr">
        <is>
          <t>Claro glos</t>
        </is>
      </c>
      <c r="C51" t="n">
        <v>100</v>
      </c>
      <c r="D51" t="n">
        <v>70</v>
      </c>
      <c r="E51" t="n">
        <v>135</v>
      </c>
      <c r="F51" t="n">
        <v>0</v>
      </c>
      <c r="G51">
        <f>SUMIF(PRISPELO!B:B, A51, PRISPELO!G:G)</f>
        <v/>
      </c>
      <c r="H51">
        <f>SUMIF(ODPIS!B:B, A51, ODPIS!G:G)</f>
        <v/>
      </c>
      <c r="I51" s="2">
        <f>F51 + G51 - H51</f>
        <v/>
      </c>
    </row>
    <row r="52">
      <c r="A52" t="n">
        <v>218</v>
      </c>
      <c r="B52" t="inlineStr">
        <is>
          <t>Claro glos</t>
        </is>
      </c>
      <c r="C52" t="n">
        <v>90</v>
      </c>
      <c r="D52" t="n">
        <v>64</v>
      </c>
      <c r="E52" t="n">
        <v>150</v>
      </c>
      <c r="F52" t="n">
        <v>0</v>
      </c>
      <c r="G52">
        <f>SUMIF(PRISPELO!B:B, A52, PRISPELO!G:G)</f>
        <v/>
      </c>
      <c r="H52">
        <f>SUMIF(ODPIS!B:B, A52, ODPIS!G:G)</f>
        <v/>
      </c>
      <c r="I52" s="2">
        <f>F52 + G52 - H52</f>
        <v/>
      </c>
    </row>
    <row r="53">
      <c r="A53" t="n">
        <v>219</v>
      </c>
      <c r="B53" t="inlineStr">
        <is>
          <t>Claro glos</t>
        </is>
      </c>
      <c r="C53" t="n">
        <v>64</v>
      </c>
      <c r="D53" t="n">
        <v>90</v>
      </c>
      <c r="E53" t="n">
        <v>150</v>
      </c>
      <c r="F53" t="n">
        <v>0</v>
      </c>
      <c r="G53">
        <f>SUMIF(PRISPELO!B:B, A53, PRISPELO!G:G)</f>
        <v/>
      </c>
      <c r="H53">
        <f>SUMIF(ODPIS!B:B, A53, ODPIS!G:G)</f>
        <v/>
      </c>
      <c r="I53" s="2">
        <f>F53 + G53 - H53</f>
        <v/>
      </c>
    </row>
    <row r="54">
      <c r="A54" t="n">
        <v>220</v>
      </c>
      <c r="B54" t="inlineStr">
        <is>
          <t>Claro glos</t>
        </is>
      </c>
      <c r="C54" t="n">
        <v>100</v>
      </c>
      <c r="D54" t="n">
        <v>70</v>
      </c>
      <c r="E54" t="n">
        <v>150</v>
      </c>
      <c r="F54" t="n">
        <v>0</v>
      </c>
      <c r="G54">
        <f>SUMIF(PRISPELO!B:B, A54, PRISPELO!G:G)</f>
        <v/>
      </c>
      <c r="H54">
        <f>SUMIF(ODPIS!B:B, A54, ODPIS!G:G)</f>
        <v/>
      </c>
      <c r="I54" s="2">
        <f>F54 + G54 - H54</f>
        <v/>
      </c>
    </row>
    <row r="55">
      <c r="A55" t="n">
        <v>221</v>
      </c>
      <c r="B55" t="inlineStr">
        <is>
          <t>Claro glos</t>
        </is>
      </c>
      <c r="C55" t="n">
        <v>70</v>
      </c>
      <c r="D55" t="n">
        <v>100</v>
      </c>
      <c r="E55" t="n">
        <v>150</v>
      </c>
      <c r="F55" t="n">
        <v>0</v>
      </c>
      <c r="G55">
        <f>SUMIF(PRISPELO!B:B, A55, PRISPELO!G:G)</f>
        <v/>
      </c>
      <c r="H55">
        <f>SUMIF(ODPIS!B:B, A55, ODPIS!G:G)</f>
        <v/>
      </c>
      <c r="I55" s="2">
        <f>F55 + G55 - H55</f>
        <v/>
      </c>
    </row>
    <row r="56">
      <c r="A56" t="n">
        <v>224</v>
      </c>
      <c r="B56" t="inlineStr">
        <is>
          <t>Claro glos</t>
        </is>
      </c>
      <c r="C56" t="n">
        <v>64</v>
      </c>
      <c r="D56" t="n">
        <v>90</v>
      </c>
      <c r="E56" t="n">
        <v>170</v>
      </c>
      <c r="F56" t="n">
        <v>0</v>
      </c>
      <c r="G56">
        <f>SUMIF(PRISPELO!B:B, A56, PRISPELO!G:G)</f>
        <v/>
      </c>
      <c r="H56">
        <f>SUMIF(ODPIS!B:B, A56, ODPIS!G:G)</f>
        <v/>
      </c>
      <c r="I56" s="2">
        <f>F56 + G56 - H56</f>
        <v/>
      </c>
    </row>
    <row r="57">
      <c r="A57" t="n">
        <v>225</v>
      </c>
      <c r="B57" t="inlineStr">
        <is>
          <t>Quatro silk</t>
        </is>
      </c>
      <c r="C57" t="n">
        <v>90</v>
      </c>
      <c r="D57" t="n">
        <v>64</v>
      </c>
      <c r="E57" t="n">
        <v>150</v>
      </c>
      <c r="F57" t="n">
        <v>0</v>
      </c>
      <c r="G57">
        <f>SUMIF(PRISPELO!B:B, A57, PRISPELO!G:G)</f>
        <v/>
      </c>
      <c r="H57">
        <f>SUMIF(ODPIS!B:B, A57, ODPIS!G:G)</f>
        <v/>
      </c>
      <c r="I57" s="2">
        <f>F57 + G57 - H57</f>
        <v/>
      </c>
    </row>
    <row r="58">
      <c r="A58" t="n">
        <v>226</v>
      </c>
      <c r="B58" t="inlineStr">
        <is>
          <t>Claro glos</t>
        </is>
      </c>
      <c r="C58" t="n">
        <v>70</v>
      </c>
      <c r="D58" t="n">
        <v>100</v>
      </c>
      <c r="E58" t="n">
        <v>170</v>
      </c>
      <c r="F58" t="n">
        <v>0</v>
      </c>
      <c r="G58">
        <f>SUMIF(PRISPELO!B:B, A58, PRISPELO!G:G)</f>
        <v/>
      </c>
      <c r="H58">
        <f>SUMIF(ODPIS!B:B, A58, ODPIS!G:G)</f>
        <v/>
      </c>
      <c r="I58" s="2">
        <f>F58 + G58 - H58</f>
        <v/>
      </c>
    </row>
    <row r="59">
      <c r="A59" t="n">
        <v>227</v>
      </c>
      <c r="B59" t="inlineStr">
        <is>
          <t>Claro glos</t>
        </is>
      </c>
      <c r="C59" t="n">
        <v>100</v>
      </c>
      <c r="D59" t="n">
        <v>70</v>
      </c>
      <c r="E59" t="n">
        <v>170</v>
      </c>
      <c r="F59" t="n">
        <v>0</v>
      </c>
      <c r="G59">
        <f>SUMIF(PRISPELO!B:B, A59, PRISPELO!G:G)</f>
        <v/>
      </c>
      <c r="H59">
        <f>SUMIF(ODPIS!B:B, A59, ODPIS!G:G)</f>
        <v/>
      </c>
      <c r="I59" s="2">
        <f>F59 + G59 - H59</f>
        <v/>
      </c>
    </row>
    <row r="60">
      <c r="A60" t="n">
        <v>228</v>
      </c>
      <c r="B60" t="inlineStr">
        <is>
          <t>Claro glos</t>
        </is>
      </c>
      <c r="C60" t="n">
        <v>64</v>
      </c>
      <c r="D60" t="n">
        <v>90</v>
      </c>
      <c r="E60" t="n">
        <v>200</v>
      </c>
      <c r="F60" t="n">
        <v>0</v>
      </c>
      <c r="G60">
        <f>SUMIF(PRISPELO!B:B, A60, PRISPELO!G:G)</f>
        <v/>
      </c>
      <c r="H60">
        <f>SUMIF(ODPIS!B:B, A60, ODPIS!G:G)</f>
        <v/>
      </c>
      <c r="I60" s="2">
        <f>F60 + G60 - H60</f>
        <v/>
      </c>
    </row>
    <row r="61">
      <c r="A61" t="n">
        <v>233</v>
      </c>
      <c r="B61" t="inlineStr">
        <is>
          <t>Claro glos</t>
        </is>
      </c>
      <c r="C61" t="n">
        <v>100</v>
      </c>
      <c r="D61" t="n">
        <v>70</v>
      </c>
      <c r="E61" t="n">
        <v>200</v>
      </c>
      <c r="F61" t="n">
        <v>0</v>
      </c>
      <c r="G61">
        <f>SUMIF(PRISPELO!B:B, A61, PRISPELO!G:G)</f>
        <v/>
      </c>
      <c r="H61">
        <f>SUMIF(ODPIS!B:B, A61, ODPIS!G:G)</f>
        <v/>
      </c>
      <c r="I61" s="2">
        <f>F61 + G61 - H61</f>
        <v/>
      </c>
    </row>
    <row r="62">
      <c r="A62" t="n">
        <v>234</v>
      </c>
      <c r="B62" t="inlineStr">
        <is>
          <t>Claro glos</t>
        </is>
      </c>
      <c r="C62" t="n">
        <v>70</v>
      </c>
      <c r="D62" t="n">
        <v>100</v>
      </c>
      <c r="E62" t="n">
        <v>200</v>
      </c>
      <c r="F62" t="n">
        <v>0</v>
      </c>
      <c r="G62">
        <f>SUMIF(PRISPELO!B:B, A62, PRISPELO!G:G)</f>
        <v/>
      </c>
      <c r="H62">
        <f>SUMIF(ODPIS!B:B, A62, ODPIS!G:G)</f>
        <v/>
      </c>
      <c r="I62" s="2">
        <f>F62 + G62 - H62</f>
        <v/>
      </c>
    </row>
    <row r="63">
      <c r="A63" t="n">
        <v>237</v>
      </c>
      <c r="B63" t="inlineStr">
        <is>
          <t>Claro glos</t>
        </is>
      </c>
      <c r="C63" t="n">
        <v>100</v>
      </c>
      <c r="D63" t="n">
        <v>70</v>
      </c>
      <c r="E63" t="n">
        <v>250</v>
      </c>
      <c r="F63" t="n">
        <v>0</v>
      </c>
      <c r="G63">
        <f>SUMIF(PRISPELO!B:B, A63, PRISPELO!G:G)</f>
        <v/>
      </c>
      <c r="H63">
        <f>SUMIF(ODPIS!B:B, A63, ODPIS!G:G)</f>
        <v/>
      </c>
      <c r="I63" s="2">
        <f>F63 + G63 - H63</f>
        <v/>
      </c>
    </row>
    <row r="64">
      <c r="A64" t="n">
        <v>239</v>
      </c>
      <c r="B64" t="inlineStr">
        <is>
          <t>Claro glos</t>
        </is>
      </c>
      <c r="C64" t="n">
        <v>64</v>
      </c>
      <c r="D64" t="n">
        <v>90</v>
      </c>
      <c r="E64" t="n">
        <v>250</v>
      </c>
      <c r="F64" t="n">
        <v>0</v>
      </c>
      <c r="G64">
        <f>SUMIF(PRISPELO!B:B, A64, PRISPELO!G:G)</f>
        <v/>
      </c>
      <c r="H64">
        <f>SUMIF(ODPIS!B:B, A64, ODPIS!G:G)</f>
        <v/>
      </c>
      <c r="I64" s="2">
        <f>F64 + G64 - H64</f>
        <v/>
      </c>
    </row>
    <row r="65">
      <c r="A65" t="n">
        <v>240</v>
      </c>
      <c r="B65" t="inlineStr">
        <is>
          <t>Claro glos</t>
        </is>
      </c>
      <c r="C65" t="n">
        <v>90</v>
      </c>
      <c r="D65" t="n">
        <v>64</v>
      </c>
      <c r="E65" t="n">
        <v>250</v>
      </c>
      <c r="F65" t="n">
        <v>0</v>
      </c>
      <c r="G65">
        <f>SUMIF(PRISPELO!B:B, A65, PRISPELO!G:G)</f>
        <v/>
      </c>
      <c r="H65">
        <f>SUMIF(ODPIS!B:B, A65, ODPIS!G:G)</f>
        <v/>
      </c>
      <c r="I65" s="2">
        <f>F65 + G65 - H65</f>
        <v/>
      </c>
    </row>
    <row r="66">
      <c r="A66" t="n">
        <v>241</v>
      </c>
      <c r="B66" t="inlineStr">
        <is>
          <t>Claro glos</t>
        </is>
      </c>
      <c r="C66" t="n">
        <v>64</v>
      </c>
      <c r="D66" t="n">
        <v>90</v>
      </c>
      <c r="E66" t="n">
        <v>300</v>
      </c>
      <c r="F66" t="n">
        <v>0</v>
      </c>
      <c r="G66">
        <f>SUMIF(PRISPELO!B:B, A66, PRISPELO!G:G)</f>
        <v/>
      </c>
      <c r="H66">
        <f>SUMIF(ODPIS!B:B, A66, ODPIS!G:G)</f>
        <v/>
      </c>
      <c r="I66" s="2">
        <f>F66 + G66 - H66</f>
        <v/>
      </c>
    </row>
    <row r="67">
      <c r="A67" t="n">
        <v>242</v>
      </c>
      <c r="B67" t="inlineStr">
        <is>
          <t>Claro glos</t>
        </is>
      </c>
      <c r="C67" t="n">
        <v>90</v>
      </c>
      <c r="D67" t="n">
        <v>64</v>
      </c>
      <c r="E67" t="n">
        <v>300</v>
      </c>
      <c r="F67" t="n">
        <v>0</v>
      </c>
      <c r="G67">
        <f>SUMIF(PRISPELO!B:B, A67, PRISPELO!G:G)</f>
        <v/>
      </c>
      <c r="H67">
        <f>SUMIF(ODPIS!B:B, A67, ODPIS!G:G)</f>
        <v/>
      </c>
      <c r="I67" s="2">
        <f>F67 + G67 - H67</f>
        <v/>
      </c>
    </row>
    <row r="68">
      <c r="A68" t="n">
        <v>245</v>
      </c>
      <c r="B68" t="inlineStr">
        <is>
          <t>Claro glos</t>
        </is>
      </c>
      <c r="C68" t="n">
        <v>100</v>
      </c>
      <c r="D68" t="n">
        <v>70</v>
      </c>
      <c r="E68" t="n">
        <v>300</v>
      </c>
      <c r="F68" t="n">
        <v>0</v>
      </c>
      <c r="G68">
        <f>SUMIF(PRISPELO!B:B, A68, PRISPELO!G:G)</f>
        <v/>
      </c>
      <c r="H68">
        <f>SUMIF(ODPIS!B:B, A68, ODPIS!G:G)</f>
        <v/>
      </c>
      <c r="I68" s="2">
        <f>F68 + G68 - H68</f>
        <v/>
      </c>
    </row>
    <row r="69">
      <c r="A69" t="n">
        <v>246</v>
      </c>
      <c r="B69" t="inlineStr">
        <is>
          <t>Claro glos</t>
        </is>
      </c>
      <c r="C69" t="n">
        <v>70</v>
      </c>
      <c r="D69" t="n">
        <v>100</v>
      </c>
      <c r="E69" t="n">
        <v>300</v>
      </c>
      <c r="F69" t="n">
        <v>0</v>
      </c>
      <c r="G69">
        <f>SUMIF(PRISPELO!B:B, A69, PRISPELO!G:G)</f>
        <v/>
      </c>
      <c r="H69">
        <f>SUMIF(ODPIS!B:B, A69, ODPIS!G:G)</f>
        <v/>
      </c>
      <c r="I69" s="2">
        <f>F69 + G69 - H69</f>
        <v/>
      </c>
    </row>
    <row r="70">
      <c r="A70" t="n">
        <v>251</v>
      </c>
      <c r="B70" t="inlineStr">
        <is>
          <t>Claro glos</t>
        </is>
      </c>
      <c r="C70" t="n">
        <v>70</v>
      </c>
      <c r="D70" t="n">
        <v>100</v>
      </c>
      <c r="E70" t="n">
        <v>350</v>
      </c>
      <c r="F70" t="n">
        <v>0</v>
      </c>
      <c r="G70">
        <f>SUMIF(PRISPELO!B:B, A70, PRISPELO!G:G)</f>
        <v/>
      </c>
      <c r="H70">
        <f>SUMIF(ODPIS!B:B, A70, ODPIS!G:G)</f>
        <v/>
      </c>
      <c r="I70" s="2">
        <f>F70 + G70 - H70</f>
        <v/>
      </c>
    </row>
    <row r="71">
      <c r="A71" t="n">
        <v>252</v>
      </c>
      <c r="B71" t="inlineStr">
        <is>
          <t>Claro glos</t>
        </is>
      </c>
      <c r="C71" t="n">
        <v>100</v>
      </c>
      <c r="D71" t="n">
        <v>70</v>
      </c>
      <c r="E71" t="n">
        <v>350</v>
      </c>
      <c r="F71" t="n">
        <v>0</v>
      </c>
      <c r="G71">
        <f>SUMIF(PRISPELO!B:B, A71, PRISPELO!G:G)</f>
        <v/>
      </c>
      <c r="H71">
        <f>SUMIF(ODPIS!B:B, A71, ODPIS!G:G)</f>
        <v/>
      </c>
      <c r="I71" s="2">
        <f>F71 + G71 - H71</f>
        <v/>
      </c>
    </row>
    <row r="72">
      <c r="A72" t="n">
        <v>320</v>
      </c>
      <c r="B72" t="inlineStr">
        <is>
          <t>NiklaSelect</t>
        </is>
      </c>
      <c r="C72" t="n">
        <v>100</v>
      </c>
      <c r="D72" t="n">
        <v>70</v>
      </c>
      <c r="E72" t="n">
        <v>90</v>
      </c>
      <c r="F72" t="n">
        <v>14410</v>
      </c>
      <c r="G72">
        <f>SUMIF(PRISPELO!B:B, A72, PRISPELO!G:G)</f>
        <v/>
      </c>
      <c r="H72">
        <f>SUMIF(ODPIS!B:B, A72, ODPIS!G:G)</f>
        <v/>
      </c>
      <c r="I72" s="2">
        <f>F72 + G72 - H72</f>
        <v/>
      </c>
    </row>
    <row r="73">
      <c r="A73" t="n">
        <v>321</v>
      </c>
      <c r="B73" t="inlineStr">
        <is>
          <t>NiklaSelect</t>
        </is>
      </c>
      <c r="C73" t="n">
        <v>102</v>
      </c>
      <c r="D73" t="n">
        <v>72</v>
      </c>
      <c r="E73" t="n">
        <v>80</v>
      </c>
      <c r="F73" t="n">
        <v>2500</v>
      </c>
      <c r="G73">
        <f>SUMIF(PRISPELO!B:B, A73, PRISPELO!G:G)</f>
        <v/>
      </c>
      <c r="H73">
        <f>SUMIF(ODPIS!B:B, A73, ODPIS!G:G)</f>
        <v/>
      </c>
      <c r="I73" s="2">
        <f>F73 + G73 - H73</f>
        <v/>
      </c>
    </row>
    <row r="74">
      <c r="A74" t="n">
        <v>326</v>
      </c>
      <c r="B74" t="inlineStr">
        <is>
          <t>Samolepilni Raflacoat sp34</t>
        </is>
      </c>
      <c r="C74" t="n">
        <v>50</v>
      </c>
      <c r="D74" t="n">
        <v>70</v>
      </c>
      <c r="E74" t="n">
        <v>130</v>
      </c>
      <c r="F74" t="n">
        <v>0</v>
      </c>
      <c r="G74">
        <f>SUMIF(PRISPELO!B:B, A74, PRISPELO!G:G)</f>
        <v/>
      </c>
      <c r="H74">
        <f>SUMIF(ODPIS!B:B, A74, ODPIS!G:G)</f>
        <v/>
      </c>
      <c r="I74" s="2">
        <f>F74 + G74 - H74</f>
        <v/>
      </c>
    </row>
    <row r="75">
      <c r="A75" t="n">
        <v>1983</v>
      </c>
      <c r="B75" t="inlineStr">
        <is>
          <t>Kuverta Corde. Chagall Can. New</t>
        </is>
      </c>
      <c r="C75" t="n">
        <v>17</v>
      </c>
      <c r="D75" t="n">
        <v>17</v>
      </c>
      <c r="E75" t="n">
        <v>130</v>
      </c>
      <c r="F75" t="n">
        <v>0</v>
      </c>
      <c r="G75">
        <f>SUMIF(PRISPELO!B:B, A75, PRISPELO!G:G)</f>
        <v/>
      </c>
      <c r="H75">
        <f>SUMIF(ODPIS!B:B, A75, ODPIS!G:G)</f>
        <v/>
      </c>
      <c r="I75" s="2">
        <f>F75 + G75 - H75</f>
        <v/>
      </c>
    </row>
    <row r="76">
      <c r="A76" t="n">
        <v>1984</v>
      </c>
      <c r="B76" t="inlineStr">
        <is>
          <t>Kuverta Corde. Chagall Bianco</t>
        </is>
      </c>
      <c r="C76" t="n">
        <v>17</v>
      </c>
      <c r="D76" t="n">
        <v>17</v>
      </c>
      <c r="E76" t="n">
        <v>130</v>
      </c>
      <c r="F76" t="n">
        <v>0</v>
      </c>
      <c r="G76">
        <f>SUMIF(PRISPELO!B:B, A76, PRISPELO!G:G)</f>
        <v/>
      </c>
      <c r="H76">
        <f>SUMIF(ODPIS!B:B, A76, ODPIS!G:G)</f>
        <v/>
      </c>
      <c r="I76" s="2">
        <f>F76 + G76 - H76</f>
        <v/>
      </c>
    </row>
    <row r="77">
      <c r="A77" t="n">
        <v>1988</v>
      </c>
      <c r="B77" t="inlineStr">
        <is>
          <t>Kuverta Courious Black</t>
        </is>
      </c>
      <c r="C77" t="n">
        <v>11</v>
      </c>
      <c r="D77" t="n">
        <v>22</v>
      </c>
      <c r="E77" t="n">
        <v>135</v>
      </c>
      <c r="F77" t="n">
        <v>0</v>
      </c>
      <c r="G77">
        <f>SUMIF(PRISPELO!B:B, A77, PRISPELO!G:G)</f>
        <v/>
      </c>
      <c r="H77">
        <f>SUMIF(ODPIS!B:B, A77, ODPIS!G:G)</f>
        <v/>
      </c>
      <c r="I77" s="2">
        <f>F77 + G77 - H77</f>
        <v/>
      </c>
    </row>
    <row r="78">
      <c r="A78" t="n">
        <v>1991</v>
      </c>
      <c r="B78" t="inlineStr">
        <is>
          <t>Kuverta Courious Partic. Moonlight</t>
        </is>
      </c>
      <c r="C78" t="n">
        <v>11</v>
      </c>
      <c r="D78" t="n">
        <v>22</v>
      </c>
      <c r="E78" t="n">
        <v>100</v>
      </c>
      <c r="F78" t="n">
        <v>0</v>
      </c>
      <c r="G78">
        <f>SUMIF(PRISPELO!B:B, A78, PRISPELO!G:G)</f>
        <v/>
      </c>
      <c r="H78">
        <f>SUMIF(ODPIS!B:B, A78, ODPIS!G:G)</f>
        <v/>
      </c>
      <c r="I78" s="2">
        <f>F78 + G78 - H78</f>
        <v/>
      </c>
    </row>
    <row r="79">
      <c r="A79" t="n">
        <v>1993</v>
      </c>
      <c r="B79" t="inlineStr">
        <is>
          <t>Kuverta Conqueror Oyster Laid</t>
        </is>
      </c>
      <c r="C79" t="n">
        <v>11</v>
      </c>
      <c r="D79" t="n">
        <v>22</v>
      </c>
      <c r="E79" t="n">
        <v>110</v>
      </c>
      <c r="F79" t="n">
        <v>0</v>
      </c>
      <c r="G79">
        <f>SUMIF(PRISPELO!B:B, A79, PRISPELO!G:G)</f>
        <v/>
      </c>
      <c r="H79">
        <f>SUMIF(ODPIS!B:B, A79, ODPIS!G:G)</f>
        <v/>
      </c>
      <c r="I79" s="2">
        <f>F79 + G79 - H79</f>
        <v/>
      </c>
    </row>
    <row r="80">
      <c r="A80" t="n">
        <v>1994</v>
      </c>
      <c r="B80" t="inlineStr">
        <is>
          <t>Kuverta Conqueror Cream dl Wallet</t>
        </is>
      </c>
      <c r="C80" t="n">
        <v>11</v>
      </c>
      <c r="D80" t="n">
        <v>22</v>
      </c>
      <c r="E80" t="n">
        <v>120</v>
      </c>
      <c r="F80" t="n">
        <v>0</v>
      </c>
      <c r="G80">
        <f>SUMIF(PRISPELO!B:B, A80, PRISPELO!G:G)</f>
        <v/>
      </c>
      <c r="H80">
        <f>SUMIF(ODPIS!B:B, A80, ODPIS!G:G)</f>
        <v/>
      </c>
      <c r="I80" s="2">
        <f>F80 + G80 - H80</f>
        <v/>
      </c>
    </row>
    <row r="81">
      <c r="A81" t="n">
        <v>1995</v>
      </c>
      <c r="B81" t="inlineStr">
        <is>
          <t>Kuverta Conqueror Diamond White</t>
        </is>
      </c>
      <c r="C81" t="n">
        <v>11</v>
      </c>
      <c r="D81" t="n">
        <v>22</v>
      </c>
      <c r="E81" t="n">
        <v>120</v>
      </c>
      <c r="F81" t="n">
        <v>0</v>
      </c>
      <c r="G81">
        <f>SUMIF(PRISPELO!B:B, A81, PRISPELO!G:G)</f>
        <v/>
      </c>
      <c r="H81">
        <f>SUMIF(ODPIS!B:B, A81, ODPIS!G:G)</f>
        <v/>
      </c>
      <c r="I81" s="2">
        <f>F81 + G81 - H81</f>
        <v/>
      </c>
    </row>
    <row r="82">
      <c r="A82" t="n">
        <v>1997</v>
      </c>
      <c r="B82" t="inlineStr">
        <is>
          <t>Kuverta Conqueror Bianco diamante</t>
        </is>
      </c>
      <c r="C82" t="n">
        <v>16.2</v>
      </c>
      <c r="D82" t="n">
        <v>22.9</v>
      </c>
      <c r="E82" t="n">
        <v>120</v>
      </c>
      <c r="F82" t="n">
        <v>0</v>
      </c>
      <c r="G82">
        <f>SUMIF(PRISPELO!B:B, A82, PRISPELO!G:G)</f>
        <v/>
      </c>
      <c r="H82">
        <f>SUMIF(ODPIS!B:B, A82, ODPIS!G:G)</f>
        <v/>
      </c>
      <c r="I82" s="2">
        <f>F82 + G82 - H82</f>
        <v/>
      </c>
    </row>
    <row r="83">
      <c r="A83" t="n">
        <v>1999</v>
      </c>
      <c r="B83" t="inlineStr">
        <is>
          <t>Kuverta B4 Lipa Mill Ad Si</t>
        </is>
      </c>
      <c r="C83" t="n">
        <v>25</v>
      </c>
      <c r="D83" t="n">
        <v>35.3</v>
      </c>
      <c r="E83" t="n">
        <v>110</v>
      </c>
      <c r="F83" t="n">
        <v>0</v>
      </c>
      <c r="G83">
        <f>SUMIF(PRISPELO!B:B, A83, PRISPELO!G:G)</f>
        <v/>
      </c>
      <c r="H83">
        <f>SUMIF(ODPIS!B:B, A83, ODPIS!G:G)</f>
        <v/>
      </c>
      <c r="I83" s="2">
        <f>F83 + G83 - H83</f>
        <v/>
      </c>
    </row>
    <row r="84">
      <c r="A84" t="n">
        <v>2003</v>
      </c>
      <c r="B84" t="inlineStr">
        <is>
          <t>Kuverta Polyedra SPA Constrip</t>
        </is>
      </c>
      <c r="C84" t="n">
        <v>16.2</v>
      </c>
      <c r="D84" t="n">
        <v>23</v>
      </c>
      <c r="E84" t="n">
        <v>100</v>
      </c>
      <c r="F84" t="n">
        <v>0</v>
      </c>
      <c r="G84">
        <f>SUMIF(PRISPELO!B:B, A84, PRISPELO!G:G)</f>
        <v/>
      </c>
      <c r="H84">
        <f>SUMIF(ODPIS!B:B, A84, ODPIS!G:G)</f>
        <v/>
      </c>
      <c r="I84" s="2">
        <f>F84 + G84 - H84</f>
        <v/>
      </c>
    </row>
    <row r="85">
      <c r="A85" t="n">
        <v>1985</v>
      </c>
      <c r="B85" t="inlineStr">
        <is>
          <t>Kuverta Corde. Chagall Can. New</t>
        </is>
      </c>
      <c r="C85" t="n">
        <v>11</v>
      </c>
      <c r="D85" t="n">
        <v>22</v>
      </c>
      <c r="E85" t="n">
        <v>110</v>
      </c>
      <c r="F85" t="n">
        <v>0</v>
      </c>
      <c r="G85">
        <f>SUMIF(PRISPELO!B:B, A85, PRISPELO!G:G)</f>
        <v/>
      </c>
      <c r="H85">
        <f>SUMIF(ODPIS!B:B, A85, ODPIS!G:G)</f>
        <v/>
      </c>
      <c r="I85" s="2">
        <f>F85 + G85 - H85</f>
        <v/>
      </c>
    </row>
    <row r="86">
      <c r="A86" t="n">
        <v>2013</v>
      </c>
      <c r="B86" t="inlineStr">
        <is>
          <t>Kuverta olin regular k, hf</t>
        </is>
      </c>
      <c r="C86" t="n">
        <v>16.2</v>
      </c>
      <c r="D86" t="n">
        <v>22.9</v>
      </c>
      <c r="E86" t="n">
        <v>120</v>
      </c>
      <c r="F86" t="n">
        <v>0</v>
      </c>
      <c r="G86">
        <f>SUMIF(PRISPELO!B:B, A86, PRISPELO!G:G)</f>
        <v/>
      </c>
      <c r="H86">
        <f>SUMIF(ODPIS!B:B, A86, ODPIS!G:G)</f>
        <v/>
      </c>
      <c r="I86" s="2">
        <f>F86 + G86 - H86</f>
        <v/>
      </c>
    </row>
    <row r="87">
      <c r="A87" t="n">
        <v>327</v>
      </c>
      <c r="B87" t="inlineStr">
        <is>
          <t>Sam. Raflacoat extra perm.SP3H</t>
        </is>
      </c>
      <c r="C87" t="n">
        <v>50</v>
      </c>
      <c r="D87" t="n">
        <v>70</v>
      </c>
      <c r="E87" t="n">
        <v>200</v>
      </c>
      <c r="F87" t="n">
        <v>0</v>
      </c>
      <c r="G87">
        <f>SUMIF(PRISPELO!B:B, A87, PRISPELO!G:G)</f>
        <v/>
      </c>
      <c r="H87">
        <f>SUMIF(ODPIS!B:B, A87, ODPIS!G:G)</f>
        <v/>
      </c>
      <c r="I87" s="2">
        <f>F87 + G87 - H87</f>
        <v/>
      </c>
    </row>
    <row r="88">
      <c r="A88" t="n">
        <v>329</v>
      </c>
      <c r="B88" t="inlineStr">
        <is>
          <t>Samolepilni ITALSTIC white</t>
        </is>
      </c>
      <c r="C88" t="n">
        <v>50</v>
      </c>
      <c r="D88" t="n">
        <v>70</v>
      </c>
      <c r="E88" t="n">
        <v>120</v>
      </c>
      <c r="F88" t="n">
        <v>1200</v>
      </c>
      <c r="G88">
        <f>SUMIF(PRISPELO!B:B, A88, PRISPELO!G:G)</f>
        <v/>
      </c>
      <c r="H88">
        <f>SUMIF(ODPIS!B:B, A88, ODPIS!G:G)</f>
        <v/>
      </c>
      <c r="I88" s="2">
        <f>F88 + G88 - H88</f>
        <v/>
      </c>
    </row>
    <row r="89">
      <c r="A89" t="n">
        <v>426</v>
      </c>
      <c r="B89" t="inlineStr">
        <is>
          <t>ON OFFset</t>
        </is>
      </c>
      <c r="C89" t="n">
        <v>100</v>
      </c>
      <c r="D89" t="n">
        <v>70</v>
      </c>
      <c r="E89" t="n">
        <v>225</v>
      </c>
      <c r="F89" t="n">
        <v>0</v>
      </c>
      <c r="G89">
        <f>SUMIF(PRISPELO!B:B, A89, PRISPELO!G:G)</f>
        <v/>
      </c>
      <c r="H89">
        <f>SUMIF(ODPIS!B:B, A89, ODPIS!G:G)</f>
        <v/>
      </c>
      <c r="I89" s="2">
        <f>F89 + G89 - H89</f>
        <v/>
      </c>
    </row>
    <row r="90">
      <c r="A90" t="n">
        <v>1989</v>
      </c>
      <c r="B90" t="inlineStr">
        <is>
          <t>Kuverta Courious Mocka</t>
        </is>
      </c>
      <c r="C90" t="n">
        <v>11</v>
      </c>
      <c r="D90" t="n">
        <v>22</v>
      </c>
      <c r="E90" t="n">
        <v>135</v>
      </c>
      <c r="F90" t="n">
        <v>0</v>
      </c>
      <c r="G90">
        <f>SUMIF(PRISPELO!B:B, A90, PRISPELO!G:G)</f>
        <v/>
      </c>
      <c r="H90">
        <f>SUMIF(ODPIS!B:B, A90, ODPIS!G:G)</f>
        <v/>
      </c>
      <c r="I90" s="2">
        <f>F90 + G90 - H90</f>
        <v/>
      </c>
    </row>
    <row r="91">
      <c r="A91" t="n">
        <v>2007</v>
      </c>
      <c r="B91" t="inlineStr">
        <is>
          <t>Kuverta amerikanka OLIN OF</t>
        </is>
      </c>
      <c r="C91" t="n">
        <v>11</v>
      </c>
      <c r="D91" t="n">
        <v>22</v>
      </c>
      <c r="E91" t="n">
        <v>90</v>
      </c>
      <c r="F91" t="n">
        <v>0</v>
      </c>
      <c r="G91">
        <f>SUMIF(PRISPELO!B:B, A91, PRISPELO!G:G)</f>
        <v/>
      </c>
      <c r="H91">
        <f>SUMIF(ODPIS!B:B, A91, ODPIS!G:G)</f>
        <v/>
      </c>
      <c r="I91" s="2">
        <f>F91 + G91 - H91</f>
        <v/>
      </c>
    </row>
    <row r="92">
      <c r="A92" t="n">
        <v>428</v>
      </c>
      <c r="B92" t="inlineStr">
        <is>
          <t>ON OFFset</t>
        </is>
      </c>
      <c r="C92" t="n">
        <v>100</v>
      </c>
      <c r="D92" t="n">
        <v>70</v>
      </c>
      <c r="E92" t="n">
        <v>80</v>
      </c>
      <c r="F92" t="n">
        <v>0</v>
      </c>
      <c r="G92">
        <f>SUMIF(PRISPELO!B:B, A92, PRISPELO!G:G)</f>
        <v/>
      </c>
      <c r="H92">
        <f>SUMIF(ODPIS!B:B, A92, ODPIS!G:G)</f>
        <v/>
      </c>
      <c r="I92" s="2">
        <f>F92 + G92 - H92</f>
        <v/>
      </c>
    </row>
    <row r="93">
      <c r="A93" t="n">
        <v>2032</v>
      </c>
      <c r="B93" t="inlineStr">
        <is>
          <t>Kuverta 22,9*22,9 BD SI</t>
        </is>
      </c>
      <c r="C93" t="n">
        <v>22.9</v>
      </c>
      <c r="D93" t="n">
        <v>22.9</v>
      </c>
      <c r="E93" t="n">
        <v>90</v>
      </c>
      <c r="F93" t="n">
        <v>0</v>
      </c>
      <c r="G93">
        <f>SUMIF(PRISPELO!B:B, A93, PRISPELO!G:G)</f>
        <v/>
      </c>
      <c r="H93">
        <f>SUMIF(ODPIS!B:B, A93, ODPIS!G:G)</f>
        <v/>
      </c>
      <c r="I93" s="2">
        <f>F93 + G93 - H93</f>
        <v/>
      </c>
    </row>
    <row r="94">
      <c r="A94" t="n">
        <v>429</v>
      </c>
      <c r="B94" t="inlineStr">
        <is>
          <t>ON OFFset</t>
        </is>
      </c>
      <c r="C94" t="n">
        <v>90</v>
      </c>
      <c r="D94" t="n">
        <v>64</v>
      </c>
      <c r="E94" t="n">
        <v>90</v>
      </c>
      <c r="F94" t="n">
        <v>0</v>
      </c>
      <c r="G94">
        <f>SUMIF(PRISPELO!B:B, A94, PRISPELO!G:G)</f>
        <v/>
      </c>
      <c r="H94">
        <f>SUMIF(ODPIS!B:B, A94, ODPIS!G:G)</f>
        <v/>
      </c>
      <c r="I94" s="2">
        <f>F94 + G94 - H94</f>
        <v/>
      </c>
    </row>
    <row r="95">
      <c r="A95" t="n">
        <v>430</v>
      </c>
      <c r="B95" t="inlineStr">
        <is>
          <t>ON OFFset</t>
        </is>
      </c>
      <c r="C95" t="n">
        <v>86</v>
      </c>
      <c r="D95" t="n">
        <v>61</v>
      </c>
      <c r="E95" t="n">
        <v>100</v>
      </c>
      <c r="F95" t="n">
        <v>0</v>
      </c>
      <c r="G95">
        <f>SUMIF(PRISPELO!B:B, A95, PRISPELO!G:G)</f>
        <v/>
      </c>
      <c r="H95">
        <f>SUMIF(ODPIS!B:B, A95, ODPIS!G:G)</f>
        <v/>
      </c>
      <c r="I95" s="2">
        <f>F95 + G95 - H95</f>
        <v/>
      </c>
    </row>
    <row r="96">
      <c r="A96" t="n">
        <v>431</v>
      </c>
      <c r="B96" t="inlineStr">
        <is>
          <t>ON OFFset</t>
        </is>
      </c>
      <c r="C96" t="n">
        <v>90</v>
      </c>
      <c r="D96" t="n">
        <v>64</v>
      </c>
      <c r="E96" t="n">
        <v>100</v>
      </c>
      <c r="F96" t="n">
        <v>0</v>
      </c>
      <c r="G96">
        <f>SUMIF(PRISPELO!B:B, A96, PRISPELO!G:G)</f>
        <v/>
      </c>
      <c r="H96">
        <f>SUMIF(ODPIS!B:B, A96, ODPIS!G:G)</f>
        <v/>
      </c>
      <c r="I96" s="2">
        <f>F96 + G96 - H96</f>
        <v/>
      </c>
    </row>
    <row r="97">
      <c r="A97" t="n">
        <v>432</v>
      </c>
      <c r="B97" t="inlineStr">
        <is>
          <t>ON OFFset</t>
        </is>
      </c>
      <c r="C97" t="n">
        <v>100</v>
      </c>
      <c r="D97" t="n">
        <v>70</v>
      </c>
      <c r="E97" t="n">
        <v>100</v>
      </c>
      <c r="F97" t="n">
        <v>0</v>
      </c>
      <c r="G97">
        <f>SUMIF(PRISPELO!B:B, A97, PRISPELO!G:G)</f>
        <v/>
      </c>
      <c r="H97">
        <f>SUMIF(ODPIS!B:B, A97, ODPIS!G:G)</f>
        <v/>
      </c>
      <c r="I97" s="2">
        <f>F97 + G97 - H97</f>
        <v/>
      </c>
    </row>
    <row r="98">
      <c r="A98" t="n">
        <v>433</v>
      </c>
      <c r="B98" t="inlineStr">
        <is>
          <t>ON OFFset</t>
        </is>
      </c>
      <c r="C98" t="n">
        <v>100</v>
      </c>
      <c r="D98" t="n">
        <v>70</v>
      </c>
      <c r="E98" t="n">
        <v>120</v>
      </c>
      <c r="F98" t="n">
        <v>0</v>
      </c>
      <c r="G98">
        <f>SUMIF(PRISPELO!B:B, A98, PRISPELO!G:G)</f>
        <v/>
      </c>
      <c r="H98">
        <f>SUMIF(ODPIS!B:B, A98, ODPIS!G:G)</f>
        <v/>
      </c>
      <c r="I98" s="2">
        <f>F98 + G98 - H98</f>
        <v/>
      </c>
    </row>
    <row r="99">
      <c r="A99" t="n">
        <v>2005</v>
      </c>
      <c r="B99" t="inlineStr">
        <is>
          <t>Kuverta amerikanka OLIN OF</t>
        </is>
      </c>
      <c r="C99" t="n">
        <v>11.4</v>
      </c>
      <c r="D99" t="n">
        <v>22.9</v>
      </c>
      <c r="E99" t="n">
        <v>90</v>
      </c>
      <c r="F99" t="n">
        <v>0</v>
      </c>
      <c r="G99">
        <f>SUMIF(PRISPELO!B:B, A99, PRISPELO!G:G)</f>
        <v/>
      </c>
      <c r="H99">
        <f>SUMIF(ODPIS!B:B, A99, ODPIS!G:G)</f>
        <v/>
      </c>
      <c r="I99" s="2">
        <f>F99 + G99 - H99</f>
        <v/>
      </c>
    </row>
    <row r="100">
      <c r="A100" t="n">
        <v>434</v>
      </c>
      <c r="B100" t="inlineStr">
        <is>
          <t>ON OFFset</t>
        </is>
      </c>
      <c r="C100" t="n">
        <v>100</v>
      </c>
      <c r="D100" t="n">
        <v>70</v>
      </c>
      <c r="E100" t="n">
        <v>135</v>
      </c>
      <c r="F100" t="n">
        <v>0</v>
      </c>
      <c r="G100">
        <f>SUMIF(PRISPELO!B:B, A100, PRISPELO!G:G)</f>
        <v/>
      </c>
      <c r="H100">
        <f>SUMIF(ODPIS!B:B, A100, ODPIS!G:G)</f>
        <v/>
      </c>
      <c r="I100" s="2">
        <f>F100 + G100 - H100</f>
        <v/>
      </c>
    </row>
    <row r="101">
      <c r="A101" t="n">
        <v>2046</v>
      </c>
      <c r="B101" t="inlineStr">
        <is>
          <t>Kuverta stone</t>
        </is>
      </c>
      <c r="C101" t="n">
        <v>32.4</v>
      </c>
      <c r="D101" t="n">
        <v>22.9</v>
      </c>
      <c r="E101" t="n">
        <v>120</v>
      </c>
      <c r="F101" t="n">
        <v>0</v>
      </c>
      <c r="G101">
        <f>SUMIF(PRISPELO!B:B, A101, PRISPELO!G:G)</f>
        <v/>
      </c>
      <c r="H101">
        <f>SUMIF(ODPIS!B:B, A101, ODPIS!G:G)</f>
        <v/>
      </c>
      <c r="I101" s="2">
        <f>F101 + G101 - H101</f>
        <v/>
      </c>
    </row>
    <row r="102">
      <c r="A102" t="n">
        <v>435</v>
      </c>
      <c r="B102" t="inlineStr">
        <is>
          <t>ON OFFset</t>
        </is>
      </c>
      <c r="C102" t="n">
        <v>100</v>
      </c>
      <c r="D102" t="n">
        <v>70</v>
      </c>
      <c r="E102" t="n">
        <v>170</v>
      </c>
      <c r="F102" t="n">
        <v>0</v>
      </c>
      <c r="G102">
        <f>SUMIF(PRISPELO!B:B, A102, PRISPELO!G:G)</f>
        <v/>
      </c>
      <c r="H102">
        <f>SUMIF(ODPIS!B:B, A102, ODPIS!G:G)</f>
        <v/>
      </c>
      <c r="I102" s="2">
        <f>F102 + G102 - H102</f>
        <v/>
      </c>
    </row>
    <row r="103">
      <c r="A103" t="n">
        <v>436</v>
      </c>
      <c r="B103" t="inlineStr">
        <is>
          <t>ON OFFset</t>
        </is>
      </c>
      <c r="C103" t="n">
        <v>100</v>
      </c>
      <c r="D103" t="n">
        <v>70</v>
      </c>
      <c r="E103" t="n">
        <v>190</v>
      </c>
      <c r="F103" t="n">
        <v>0</v>
      </c>
      <c r="G103">
        <f>SUMIF(PRISPELO!B:B, A103, PRISPELO!G:G)</f>
        <v/>
      </c>
      <c r="H103">
        <f>SUMIF(ODPIS!B:B, A103, ODPIS!G:G)</f>
        <v/>
      </c>
      <c r="I103" s="2">
        <f>F103 + G103 - H103</f>
        <v/>
      </c>
    </row>
    <row r="104">
      <c r="A104" t="n">
        <v>437</v>
      </c>
      <c r="B104" t="inlineStr">
        <is>
          <t>ON OFFset</t>
        </is>
      </c>
      <c r="C104" t="n">
        <v>100</v>
      </c>
      <c r="D104" t="n">
        <v>70</v>
      </c>
      <c r="E104" t="n">
        <v>150</v>
      </c>
      <c r="F104" t="n">
        <v>0</v>
      </c>
      <c r="G104">
        <f>SUMIF(PRISPELO!B:B, A104, PRISPELO!G:G)</f>
        <v/>
      </c>
      <c r="H104">
        <f>SUMIF(ODPIS!B:B, A104, ODPIS!G:G)</f>
        <v/>
      </c>
      <c r="I104" s="2">
        <f>F104 + G104 - H104</f>
        <v/>
      </c>
    </row>
    <row r="105">
      <c r="A105" t="n">
        <v>438</v>
      </c>
      <c r="B105" t="inlineStr">
        <is>
          <t>ON OFFset</t>
        </is>
      </c>
      <c r="C105" t="n">
        <v>86</v>
      </c>
      <c r="D105" t="n">
        <v>61</v>
      </c>
      <c r="E105" t="n">
        <v>80</v>
      </c>
      <c r="F105" t="n">
        <v>0</v>
      </c>
      <c r="G105">
        <f>SUMIF(PRISPELO!B:B, A105, PRISPELO!G:G)</f>
        <v/>
      </c>
      <c r="H105">
        <f>SUMIF(ODPIS!B:B, A105, ODPIS!G:G)</f>
        <v/>
      </c>
      <c r="I105" s="2">
        <f>F105 + G105 - H105</f>
        <v/>
      </c>
    </row>
    <row r="106">
      <c r="A106" t="n">
        <v>439</v>
      </c>
      <c r="B106" t="inlineStr">
        <is>
          <t>ON OFFset</t>
        </is>
      </c>
      <c r="C106" t="n">
        <v>70</v>
      </c>
      <c r="D106" t="n">
        <v>100</v>
      </c>
      <c r="E106" t="n">
        <v>300</v>
      </c>
      <c r="F106" t="n">
        <v>0</v>
      </c>
      <c r="G106">
        <f>SUMIF(PRISPELO!B:B, A106, PRISPELO!G:G)</f>
        <v/>
      </c>
      <c r="H106">
        <f>SUMIF(ODPIS!B:B, A106, ODPIS!G:G)</f>
        <v/>
      </c>
      <c r="I106" s="2">
        <f>F106 + G106 - H106</f>
        <v/>
      </c>
    </row>
    <row r="107">
      <c r="A107" t="n">
        <v>441</v>
      </c>
      <c r="B107" t="inlineStr">
        <is>
          <t>ON OFFset</t>
        </is>
      </c>
      <c r="C107" t="n">
        <v>100</v>
      </c>
      <c r="D107" t="n">
        <v>70</v>
      </c>
      <c r="E107" t="n">
        <v>275</v>
      </c>
      <c r="F107" t="n">
        <v>0</v>
      </c>
      <c r="G107">
        <f>SUMIF(PRISPELO!B:B, A107, PRISPELO!G:G)</f>
        <v/>
      </c>
      <c r="H107">
        <f>SUMIF(ODPIS!B:B, A107, ODPIS!G:G)</f>
        <v/>
      </c>
      <c r="I107" s="2">
        <f>F107 + G107 - H107</f>
        <v/>
      </c>
    </row>
    <row r="108">
      <c r="A108" t="n">
        <v>442</v>
      </c>
      <c r="B108" t="inlineStr">
        <is>
          <t>ON OFFset</t>
        </is>
      </c>
      <c r="C108" t="n">
        <v>70</v>
      </c>
      <c r="D108" t="n">
        <v>100</v>
      </c>
      <c r="E108" t="n">
        <v>225</v>
      </c>
      <c r="F108" t="n">
        <v>0</v>
      </c>
      <c r="G108">
        <f>SUMIF(PRISPELO!B:B, A108, PRISPELO!G:G)</f>
        <v/>
      </c>
      <c r="H108">
        <f>SUMIF(ODPIS!B:B, A108, ODPIS!G:G)</f>
        <v/>
      </c>
      <c r="I108" s="2">
        <f>F108 + G108 - H108</f>
        <v/>
      </c>
    </row>
    <row r="109">
      <c r="A109" t="n">
        <v>443</v>
      </c>
      <c r="B109" t="inlineStr">
        <is>
          <t>ON OFFset</t>
        </is>
      </c>
      <c r="C109" t="n">
        <v>64</v>
      </c>
      <c r="D109" t="n">
        <v>90</v>
      </c>
      <c r="E109" t="n">
        <v>80</v>
      </c>
      <c r="F109" t="n">
        <v>0</v>
      </c>
      <c r="G109">
        <f>SUMIF(PRISPELO!B:B, A109, PRISPELO!G:G)</f>
        <v/>
      </c>
      <c r="H109">
        <f>SUMIF(ODPIS!B:B, A109, ODPIS!G:G)</f>
        <v/>
      </c>
      <c r="I109" s="2">
        <f>F109 + G109 - H109</f>
        <v/>
      </c>
    </row>
    <row r="110">
      <c r="A110" t="n">
        <v>2010</v>
      </c>
      <c r="B110" t="inlineStr">
        <is>
          <t>Kuverta Corde. Chagall Can. New</t>
        </is>
      </c>
      <c r="C110" t="n">
        <v>17</v>
      </c>
      <c r="D110" t="n">
        <v>17</v>
      </c>
      <c r="E110" t="n">
        <v>110</v>
      </c>
      <c r="F110" t="n">
        <v>0</v>
      </c>
      <c r="G110">
        <f>SUMIF(PRISPELO!B:B, A110, PRISPELO!G:G)</f>
        <v/>
      </c>
      <c r="H110">
        <f>SUMIF(ODPIS!B:B, A110, ODPIS!G:G)</f>
        <v/>
      </c>
      <c r="I110" s="2">
        <f>F110 + G110 - H110</f>
        <v/>
      </c>
    </row>
    <row r="111">
      <c r="A111" t="n">
        <v>444</v>
      </c>
      <c r="B111" t="inlineStr">
        <is>
          <t>ON OFFset</t>
        </is>
      </c>
      <c r="C111" t="n">
        <v>70</v>
      </c>
      <c r="D111" t="n">
        <v>100</v>
      </c>
      <c r="E111" t="n">
        <v>80</v>
      </c>
      <c r="F111" t="n">
        <v>0</v>
      </c>
      <c r="G111">
        <f>SUMIF(PRISPELO!B:B, A111, PRISPELO!G:G)</f>
        <v/>
      </c>
      <c r="H111">
        <f>SUMIF(ODPIS!B:B, A111, ODPIS!G:G)</f>
        <v/>
      </c>
      <c r="I111" s="2">
        <f>F111 + G111 - H111</f>
        <v/>
      </c>
    </row>
    <row r="112">
      <c r="A112" t="n">
        <v>446</v>
      </c>
      <c r="B112" t="inlineStr">
        <is>
          <t>ON OFFset</t>
        </is>
      </c>
      <c r="C112" t="n">
        <v>61</v>
      </c>
      <c r="D112" t="n">
        <v>86</v>
      </c>
      <c r="E112" t="n">
        <v>100</v>
      </c>
      <c r="F112" t="n">
        <v>0</v>
      </c>
      <c r="G112">
        <f>SUMIF(PRISPELO!B:B, A112, PRISPELO!G:G)</f>
        <v/>
      </c>
      <c r="H112">
        <f>SUMIF(ODPIS!B:B, A112, ODPIS!G:G)</f>
        <v/>
      </c>
      <c r="I112" s="2">
        <f>F112 + G112 - H112</f>
        <v/>
      </c>
    </row>
    <row r="113">
      <c r="A113" t="n">
        <v>447</v>
      </c>
      <c r="B113" t="inlineStr">
        <is>
          <t>ON OFFset</t>
        </is>
      </c>
      <c r="C113" t="n">
        <v>64</v>
      </c>
      <c r="D113" t="n">
        <v>90</v>
      </c>
      <c r="E113" t="n">
        <v>100</v>
      </c>
      <c r="F113" t="n">
        <v>0</v>
      </c>
      <c r="G113">
        <f>SUMIF(PRISPELO!B:B, A113, PRISPELO!G:G)</f>
        <v/>
      </c>
      <c r="H113">
        <f>SUMIF(ODPIS!B:B, A113, ODPIS!G:G)</f>
        <v/>
      </c>
      <c r="I113" s="2">
        <f>F113 + G113 - H113</f>
        <v/>
      </c>
    </row>
    <row r="114">
      <c r="A114" t="n">
        <v>448</v>
      </c>
      <c r="B114" t="inlineStr">
        <is>
          <t>ON OFFset</t>
        </is>
      </c>
      <c r="C114" t="n">
        <v>70</v>
      </c>
      <c r="D114" t="n">
        <v>100</v>
      </c>
      <c r="E114" t="n">
        <v>100</v>
      </c>
      <c r="F114" t="n">
        <v>0</v>
      </c>
      <c r="G114">
        <f>SUMIF(PRISPELO!B:B, A114, PRISPELO!G:G)</f>
        <v/>
      </c>
      <c r="H114">
        <f>SUMIF(ODPIS!B:B, A114, ODPIS!G:G)</f>
        <v/>
      </c>
      <c r="I114" s="2">
        <f>F114 + G114 - H114</f>
        <v/>
      </c>
    </row>
    <row r="115">
      <c r="A115" t="n">
        <v>449</v>
      </c>
      <c r="B115" t="inlineStr">
        <is>
          <t>ON OFFset</t>
        </is>
      </c>
      <c r="C115" t="n">
        <v>70</v>
      </c>
      <c r="D115" t="n">
        <v>100</v>
      </c>
      <c r="E115" t="n">
        <v>120</v>
      </c>
      <c r="F115" t="n">
        <v>0</v>
      </c>
      <c r="G115">
        <f>SUMIF(PRISPELO!B:B, A115, PRISPELO!G:G)</f>
        <v/>
      </c>
      <c r="H115">
        <f>SUMIF(ODPIS!B:B, A115, ODPIS!G:G)</f>
        <v/>
      </c>
      <c r="I115" s="2">
        <f>F115 + G115 - H115</f>
        <v/>
      </c>
    </row>
    <row r="116">
      <c r="A116" t="n">
        <v>450</v>
      </c>
      <c r="B116" t="inlineStr">
        <is>
          <t>ON OFFset</t>
        </is>
      </c>
      <c r="C116" t="n">
        <v>70</v>
      </c>
      <c r="D116" t="n">
        <v>100</v>
      </c>
      <c r="E116" t="n">
        <v>135</v>
      </c>
      <c r="F116" t="n">
        <v>0</v>
      </c>
      <c r="G116">
        <f>SUMIF(PRISPELO!B:B, A116, PRISPELO!G:G)</f>
        <v/>
      </c>
      <c r="H116">
        <f>SUMIF(ODPIS!B:B, A116, ODPIS!G:G)</f>
        <v/>
      </c>
      <c r="I116" s="2">
        <f>F116 + G116 - H116</f>
        <v/>
      </c>
    </row>
    <row r="117">
      <c r="A117" t="n">
        <v>451</v>
      </c>
      <c r="B117" t="inlineStr">
        <is>
          <t>ON OFFset</t>
        </is>
      </c>
      <c r="C117" t="n">
        <v>70</v>
      </c>
      <c r="D117" t="n">
        <v>100</v>
      </c>
      <c r="E117" t="n">
        <v>170</v>
      </c>
      <c r="F117" t="n">
        <v>0</v>
      </c>
      <c r="G117">
        <f>SUMIF(PRISPELO!B:B, A117, PRISPELO!G:G)</f>
        <v/>
      </c>
      <c r="H117">
        <f>SUMIF(ODPIS!B:B, A117, ODPIS!G:G)</f>
        <v/>
      </c>
      <c r="I117" s="2">
        <f>F117 + G117 - H117</f>
        <v/>
      </c>
    </row>
    <row r="118">
      <c r="A118" t="n">
        <v>452</v>
      </c>
      <c r="B118" t="inlineStr">
        <is>
          <t>ON OFFset</t>
        </is>
      </c>
      <c r="C118" t="n">
        <v>70</v>
      </c>
      <c r="D118" t="n">
        <v>100</v>
      </c>
      <c r="E118" t="n">
        <v>190</v>
      </c>
      <c r="F118" t="n">
        <v>0</v>
      </c>
      <c r="G118">
        <f>SUMIF(PRISPELO!B:B, A118, PRISPELO!G:G)</f>
        <v/>
      </c>
      <c r="H118">
        <f>SUMIF(ODPIS!B:B, A118, ODPIS!G:G)</f>
        <v/>
      </c>
      <c r="I118" s="2">
        <f>F118 + G118 - H118</f>
        <v/>
      </c>
    </row>
    <row r="119">
      <c r="A119" t="n">
        <v>453</v>
      </c>
      <c r="B119" t="inlineStr">
        <is>
          <t>ON OFFset</t>
        </is>
      </c>
      <c r="C119" t="n">
        <v>70</v>
      </c>
      <c r="D119" t="n">
        <v>100</v>
      </c>
      <c r="E119" t="n">
        <v>150</v>
      </c>
      <c r="F119" t="n">
        <v>0</v>
      </c>
      <c r="G119">
        <f>SUMIF(PRISPELO!B:B, A119, PRISPELO!G:G)</f>
        <v/>
      </c>
      <c r="H119">
        <f>SUMIF(ODPIS!B:B, A119, ODPIS!G:G)</f>
        <v/>
      </c>
      <c r="I119" s="2">
        <f>F119 + G119 - H119</f>
        <v/>
      </c>
    </row>
    <row r="120">
      <c r="A120" t="n">
        <v>454</v>
      </c>
      <c r="B120" t="inlineStr">
        <is>
          <t>ON OFFset</t>
        </is>
      </c>
      <c r="C120" t="n">
        <v>61</v>
      </c>
      <c r="D120" t="n">
        <v>86</v>
      </c>
      <c r="E120" t="n">
        <v>80</v>
      </c>
      <c r="F120" t="n">
        <v>0</v>
      </c>
      <c r="G120">
        <f>SUMIF(PRISPELO!B:B, A120, PRISPELO!G:G)</f>
        <v/>
      </c>
      <c r="H120">
        <f>SUMIF(ODPIS!B:B, A120, ODPIS!G:G)</f>
        <v/>
      </c>
      <c r="I120" s="2">
        <f>F120 + G120 - H120</f>
        <v/>
      </c>
    </row>
    <row r="121">
      <c r="A121" t="n">
        <v>456</v>
      </c>
      <c r="B121" t="inlineStr">
        <is>
          <t>ON OFFset</t>
        </is>
      </c>
      <c r="C121" t="n">
        <v>70</v>
      </c>
      <c r="D121" t="n">
        <v>100</v>
      </c>
      <c r="E121" t="n">
        <v>250</v>
      </c>
      <c r="F121" t="n">
        <v>0</v>
      </c>
      <c r="G121">
        <f>SUMIF(PRISPELO!B:B, A121, PRISPELO!G:G)</f>
        <v/>
      </c>
      <c r="H121">
        <f>SUMIF(ODPIS!B:B, A121, ODPIS!G:G)</f>
        <v/>
      </c>
      <c r="I121" s="2">
        <f>F121 + G121 - H121</f>
        <v/>
      </c>
    </row>
    <row r="122">
      <c r="A122" t="n">
        <v>457</v>
      </c>
      <c r="B122" t="inlineStr">
        <is>
          <t>ON OFFset</t>
        </is>
      </c>
      <c r="C122" t="n">
        <v>70</v>
      </c>
      <c r="D122" t="n">
        <v>100</v>
      </c>
      <c r="E122" t="n">
        <v>275</v>
      </c>
      <c r="F122" t="n">
        <v>0</v>
      </c>
      <c r="G122">
        <f>SUMIF(PRISPELO!B:B, A122, PRISPELO!G:G)</f>
        <v/>
      </c>
      <c r="H122">
        <f>SUMIF(ODPIS!B:B, A122, ODPIS!G:G)</f>
        <v/>
      </c>
      <c r="I122" s="2">
        <f>F122 + G122 - H122</f>
        <v/>
      </c>
    </row>
    <row r="123">
      <c r="A123" t="n">
        <v>458</v>
      </c>
      <c r="B123" t="inlineStr">
        <is>
          <t>Maestro Print</t>
        </is>
      </c>
      <c r="C123" t="n">
        <v>86</v>
      </c>
      <c r="D123" t="n">
        <v>61</v>
      </c>
      <c r="E123" t="n">
        <v>70</v>
      </c>
      <c r="F123" t="n">
        <v>0</v>
      </c>
      <c r="G123">
        <f>SUMIF(PRISPELO!B:B, A123, PRISPELO!G:G)</f>
        <v/>
      </c>
      <c r="H123">
        <f>SUMIF(ODPIS!B:B, A123, ODPIS!G:G)</f>
        <v/>
      </c>
      <c r="I123" s="2">
        <f>F123 + G123 - H123</f>
        <v/>
      </c>
    </row>
    <row r="124">
      <c r="A124" t="n">
        <v>459</v>
      </c>
      <c r="B124" t="inlineStr">
        <is>
          <t>Maestro Print</t>
        </is>
      </c>
      <c r="C124" t="n">
        <v>88</v>
      </c>
      <c r="D124" t="n">
        <v>64</v>
      </c>
      <c r="E124" t="n">
        <v>70</v>
      </c>
      <c r="F124" t="n">
        <v>0</v>
      </c>
      <c r="G124">
        <f>SUMIF(PRISPELO!B:B, A124, PRISPELO!G:G)</f>
        <v/>
      </c>
      <c r="H124">
        <f>SUMIF(ODPIS!B:B, A124, ODPIS!G:G)</f>
        <v/>
      </c>
      <c r="I124" s="2">
        <f>F124 + G124 - H124</f>
        <v/>
      </c>
    </row>
    <row r="125">
      <c r="A125" t="n">
        <v>460</v>
      </c>
      <c r="B125" t="inlineStr">
        <is>
          <t>Maestro Print</t>
        </is>
      </c>
      <c r="C125" t="n">
        <v>86</v>
      </c>
      <c r="D125" t="n">
        <v>61</v>
      </c>
      <c r="E125" t="n">
        <v>80</v>
      </c>
      <c r="F125" t="n">
        <v>0</v>
      </c>
      <c r="G125">
        <f>SUMIF(PRISPELO!B:B, A125, PRISPELO!G:G)</f>
        <v/>
      </c>
      <c r="H125">
        <f>SUMIF(ODPIS!B:B, A125, ODPIS!G:G)</f>
        <v/>
      </c>
      <c r="I125" s="2">
        <f>F125 + G125 - H125</f>
        <v/>
      </c>
    </row>
    <row r="126">
      <c r="A126" t="n">
        <v>461</v>
      </c>
      <c r="B126" t="inlineStr">
        <is>
          <t>Maestro Print</t>
        </is>
      </c>
      <c r="C126" t="n">
        <v>88</v>
      </c>
      <c r="D126" t="n">
        <v>64</v>
      </c>
      <c r="E126" t="n">
        <v>80</v>
      </c>
      <c r="F126" t="n">
        <v>0</v>
      </c>
      <c r="G126">
        <f>SUMIF(PRISPELO!B:B, A126, PRISPELO!G:G)</f>
        <v/>
      </c>
      <c r="H126">
        <f>SUMIF(ODPIS!B:B, A126, ODPIS!G:G)</f>
        <v/>
      </c>
      <c r="I126" s="2">
        <f>F126 + G126 - H126</f>
        <v/>
      </c>
    </row>
    <row r="127">
      <c r="A127" t="n">
        <v>2044</v>
      </c>
      <c r="B127" t="inlineStr">
        <is>
          <t>Kuverta COMPETITOR VREČKA BO</t>
        </is>
      </c>
      <c r="C127" t="n">
        <v>19</v>
      </c>
      <c r="D127" t="n">
        <v>26</v>
      </c>
      <c r="E127" t="n">
        <v>100</v>
      </c>
      <c r="F127" t="n">
        <v>0</v>
      </c>
      <c r="G127">
        <f>SUMIF(PRISPELO!B:B, A127, PRISPELO!G:G)</f>
        <v/>
      </c>
      <c r="H127">
        <f>SUMIF(ODPIS!B:B, A127, ODPIS!G:G)</f>
        <v/>
      </c>
      <c r="I127" s="2">
        <f>F127 + G127 - H127</f>
        <v/>
      </c>
    </row>
    <row r="128">
      <c r="A128" t="n">
        <v>462</v>
      </c>
      <c r="B128" t="inlineStr">
        <is>
          <t>Maestro Print</t>
        </is>
      </c>
      <c r="C128" t="n">
        <v>100</v>
      </c>
      <c r="D128" t="n">
        <v>70</v>
      </c>
      <c r="E128" t="n">
        <v>80</v>
      </c>
      <c r="F128" t="n">
        <v>0</v>
      </c>
      <c r="G128">
        <f>SUMIF(PRISPELO!B:B, A128, PRISPELO!G:G)</f>
        <v/>
      </c>
      <c r="H128">
        <f>SUMIF(ODPIS!B:B, A128, ODPIS!G:G)</f>
        <v/>
      </c>
      <c r="I128" s="2">
        <f>F128 + G128 - H128</f>
        <v/>
      </c>
    </row>
    <row r="129">
      <c r="A129" t="n">
        <v>463</v>
      </c>
      <c r="B129" t="inlineStr">
        <is>
          <t>Maestro Print</t>
        </is>
      </c>
      <c r="C129" t="n">
        <v>88</v>
      </c>
      <c r="D129" t="n">
        <v>64</v>
      </c>
      <c r="E129" t="n">
        <v>90</v>
      </c>
      <c r="F129" t="n">
        <v>0</v>
      </c>
      <c r="G129">
        <f>SUMIF(PRISPELO!B:B, A129, PRISPELO!G:G)</f>
        <v/>
      </c>
      <c r="H129">
        <f>SUMIF(ODPIS!B:B, A129, ODPIS!G:G)</f>
        <v/>
      </c>
      <c r="I129" s="2">
        <f>F129 + G129 - H129</f>
        <v/>
      </c>
    </row>
    <row r="130">
      <c r="A130" t="n">
        <v>464</v>
      </c>
      <c r="B130" t="inlineStr">
        <is>
          <t>Maestro Print</t>
        </is>
      </c>
      <c r="C130" t="n">
        <v>100</v>
      </c>
      <c r="D130" t="n">
        <v>70</v>
      </c>
      <c r="E130" t="n">
        <v>90</v>
      </c>
      <c r="F130" t="n">
        <v>0</v>
      </c>
      <c r="G130">
        <f>SUMIF(PRISPELO!B:B, A130, PRISPELO!G:G)</f>
        <v/>
      </c>
      <c r="H130">
        <f>SUMIF(ODPIS!B:B, A130, ODPIS!G:G)</f>
        <v/>
      </c>
      <c r="I130" s="2">
        <f>F130 + G130 - H130</f>
        <v/>
      </c>
    </row>
    <row r="131">
      <c r="A131" t="n">
        <v>466</v>
      </c>
      <c r="B131" t="inlineStr">
        <is>
          <t>Maestro Print</t>
        </is>
      </c>
      <c r="C131" t="n">
        <v>88</v>
      </c>
      <c r="D131" t="n">
        <v>64</v>
      </c>
      <c r="E131" t="n">
        <v>100</v>
      </c>
      <c r="F131" t="n">
        <v>0</v>
      </c>
      <c r="G131">
        <f>SUMIF(PRISPELO!B:B, A131, PRISPELO!G:G)</f>
        <v/>
      </c>
      <c r="H131">
        <f>SUMIF(ODPIS!B:B, A131, ODPIS!G:G)</f>
        <v/>
      </c>
      <c r="I131" s="2">
        <f>F131 + G131 - H131</f>
        <v/>
      </c>
    </row>
    <row r="132">
      <c r="A132" t="n">
        <v>467</v>
      </c>
      <c r="B132" t="inlineStr">
        <is>
          <t>Maestro Print</t>
        </is>
      </c>
      <c r="C132" t="n">
        <v>100</v>
      </c>
      <c r="D132" t="n">
        <v>70</v>
      </c>
      <c r="E132" t="n">
        <v>100</v>
      </c>
      <c r="F132" t="n">
        <v>0</v>
      </c>
      <c r="G132">
        <f>SUMIF(PRISPELO!B:B, A132, PRISPELO!G:G)</f>
        <v/>
      </c>
      <c r="H132">
        <f>SUMIF(ODPIS!B:B, A132, ODPIS!G:G)</f>
        <v/>
      </c>
      <c r="I132" s="2">
        <f>F132 + G132 - H132</f>
        <v/>
      </c>
    </row>
    <row r="133">
      <c r="A133" t="n">
        <v>468</v>
      </c>
      <c r="B133" t="inlineStr">
        <is>
          <t>Maestro Print</t>
        </is>
      </c>
      <c r="C133" t="n">
        <v>100</v>
      </c>
      <c r="D133" t="n">
        <v>70</v>
      </c>
      <c r="E133" t="n">
        <v>120</v>
      </c>
      <c r="F133" t="n">
        <v>0</v>
      </c>
      <c r="G133">
        <f>SUMIF(PRISPELO!B:B, A133, PRISPELO!G:G)</f>
        <v/>
      </c>
      <c r="H133">
        <f>SUMIF(ODPIS!B:B, A133, ODPIS!G:G)</f>
        <v/>
      </c>
      <c r="I133" s="2">
        <f>F133 + G133 - H133</f>
        <v/>
      </c>
    </row>
    <row r="134">
      <c r="A134" t="n">
        <v>469</v>
      </c>
      <c r="B134" t="inlineStr">
        <is>
          <t>Maestro Print</t>
        </is>
      </c>
      <c r="C134" t="n">
        <v>100</v>
      </c>
      <c r="D134" t="n">
        <v>70</v>
      </c>
      <c r="E134" t="n">
        <v>140</v>
      </c>
      <c r="F134" t="n">
        <v>0</v>
      </c>
      <c r="G134">
        <f>SUMIF(PRISPELO!B:B, A134, PRISPELO!G:G)</f>
        <v/>
      </c>
      <c r="H134">
        <f>SUMIF(ODPIS!B:B, A134, ODPIS!G:G)</f>
        <v/>
      </c>
      <c r="I134" s="2">
        <f>F134 + G134 - H134</f>
        <v/>
      </c>
    </row>
    <row r="135">
      <c r="A135" t="n">
        <v>472</v>
      </c>
      <c r="B135" t="inlineStr">
        <is>
          <t>Maestro Print</t>
        </is>
      </c>
      <c r="C135" t="n">
        <v>61</v>
      </c>
      <c r="D135" t="n">
        <v>86</v>
      </c>
      <c r="E135" t="n">
        <v>70</v>
      </c>
      <c r="F135" t="n">
        <v>0</v>
      </c>
      <c r="G135">
        <f>SUMIF(PRISPELO!B:B, A135, PRISPELO!G:G)</f>
        <v/>
      </c>
      <c r="H135">
        <f>SUMIF(ODPIS!B:B, A135, ODPIS!G:G)</f>
        <v/>
      </c>
      <c r="I135" s="2">
        <f>F135 + G135 - H135</f>
        <v/>
      </c>
    </row>
    <row r="136">
      <c r="A136" t="n">
        <v>473</v>
      </c>
      <c r="B136" t="inlineStr">
        <is>
          <t>Maestro Print</t>
        </is>
      </c>
      <c r="C136" t="n">
        <v>64</v>
      </c>
      <c r="D136" t="n">
        <v>88</v>
      </c>
      <c r="E136" t="n">
        <v>70</v>
      </c>
      <c r="F136" t="n">
        <v>0</v>
      </c>
      <c r="G136">
        <f>SUMIF(PRISPELO!B:B, A136, PRISPELO!G:G)</f>
        <v/>
      </c>
      <c r="H136">
        <f>SUMIF(ODPIS!B:B, A136, ODPIS!G:G)</f>
        <v/>
      </c>
      <c r="I136" s="2">
        <f>F136 + G136 - H136</f>
        <v/>
      </c>
    </row>
    <row r="137">
      <c r="A137" t="n">
        <v>474</v>
      </c>
      <c r="B137" t="inlineStr">
        <is>
          <t>Maestro Print</t>
        </is>
      </c>
      <c r="C137" t="n">
        <v>61</v>
      </c>
      <c r="D137" t="n">
        <v>86</v>
      </c>
      <c r="E137" t="n">
        <v>80</v>
      </c>
      <c r="F137" t="n">
        <v>0</v>
      </c>
      <c r="G137">
        <f>SUMIF(PRISPELO!B:B, A137, PRISPELO!G:G)</f>
        <v/>
      </c>
      <c r="H137">
        <f>SUMIF(ODPIS!B:B, A137, ODPIS!G:G)</f>
        <v/>
      </c>
      <c r="I137" s="2">
        <f>F137 + G137 - H137</f>
        <v/>
      </c>
    </row>
    <row r="138">
      <c r="A138" t="n">
        <v>476</v>
      </c>
      <c r="B138" t="inlineStr">
        <is>
          <t>Maestro Print</t>
        </is>
      </c>
      <c r="C138" t="n">
        <v>70</v>
      </c>
      <c r="D138" t="n">
        <v>100</v>
      </c>
      <c r="E138" t="n">
        <v>80</v>
      </c>
      <c r="F138" t="n">
        <v>0</v>
      </c>
      <c r="G138">
        <f>SUMIF(PRISPELO!B:B, A138, PRISPELO!G:G)</f>
        <v/>
      </c>
      <c r="H138">
        <f>SUMIF(ODPIS!B:B, A138, ODPIS!G:G)</f>
        <v/>
      </c>
      <c r="I138" s="2">
        <f>F138 + G138 - H138</f>
        <v/>
      </c>
    </row>
    <row r="139">
      <c r="A139" t="n">
        <v>477</v>
      </c>
      <c r="B139" t="inlineStr">
        <is>
          <t>Maestro Print</t>
        </is>
      </c>
      <c r="C139" t="n">
        <v>64</v>
      </c>
      <c r="D139" t="n">
        <v>88</v>
      </c>
      <c r="E139" t="n">
        <v>90</v>
      </c>
      <c r="F139" t="n">
        <v>0</v>
      </c>
      <c r="G139">
        <f>SUMIF(PRISPELO!B:B, A139, PRISPELO!G:G)</f>
        <v/>
      </c>
      <c r="H139">
        <f>SUMIF(ODPIS!B:B, A139, ODPIS!G:G)</f>
        <v/>
      </c>
      <c r="I139" s="2">
        <f>F139 + G139 - H139</f>
        <v/>
      </c>
    </row>
    <row r="140">
      <c r="A140" t="n">
        <v>478</v>
      </c>
      <c r="B140" t="inlineStr">
        <is>
          <t>Maestro Print</t>
        </is>
      </c>
      <c r="C140" t="n">
        <v>70</v>
      </c>
      <c r="D140" t="n">
        <v>100</v>
      </c>
      <c r="E140" t="n">
        <v>90</v>
      </c>
      <c r="F140" t="n">
        <v>0</v>
      </c>
      <c r="G140">
        <f>SUMIF(PRISPELO!B:B, A140, PRISPELO!G:G)</f>
        <v/>
      </c>
      <c r="H140">
        <f>SUMIF(ODPIS!B:B, A140, ODPIS!G:G)</f>
        <v/>
      </c>
      <c r="I140" s="2">
        <f>F140 + G140 - H140</f>
        <v/>
      </c>
    </row>
    <row r="141">
      <c r="A141" t="n">
        <v>479</v>
      </c>
      <c r="B141" t="inlineStr">
        <is>
          <t>Maestro Print</t>
        </is>
      </c>
      <c r="C141" t="n">
        <v>64</v>
      </c>
      <c r="D141" t="n">
        <v>88</v>
      </c>
      <c r="E141" t="n">
        <v>100</v>
      </c>
      <c r="F141" t="n">
        <v>0</v>
      </c>
      <c r="G141">
        <f>SUMIF(PRISPELO!B:B, A141, PRISPELO!G:G)</f>
        <v/>
      </c>
      <c r="H141">
        <f>SUMIF(ODPIS!B:B, A141, ODPIS!G:G)</f>
        <v/>
      </c>
      <c r="I141" s="2">
        <f>F141 + G141 - H141</f>
        <v/>
      </c>
    </row>
    <row r="142">
      <c r="A142" t="n">
        <v>480</v>
      </c>
      <c r="B142" t="inlineStr">
        <is>
          <t>Maestro Print</t>
        </is>
      </c>
      <c r="C142" t="n">
        <v>70</v>
      </c>
      <c r="D142" t="n">
        <v>100</v>
      </c>
      <c r="E142" t="n">
        <v>100</v>
      </c>
      <c r="F142" t="n">
        <v>0</v>
      </c>
      <c r="G142">
        <f>SUMIF(PRISPELO!B:B, A142, PRISPELO!G:G)</f>
        <v/>
      </c>
      <c r="H142">
        <f>SUMIF(ODPIS!B:B, A142, ODPIS!G:G)</f>
        <v/>
      </c>
      <c r="I142" s="2">
        <f>F142 + G142 - H142</f>
        <v/>
      </c>
    </row>
    <row r="143">
      <c r="A143" t="n">
        <v>481</v>
      </c>
      <c r="B143" t="inlineStr">
        <is>
          <t>Maestro Print</t>
        </is>
      </c>
      <c r="C143" t="n">
        <v>70</v>
      </c>
      <c r="D143" t="n">
        <v>100</v>
      </c>
      <c r="E143" t="n">
        <v>120</v>
      </c>
      <c r="F143" t="n">
        <v>0</v>
      </c>
      <c r="G143">
        <f>SUMIF(PRISPELO!B:B, A143, PRISPELO!G:G)</f>
        <v/>
      </c>
      <c r="H143">
        <f>SUMIF(ODPIS!B:B, A143, ODPIS!G:G)</f>
        <v/>
      </c>
      <c r="I143" s="2">
        <f>F143 + G143 - H143</f>
        <v/>
      </c>
    </row>
    <row r="144">
      <c r="A144" t="n">
        <v>482</v>
      </c>
      <c r="B144" t="inlineStr">
        <is>
          <t>Maestro Print</t>
        </is>
      </c>
      <c r="C144" t="n">
        <v>70</v>
      </c>
      <c r="D144" t="n">
        <v>100</v>
      </c>
      <c r="E144" t="n">
        <v>140</v>
      </c>
      <c r="F144" t="n">
        <v>0</v>
      </c>
      <c r="G144">
        <f>SUMIF(PRISPELO!B:B, A144, PRISPELO!G:G)</f>
        <v/>
      </c>
      <c r="H144">
        <f>SUMIF(ODPIS!B:B, A144, ODPIS!G:G)</f>
        <v/>
      </c>
      <c r="I144" s="2">
        <f>F144 + G144 - H144</f>
        <v/>
      </c>
    </row>
    <row r="145">
      <c r="A145" t="n">
        <v>558</v>
      </c>
      <c r="B145" t="inlineStr">
        <is>
          <t>Samolepilni prozorna PVC</t>
        </is>
      </c>
      <c r="C145" t="n">
        <v>50</v>
      </c>
      <c r="D145" t="n">
        <v>70</v>
      </c>
      <c r="E145" t="n">
        <v>135</v>
      </c>
      <c r="F145" t="n">
        <v>0</v>
      </c>
      <c r="G145">
        <f>SUMIF(PRISPELO!B:B, A145, PRISPELO!G:G)</f>
        <v/>
      </c>
      <c r="H145">
        <f>SUMIF(ODPIS!B:B, A145, ODPIS!G:G)</f>
        <v/>
      </c>
      <c r="I145" s="2">
        <f>F145 + G145 - H145</f>
        <v/>
      </c>
    </row>
    <row r="146">
      <c r="A146" t="n">
        <v>596</v>
      </c>
      <c r="B146" t="inlineStr">
        <is>
          <t>DITO OFSET</t>
        </is>
      </c>
      <c r="C146" t="n">
        <v>70</v>
      </c>
      <c r="D146" t="n">
        <v>100</v>
      </c>
      <c r="E146" t="n">
        <v>80</v>
      </c>
      <c r="F146" t="n">
        <v>0</v>
      </c>
      <c r="G146">
        <f>SUMIF(PRISPELO!B:B, A146, PRISPELO!G:G)</f>
        <v/>
      </c>
      <c r="H146">
        <f>SUMIF(ODPIS!B:B, A146, ODPIS!G:G)</f>
        <v/>
      </c>
      <c r="I146" s="2">
        <f>F146 + G146 - H146</f>
        <v/>
      </c>
    </row>
    <row r="147">
      <c r="A147" t="n">
        <v>597</v>
      </c>
      <c r="B147" t="inlineStr">
        <is>
          <t>DITO OFSET</t>
        </is>
      </c>
      <c r="C147" t="n">
        <v>64</v>
      </c>
      <c r="D147" t="n">
        <v>88</v>
      </c>
      <c r="E147" t="n">
        <v>80</v>
      </c>
      <c r="F147" t="n">
        <v>0</v>
      </c>
      <c r="G147">
        <f>SUMIF(PRISPELO!B:B, A147, PRISPELO!G:G)</f>
        <v/>
      </c>
      <c r="H147">
        <f>SUMIF(ODPIS!B:B, A147, ODPIS!G:G)</f>
        <v/>
      </c>
      <c r="I147" s="2">
        <f>F147 + G147 - H147</f>
        <v/>
      </c>
    </row>
    <row r="148">
      <c r="A148" t="n">
        <v>598</v>
      </c>
      <c r="B148" t="inlineStr">
        <is>
          <t>DITO OFSET</t>
        </is>
      </c>
      <c r="C148" t="n">
        <v>70</v>
      </c>
      <c r="D148" t="n">
        <v>100</v>
      </c>
      <c r="E148" t="n">
        <v>90</v>
      </c>
      <c r="F148" t="n">
        <v>0</v>
      </c>
      <c r="G148">
        <f>SUMIF(PRISPELO!B:B, A148, PRISPELO!G:G)</f>
        <v/>
      </c>
      <c r="H148">
        <f>SUMIF(ODPIS!B:B, A148, ODPIS!G:G)</f>
        <v/>
      </c>
      <c r="I148" s="2">
        <f>F148 + G148 - H148</f>
        <v/>
      </c>
    </row>
    <row r="149">
      <c r="A149" t="n">
        <v>599</v>
      </c>
      <c r="B149" t="inlineStr">
        <is>
          <t>DITO OFSET</t>
        </is>
      </c>
      <c r="C149" t="n">
        <v>64</v>
      </c>
      <c r="D149" t="n">
        <v>88</v>
      </c>
      <c r="E149" t="n">
        <v>100</v>
      </c>
      <c r="F149" t="n">
        <v>0</v>
      </c>
      <c r="G149">
        <f>SUMIF(PRISPELO!B:B, A149, PRISPELO!G:G)</f>
        <v/>
      </c>
      <c r="H149">
        <f>SUMIF(ODPIS!B:B, A149, ODPIS!G:G)</f>
        <v/>
      </c>
      <c r="I149" s="2">
        <f>F149 + G149 - H149</f>
        <v/>
      </c>
    </row>
    <row r="150">
      <c r="A150" t="n">
        <v>1913</v>
      </c>
      <c r="B150" t="inlineStr">
        <is>
          <t>POP SET-beige</t>
        </is>
      </c>
      <c r="C150" t="n">
        <v>31.8</v>
      </c>
      <c r="D150" t="n">
        <v>70.40000000000001</v>
      </c>
      <c r="E150" t="n">
        <v>90</v>
      </c>
      <c r="F150" t="n">
        <v>0</v>
      </c>
      <c r="G150">
        <f>SUMIF(PRISPELO!B:B, A150, PRISPELO!G:G)</f>
        <v/>
      </c>
      <c r="H150">
        <f>SUMIF(ODPIS!B:B, A150, ODPIS!G:G)</f>
        <v/>
      </c>
      <c r="I150" s="2">
        <f>F150 + G150 - H150</f>
        <v/>
      </c>
    </row>
    <row r="151">
      <c r="A151" t="n">
        <v>623</v>
      </c>
      <c r="B151" t="inlineStr">
        <is>
          <t>Maestro Print</t>
        </is>
      </c>
      <c r="C151" t="n">
        <v>64</v>
      </c>
      <c r="D151" t="n">
        <v>88</v>
      </c>
      <c r="E151" t="n">
        <v>80</v>
      </c>
      <c r="F151" t="n">
        <v>0</v>
      </c>
      <c r="G151">
        <f>SUMIF(PRISPELO!B:B, A151, PRISPELO!G:G)</f>
        <v/>
      </c>
      <c r="H151">
        <f>SUMIF(ODPIS!B:B, A151, ODPIS!G:G)</f>
        <v/>
      </c>
      <c r="I151" s="2">
        <f>F151 + G151 - H151</f>
        <v/>
      </c>
    </row>
    <row r="152">
      <c r="A152" t="n">
        <v>2061</v>
      </c>
      <c r="B152" t="inlineStr">
        <is>
          <t>Kuverta Conqueror laid C5/6 BO</t>
        </is>
      </c>
      <c r="C152" t="n">
        <v>11</v>
      </c>
      <c r="D152" t="n">
        <v>22</v>
      </c>
      <c r="E152" t="n">
        <v>120</v>
      </c>
      <c r="F152" t="n">
        <v>0</v>
      </c>
      <c r="G152">
        <f>SUMIF(PRISPELO!B:B, A152, PRISPELO!G:G)</f>
        <v/>
      </c>
      <c r="H152">
        <f>SUMIF(ODPIS!B:B, A152, ODPIS!G:G)</f>
        <v/>
      </c>
      <c r="I152" s="2">
        <f>F152 + G152 - H152</f>
        <v/>
      </c>
    </row>
    <row r="153">
      <c r="A153" t="n">
        <v>2184</v>
      </c>
      <c r="B153" t="inlineStr">
        <is>
          <t>SELECTION SMOOTH KUVERTA</t>
        </is>
      </c>
      <c r="C153" t="n">
        <v>11</v>
      </c>
      <c r="D153" t="n">
        <v>22</v>
      </c>
      <c r="E153" t="n">
        <v>120</v>
      </c>
      <c r="F153" t="n">
        <v>0</v>
      </c>
      <c r="G153">
        <f>SUMIF(PRISPELO!B:B, A153, PRISPELO!G:G)</f>
        <v/>
      </c>
      <c r="H153">
        <f>SUMIF(ODPIS!B:B, A153, ODPIS!G:G)</f>
        <v/>
      </c>
      <c r="I153" s="2">
        <f>F153 + G153 - H153</f>
        <v/>
      </c>
    </row>
    <row r="154">
      <c r="A154" t="n">
        <v>635</v>
      </c>
      <c r="B154" t="inlineStr">
        <is>
          <t>ON OFFset</t>
        </is>
      </c>
      <c r="C154" t="n">
        <v>64</v>
      </c>
      <c r="D154" t="n">
        <v>90</v>
      </c>
      <c r="E154" t="n">
        <v>90</v>
      </c>
      <c r="F154" t="n">
        <v>0</v>
      </c>
      <c r="G154">
        <f>SUMIF(PRISPELO!B:B, A154, PRISPELO!G:G)</f>
        <v/>
      </c>
      <c r="H154">
        <f>SUMIF(ODPIS!B:B, A154, ODPIS!G:G)</f>
        <v/>
      </c>
      <c r="I154" s="2">
        <f>F154 + G154 - H154</f>
        <v/>
      </c>
    </row>
    <row r="155">
      <c r="A155" t="n">
        <v>638</v>
      </c>
      <c r="B155" t="inlineStr">
        <is>
          <t>Fedrigoni Sirio NERO</t>
        </is>
      </c>
      <c r="C155" t="n">
        <v>70</v>
      </c>
      <c r="D155" t="n">
        <v>100</v>
      </c>
      <c r="E155" t="n">
        <v>115</v>
      </c>
      <c r="F155" t="n">
        <v>0</v>
      </c>
      <c r="G155">
        <f>SUMIF(PRISPELO!B:B, A155, PRISPELO!G:G)</f>
        <v/>
      </c>
      <c r="H155">
        <f>SUMIF(ODPIS!B:B, A155, ODPIS!G:G)</f>
        <v/>
      </c>
      <c r="I155" s="2">
        <f>F155 + G155 - H155</f>
        <v/>
      </c>
    </row>
    <row r="156">
      <c r="A156" t="n">
        <v>641</v>
      </c>
      <c r="B156" t="inlineStr">
        <is>
          <t>SUPERPRINT</t>
        </is>
      </c>
      <c r="C156" t="n">
        <v>70</v>
      </c>
      <c r="D156" t="n">
        <v>100</v>
      </c>
      <c r="E156" t="n">
        <v>70</v>
      </c>
      <c r="F156" t="n">
        <v>0</v>
      </c>
      <c r="G156">
        <f>SUMIF(PRISPELO!B:B, A156, PRISPELO!G:G)</f>
        <v/>
      </c>
      <c r="H156">
        <f>SUMIF(ODPIS!B:B, A156, ODPIS!G:G)</f>
        <v/>
      </c>
      <c r="I156" s="2">
        <f>F156 + G156 - H156</f>
        <v/>
      </c>
    </row>
    <row r="157">
      <c r="A157" t="n">
        <v>642</v>
      </c>
      <c r="B157" t="inlineStr">
        <is>
          <t>SUPERPRINT</t>
        </is>
      </c>
      <c r="C157" t="n">
        <v>100</v>
      </c>
      <c r="D157" t="n">
        <v>70</v>
      </c>
      <c r="E157" t="n">
        <v>80</v>
      </c>
      <c r="F157" t="n">
        <v>0</v>
      </c>
      <c r="G157">
        <f>SUMIF(PRISPELO!B:B, A157, PRISPELO!G:G)</f>
        <v/>
      </c>
      <c r="H157">
        <f>SUMIF(ODPIS!B:B, A157, ODPIS!G:G)</f>
        <v/>
      </c>
      <c r="I157" s="2">
        <f>F157 + G157 - H157</f>
        <v/>
      </c>
    </row>
    <row r="158">
      <c r="A158" t="n">
        <v>643</v>
      </c>
      <c r="B158" t="inlineStr">
        <is>
          <t>SUPERPRINT</t>
        </is>
      </c>
      <c r="C158" t="n">
        <v>57</v>
      </c>
      <c r="D158" t="n">
        <v>43</v>
      </c>
      <c r="E158" t="n">
        <v>80</v>
      </c>
      <c r="F158" t="n">
        <v>0</v>
      </c>
      <c r="G158">
        <f>SUMIF(PRISPELO!B:B, A158, PRISPELO!G:G)</f>
        <v/>
      </c>
      <c r="H158">
        <f>SUMIF(ODPIS!B:B, A158, ODPIS!G:G)</f>
        <v/>
      </c>
      <c r="I158" s="2">
        <f>F158 + G158 - H158</f>
        <v/>
      </c>
    </row>
    <row r="159">
      <c r="A159" t="n">
        <v>646</v>
      </c>
      <c r="B159" t="inlineStr">
        <is>
          <t>SUPERPRINT</t>
        </is>
      </c>
      <c r="C159" t="n">
        <v>70</v>
      </c>
      <c r="D159" t="n">
        <v>100</v>
      </c>
      <c r="E159" t="n">
        <v>80</v>
      </c>
      <c r="F159" t="n">
        <v>0</v>
      </c>
      <c r="G159">
        <f>SUMIF(PRISPELO!B:B, A159, PRISPELO!G:G)</f>
        <v/>
      </c>
      <c r="H159">
        <f>SUMIF(ODPIS!B:B, A159, ODPIS!G:G)</f>
        <v/>
      </c>
      <c r="I159" s="2">
        <f>F159 + G159 - H159</f>
        <v/>
      </c>
    </row>
    <row r="160">
      <c r="A160" t="n">
        <v>648</v>
      </c>
      <c r="B160" t="inlineStr">
        <is>
          <t>SUPERPRINT</t>
        </is>
      </c>
      <c r="C160" t="n">
        <v>100</v>
      </c>
      <c r="D160" t="n">
        <v>70</v>
      </c>
      <c r="E160" t="n">
        <v>90</v>
      </c>
      <c r="F160" t="n">
        <v>0</v>
      </c>
      <c r="G160">
        <f>SUMIF(PRISPELO!B:B, A160, PRISPELO!G:G)</f>
        <v/>
      </c>
      <c r="H160">
        <f>SUMIF(ODPIS!B:B, A160, ODPIS!G:G)</f>
        <v/>
      </c>
      <c r="I160" s="2">
        <f>F160 + G160 - H160</f>
        <v/>
      </c>
    </row>
    <row r="161">
      <c r="A161" t="n">
        <v>649</v>
      </c>
      <c r="B161" t="inlineStr">
        <is>
          <t>SUPERPRINT</t>
        </is>
      </c>
      <c r="C161" t="n">
        <v>70</v>
      </c>
      <c r="D161" t="n">
        <v>100</v>
      </c>
      <c r="E161" t="n">
        <v>90</v>
      </c>
      <c r="F161" t="n">
        <v>0</v>
      </c>
      <c r="G161">
        <f>SUMIF(PRISPELO!B:B, A161, PRISPELO!G:G)</f>
        <v/>
      </c>
      <c r="H161">
        <f>SUMIF(ODPIS!B:B, A161, ODPIS!G:G)</f>
        <v/>
      </c>
      <c r="I161" s="2">
        <f>F161 + G161 - H161</f>
        <v/>
      </c>
    </row>
    <row r="162">
      <c r="A162" t="n">
        <v>650</v>
      </c>
      <c r="B162" t="inlineStr">
        <is>
          <t>SUPERPRINT</t>
        </is>
      </c>
      <c r="C162" t="n">
        <v>70</v>
      </c>
      <c r="D162" t="n">
        <v>100</v>
      </c>
      <c r="E162" t="n">
        <v>100</v>
      </c>
      <c r="F162" t="n">
        <v>0</v>
      </c>
      <c r="G162">
        <f>SUMIF(PRISPELO!B:B, A162, PRISPELO!G:G)</f>
        <v/>
      </c>
      <c r="H162">
        <f>SUMIF(ODPIS!B:B, A162, ODPIS!G:G)</f>
        <v/>
      </c>
      <c r="I162" s="2">
        <f>F162 + G162 - H162</f>
        <v/>
      </c>
    </row>
    <row r="163">
      <c r="A163" t="n">
        <v>654</v>
      </c>
      <c r="B163" t="inlineStr">
        <is>
          <t>IDEM FORMULA-CB</t>
        </is>
      </c>
      <c r="C163" t="n">
        <v>45</v>
      </c>
      <c r="D163" t="n">
        <v>64</v>
      </c>
      <c r="E163" t="n">
        <v>60</v>
      </c>
      <c r="F163" t="n">
        <v>600</v>
      </c>
      <c r="G163">
        <f>SUMIF(PRISPELO!B:B, A163, PRISPELO!G:G)</f>
        <v/>
      </c>
      <c r="H163">
        <f>SUMIF(ODPIS!B:B, A163, ODPIS!G:G)</f>
        <v/>
      </c>
      <c r="I163" s="2">
        <f>F163 + G163 - H163</f>
        <v/>
      </c>
    </row>
    <row r="164">
      <c r="A164" t="n">
        <v>656</v>
      </c>
      <c r="B164" t="inlineStr">
        <is>
          <t>IDEM FORMULA-CF</t>
        </is>
      </c>
      <c r="C164" t="n">
        <v>45</v>
      </c>
      <c r="D164" t="n">
        <v>64</v>
      </c>
      <c r="E164" t="n">
        <v>60</v>
      </c>
      <c r="F164" t="n">
        <v>0</v>
      </c>
      <c r="G164">
        <f>SUMIF(PRISPELO!B:B, A164, PRISPELO!G:G)</f>
        <v/>
      </c>
      <c r="H164">
        <f>SUMIF(ODPIS!B:B, A164, ODPIS!G:G)</f>
        <v/>
      </c>
      <c r="I164" s="2">
        <f>F164 + G164 - H164</f>
        <v/>
      </c>
    </row>
    <row r="165">
      <c r="A165" t="n">
        <v>656</v>
      </c>
      <c r="B165" t="inlineStr">
        <is>
          <t>IDEM FORMULA-CF</t>
        </is>
      </c>
      <c r="C165" t="n">
        <v>45</v>
      </c>
      <c r="D165" t="n">
        <v>64</v>
      </c>
      <c r="E165" t="n">
        <v>60</v>
      </c>
      <c r="F165" t="n">
        <v>0</v>
      </c>
      <c r="G165">
        <f>SUMIF(PRISPELO!B:B, A165, PRISPELO!G:G)</f>
        <v/>
      </c>
      <c r="H165">
        <f>SUMIF(ODPIS!B:B, A165, ODPIS!G:G)</f>
        <v/>
      </c>
      <c r="I165" s="2">
        <f>F165 + G165 - H165</f>
        <v/>
      </c>
    </row>
    <row r="166">
      <c r="A166" t="n">
        <v>657</v>
      </c>
      <c r="B166" t="inlineStr">
        <is>
          <t>IDEM FORMULA-CFB</t>
        </is>
      </c>
      <c r="C166" t="n">
        <v>45</v>
      </c>
      <c r="D166" t="n">
        <v>64</v>
      </c>
      <c r="E166" t="n">
        <v>60</v>
      </c>
      <c r="F166" t="n">
        <v>300</v>
      </c>
      <c r="G166">
        <f>SUMIF(PRISPELO!B:B, A166, PRISPELO!G:G)</f>
        <v/>
      </c>
      <c r="H166">
        <f>SUMIF(ODPIS!B:B, A166, ODPIS!G:G)</f>
        <v/>
      </c>
      <c r="I166" s="2">
        <f>F166 + G166 - H166</f>
        <v/>
      </c>
    </row>
    <row r="167">
      <c r="A167" t="n">
        <v>660</v>
      </c>
      <c r="B167" t="inlineStr">
        <is>
          <t>IDEM SUPERIOR - CFB</t>
        </is>
      </c>
      <c r="C167" t="n">
        <v>61</v>
      </c>
      <c r="D167" t="n">
        <v>86</v>
      </c>
      <c r="E167" t="n">
        <v>60</v>
      </c>
      <c r="F167" t="n">
        <v>0</v>
      </c>
      <c r="G167">
        <f>SUMIF(PRISPELO!B:B, A167, PRISPELO!G:G)</f>
        <v/>
      </c>
      <c r="H167">
        <f>SUMIF(ODPIS!B:B, A167, ODPIS!G:G)</f>
        <v/>
      </c>
      <c r="I167" s="2">
        <f>F167 + G167 - H167</f>
        <v/>
      </c>
    </row>
    <row r="168">
      <c r="A168" t="n">
        <v>2210</v>
      </c>
      <c r="B168" t="inlineStr">
        <is>
          <t>Kuverta Opale Wove BO silik. trak</t>
        </is>
      </c>
      <c r="C168" t="n">
        <v>16</v>
      </c>
      <c r="D168" t="n">
        <v>16</v>
      </c>
      <c r="E168" t="n">
        <v>120</v>
      </c>
      <c r="F168" t="n">
        <v>0</v>
      </c>
      <c r="G168">
        <f>SUMIF(PRISPELO!B:B, A168, PRISPELO!G:G)</f>
        <v/>
      </c>
      <c r="H168">
        <f>SUMIF(ODPIS!B:B, A168, ODPIS!G:G)</f>
        <v/>
      </c>
      <c r="I168" s="2">
        <f>F168 + G168 - H168</f>
        <v/>
      </c>
    </row>
    <row r="169">
      <c r="A169" t="n">
        <v>2065</v>
      </c>
      <c r="B169" t="inlineStr">
        <is>
          <t>Kuverta Courious skin</t>
        </is>
      </c>
      <c r="C169" t="n">
        <v>11</v>
      </c>
      <c r="D169" t="n">
        <v>22</v>
      </c>
      <c r="E169" t="n">
        <v>135</v>
      </c>
      <c r="F169" t="n">
        <v>0</v>
      </c>
      <c r="G169">
        <f>SUMIF(PRISPELO!B:B, A169, PRISPELO!G:G)</f>
        <v/>
      </c>
      <c r="H169">
        <f>SUMIF(ODPIS!B:B, A169, ODPIS!G:G)</f>
        <v/>
      </c>
      <c r="I169" s="2">
        <f>F169 + G169 - H169</f>
        <v/>
      </c>
    </row>
    <row r="170">
      <c r="A170" t="n">
        <v>2213</v>
      </c>
      <c r="B170" t="inlineStr">
        <is>
          <t>kuverta curious skin sil.tr.</t>
        </is>
      </c>
      <c r="C170" t="n">
        <v>11</v>
      </c>
      <c r="D170" t="n">
        <v>22</v>
      </c>
      <c r="E170" t="n">
        <v>135</v>
      </c>
      <c r="F170" t="n">
        <v>0</v>
      </c>
      <c r="G170">
        <f>SUMIF(PRISPELO!B:B, A170, PRISPELO!G:G)</f>
        <v/>
      </c>
      <c r="H170">
        <f>SUMIF(ODPIS!B:B, A170, ODPIS!G:G)</f>
        <v/>
      </c>
      <c r="I170" s="2">
        <f>F170 + G170 - H170</f>
        <v/>
      </c>
    </row>
    <row r="171">
      <c r="A171" t="n">
        <v>660</v>
      </c>
      <c r="B171" t="inlineStr">
        <is>
          <t>IDEM SUPERIOR - CFB</t>
        </is>
      </c>
      <c r="C171" t="n">
        <v>61</v>
      </c>
      <c r="D171" t="n">
        <v>86</v>
      </c>
      <c r="E171" t="n">
        <v>60</v>
      </c>
      <c r="F171" t="n">
        <v>0</v>
      </c>
      <c r="G171">
        <f>SUMIF(PRISPELO!B:B, A171, PRISPELO!G:G)</f>
        <v/>
      </c>
      <c r="H171">
        <f>SUMIF(ODPIS!B:B, A171, ODPIS!G:G)</f>
        <v/>
      </c>
      <c r="I171" s="2">
        <f>F171 + G171 - H171</f>
        <v/>
      </c>
    </row>
    <row r="172">
      <c r="A172" t="n">
        <v>665</v>
      </c>
      <c r="B172" t="inlineStr">
        <is>
          <t>BELPAK</t>
        </is>
      </c>
      <c r="C172" t="n">
        <v>71</v>
      </c>
      <c r="D172" t="n">
        <v>101</v>
      </c>
      <c r="E172" t="n">
        <v>350</v>
      </c>
      <c r="F172" t="n">
        <v>0</v>
      </c>
      <c r="G172">
        <f>SUMIF(PRISPELO!B:B, A172, PRISPELO!G:G)</f>
        <v/>
      </c>
      <c r="H172">
        <f>SUMIF(ODPIS!B:B, A172, ODPIS!G:G)</f>
        <v/>
      </c>
      <c r="I172" s="2">
        <f>F172 + G172 - H172</f>
        <v/>
      </c>
    </row>
    <row r="173">
      <c r="A173" t="n">
        <v>700</v>
      </c>
      <c r="B173" t="inlineStr">
        <is>
          <t>LEPENKA SIVA 1,75 mm</t>
        </is>
      </c>
      <c r="C173" t="n">
        <v>71</v>
      </c>
      <c r="D173" t="n">
        <v>101</v>
      </c>
      <c r="E173" t="n">
        <v>1075</v>
      </c>
      <c r="F173" t="n">
        <v>0</v>
      </c>
      <c r="G173">
        <f>SUMIF(PRISPELO!B:B, A173, PRISPELO!G:G)</f>
        <v/>
      </c>
      <c r="H173">
        <f>SUMIF(ODPIS!B:B, A173, ODPIS!G:G)</f>
        <v/>
      </c>
      <c r="I173" s="2">
        <f>F173 + G173 - H173</f>
        <v/>
      </c>
    </row>
    <row r="174">
      <c r="A174" t="n">
        <v>748</v>
      </c>
      <c r="B174" t="inlineStr">
        <is>
          <t>DITO OFSET</t>
        </is>
      </c>
      <c r="C174" t="n">
        <v>64</v>
      </c>
      <c r="D174" t="n">
        <v>88</v>
      </c>
      <c r="E174" t="n">
        <v>90</v>
      </c>
      <c r="F174" t="n">
        <v>0</v>
      </c>
      <c r="G174">
        <f>SUMIF(PRISPELO!B:B, A174, PRISPELO!G:G)</f>
        <v/>
      </c>
      <c r="H174">
        <f>SUMIF(ODPIS!B:B, A174, ODPIS!G:G)</f>
        <v/>
      </c>
      <c r="I174" s="2">
        <f>F174 + G174 - H174</f>
        <v/>
      </c>
    </row>
    <row r="175">
      <c r="A175" t="n">
        <v>756</v>
      </c>
      <c r="B175" t="inlineStr">
        <is>
          <t>DITO OFSET</t>
        </is>
      </c>
      <c r="C175" t="n">
        <v>100</v>
      </c>
      <c r="D175" t="n">
        <v>70</v>
      </c>
      <c r="E175" t="n">
        <v>90</v>
      </c>
      <c r="F175" t="n">
        <v>0</v>
      </c>
      <c r="G175">
        <f>SUMIF(PRISPELO!B:B, A175, PRISPELO!G:G)</f>
        <v/>
      </c>
      <c r="H175">
        <f>SUMIF(ODPIS!B:B, A175, ODPIS!G:G)</f>
        <v/>
      </c>
      <c r="I175" s="2">
        <f>F175 + G175 - H175</f>
        <v/>
      </c>
    </row>
    <row r="176">
      <c r="A176" t="n">
        <v>757</v>
      </c>
      <c r="B176" t="inlineStr">
        <is>
          <t>DITO OFSET</t>
        </is>
      </c>
      <c r="C176" t="n">
        <v>88</v>
      </c>
      <c r="D176" t="n">
        <v>64</v>
      </c>
      <c r="E176" t="n">
        <v>80</v>
      </c>
      <c r="F176" t="n">
        <v>0</v>
      </c>
      <c r="G176">
        <f>SUMIF(PRISPELO!B:B, A176, PRISPELO!G:G)</f>
        <v/>
      </c>
      <c r="H176">
        <f>SUMIF(ODPIS!B:B, A176, ODPIS!G:G)</f>
        <v/>
      </c>
      <c r="I176" s="2">
        <f>F176 + G176 - H176</f>
        <v/>
      </c>
    </row>
    <row r="177">
      <c r="A177" t="n">
        <v>758</v>
      </c>
      <c r="B177" t="inlineStr">
        <is>
          <t>DITO OFSET</t>
        </is>
      </c>
      <c r="C177" t="n">
        <v>90</v>
      </c>
      <c r="D177" t="n">
        <v>64</v>
      </c>
      <c r="E177" t="n">
        <v>90</v>
      </c>
      <c r="F177" t="n">
        <v>0</v>
      </c>
      <c r="G177">
        <f>SUMIF(PRISPELO!B:B, A177, PRISPELO!G:G)</f>
        <v/>
      </c>
      <c r="H177">
        <f>SUMIF(ODPIS!B:B, A177, ODPIS!G:G)</f>
        <v/>
      </c>
      <c r="I177" s="2">
        <f>F177 + G177 - H177</f>
        <v/>
      </c>
    </row>
    <row r="178">
      <c r="A178" t="n">
        <v>921</v>
      </c>
      <c r="B178" t="inlineStr">
        <is>
          <t>DITO OFSET</t>
        </is>
      </c>
      <c r="C178" t="n">
        <v>100</v>
      </c>
      <c r="D178" t="n">
        <v>70</v>
      </c>
      <c r="E178" t="n">
        <v>80</v>
      </c>
      <c r="F178" t="n">
        <v>0</v>
      </c>
      <c r="G178">
        <f>SUMIF(PRISPELO!B:B, A178, PRISPELO!G:G)</f>
        <v/>
      </c>
      <c r="H178">
        <f>SUMIF(ODPIS!B:B, A178, ODPIS!G:G)</f>
        <v/>
      </c>
      <c r="I178" s="2">
        <f>F178 + G178 - H178</f>
        <v/>
      </c>
    </row>
    <row r="179">
      <c r="A179" t="n">
        <v>982</v>
      </c>
      <c r="B179" t="inlineStr">
        <is>
          <t>DITO OFSET</t>
        </is>
      </c>
      <c r="C179" t="n">
        <v>64</v>
      </c>
      <c r="D179" t="n">
        <v>90</v>
      </c>
      <c r="E179" t="n">
        <v>120</v>
      </c>
      <c r="F179" t="n">
        <v>0</v>
      </c>
      <c r="G179">
        <f>SUMIF(PRISPELO!B:B, A179, PRISPELO!G:G)</f>
        <v/>
      </c>
      <c r="H179">
        <f>SUMIF(ODPIS!B:B, A179, ODPIS!G:G)</f>
        <v/>
      </c>
      <c r="I179" s="2">
        <f>F179 + G179 - H179</f>
        <v/>
      </c>
    </row>
    <row r="180">
      <c r="A180" t="n">
        <v>984</v>
      </c>
      <c r="B180" t="inlineStr">
        <is>
          <t>DITO OFSET</t>
        </is>
      </c>
      <c r="C180" t="n">
        <v>100</v>
      </c>
      <c r="D180" t="n">
        <v>70</v>
      </c>
      <c r="E180" t="n">
        <v>100</v>
      </c>
      <c r="F180" t="n">
        <v>0</v>
      </c>
      <c r="G180">
        <f>SUMIF(PRISPELO!B:B, A180, PRISPELO!G:G)</f>
        <v/>
      </c>
      <c r="H180">
        <f>SUMIF(ODPIS!B:B, A180, ODPIS!G:G)</f>
        <v/>
      </c>
      <c r="I180" s="2">
        <f>F180 + G180 - H180</f>
        <v/>
      </c>
    </row>
    <row r="181">
      <c r="A181" t="n">
        <v>985</v>
      </c>
      <c r="B181" t="inlineStr">
        <is>
          <t>DITO OFSET</t>
        </is>
      </c>
      <c r="C181" t="n">
        <v>70</v>
      </c>
      <c r="D181" t="n">
        <v>100</v>
      </c>
      <c r="E181" t="n">
        <v>100</v>
      </c>
      <c r="F181" t="n">
        <v>0</v>
      </c>
      <c r="G181">
        <f>SUMIF(PRISPELO!B:B, A181, PRISPELO!G:G)</f>
        <v/>
      </c>
      <c r="H181">
        <f>SUMIF(ODPIS!B:B, A181, ODPIS!G:G)</f>
        <v/>
      </c>
      <c r="I181" s="2">
        <f>F181 + G181 - H181</f>
        <v/>
      </c>
    </row>
    <row r="182">
      <c r="A182" t="n">
        <v>986</v>
      </c>
      <c r="B182" t="inlineStr">
        <is>
          <t>DITO OFSET</t>
        </is>
      </c>
      <c r="C182" t="n">
        <v>90</v>
      </c>
      <c r="D182" t="n">
        <v>64</v>
      </c>
      <c r="E182" t="n">
        <v>120</v>
      </c>
      <c r="F182" t="n">
        <v>0</v>
      </c>
      <c r="G182">
        <f>SUMIF(PRISPELO!B:B, A182, PRISPELO!G:G)</f>
        <v/>
      </c>
      <c r="H182">
        <f>SUMIF(ODPIS!B:B, A182, ODPIS!G:G)</f>
        <v/>
      </c>
      <c r="I182" s="2">
        <f>F182 + G182 - H182</f>
        <v/>
      </c>
    </row>
    <row r="183">
      <c r="A183" t="n">
        <v>987</v>
      </c>
      <c r="B183" t="inlineStr">
        <is>
          <t>DITO OFSET</t>
        </is>
      </c>
      <c r="C183" t="n">
        <v>64</v>
      </c>
      <c r="D183" t="n">
        <v>90</v>
      </c>
      <c r="E183" t="n">
        <v>170</v>
      </c>
      <c r="F183" t="n">
        <v>0</v>
      </c>
      <c r="G183">
        <f>SUMIF(PRISPELO!B:B, A183, PRISPELO!G:G)</f>
        <v/>
      </c>
      <c r="H183">
        <f>SUMIF(ODPIS!B:B, A183, ODPIS!G:G)</f>
        <v/>
      </c>
      <c r="I183" s="2">
        <f>F183 + G183 - H183</f>
        <v/>
      </c>
    </row>
    <row r="184">
      <c r="A184" t="n">
        <v>988</v>
      </c>
      <c r="B184" t="inlineStr">
        <is>
          <t>DITO OFSET</t>
        </is>
      </c>
      <c r="C184" t="n">
        <v>70</v>
      </c>
      <c r="D184" t="n">
        <v>100</v>
      </c>
      <c r="E184" t="n">
        <v>120</v>
      </c>
      <c r="F184" t="n">
        <v>0</v>
      </c>
      <c r="G184">
        <f>SUMIF(PRISPELO!B:B, A184, PRISPELO!G:G)</f>
        <v/>
      </c>
      <c r="H184">
        <f>SUMIF(ODPIS!B:B, A184, ODPIS!G:G)</f>
        <v/>
      </c>
      <c r="I184" s="2">
        <f>F184 + G184 - H184</f>
        <v/>
      </c>
    </row>
    <row r="185">
      <c r="A185" t="n">
        <v>989</v>
      </c>
      <c r="B185" t="inlineStr">
        <is>
          <t>DITO OFSET</t>
        </is>
      </c>
      <c r="C185" t="n">
        <v>100</v>
      </c>
      <c r="D185" t="n">
        <v>70</v>
      </c>
      <c r="E185" t="n">
        <v>120</v>
      </c>
      <c r="F185" t="n">
        <v>0</v>
      </c>
      <c r="G185">
        <f>SUMIF(PRISPELO!B:B, A185, PRISPELO!G:G)</f>
        <v/>
      </c>
      <c r="H185">
        <f>SUMIF(ODPIS!B:B, A185, ODPIS!G:G)</f>
        <v/>
      </c>
      <c r="I185" s="2">
        <f>F185 + G185 - H185</f>
        <v/>
      </c>
    </row>
    <row r="186">
      <c r="A186" t="n">
        <v>990</v>
      </c>
      <c r="B186" t="inlineStr">
        <is>
          <t>DITO OFSET</t>
        </is>
      </c>
      <c r="C186" t="n">
        <v>88</v>
      </c>
      <c r="D186" t="n">
        <v>64</v>
      </c>
      <c r="E186" t="n">
        <v>140</v>
      </c>
      <c r="F186" t="n">
        <v>0</v>
      </c>
      <c r="G186">
        <f>SUMIF(PRISPELO!B:B, A186, PRISPELO!G:G)</f>
        <v/>
      </c>
      <c r="H186">
        <f>SUMIF(ODPIS!B:B, A186, ODPIS!G:G)</f>
        <v/>
      </c>
      <c r="I186" s="2">
        <f>F186 + G186 - H186</f>
        <v/>
      </c>
    </row>
    <row r="187">
      <c r="A187" t="n">
        <v>991</v>
      </c>
      <c r="B187" t="inlineStr">
        <is>
          <t>DITO OFSET</t>
        </is>
      </c>
      <c r="C187" t="n">
        <v>64</v>
      </c>
      <c r="D187" t="n">
        <v>88</v>
      </c>
      <c r="E187" t="n">
        <v>140</v>
      </c>
      <c r="F187" t="n">
        <v>0</v>
      </c>
      <c r="G187">
        <f>SUMIF(PRISPELO!B:B, A187, PRISPELO!G:G)</f>
        <v/>
      </c>
      <c r="H187">
        <f>SUMIF(ODPIS!B:B, A187, ODPIS!G:G)</f>
        <v/>
      </c>
      <c r="I187" s="2">
        <f>F187 + G187 - H187</f>
        <v/>
      </c>
    </row>
    <row r="188">
      <c r="A188" t="n">
        <v>992</v>
      </c>
      <c r="B188" t="inlineStr">
        <is>
          <t>DITO OFSET</t>
        </is>
      </c>
      <c r="C188" t="n">
        <v>70</v>
      </c>
      <c r="D188" t="n">
        <v>100</v>
      </c>
      <c r="E188" t="n">
        <v>140</v>
      </c>
      <c r="F188" t="n">
        <v>0</v>
      </c>
      <c r="G188">
        <f>SUMIF(PRISPELO!B:B, A188, PRISPELO!G:G)</f>
        <v/>
      </c>
      <c r="H188">
        <f>SUMIF(ODPIS!B:B, A188, ODPIS!G:G)</f>
        <v/>
      </c>
      <c r="I188" s="2">
        <f>F188 + G188 - H188</f>
        <v/>
      </c>
    </row>
    <row r="189">
      <c r="A189" t="n">
        <v>993</v>
      </c>
      <c r="B189" t="inlineStr">
        <is>
          <t>DITO OFSET</t>
        </is>
      </c>
      <c r="C189" t="n">
        <v>100</v>
      </c>
      <c r="D189" t="n">
        <v>70</v>
      </c>
      <c r="E189" t="n">
        <v>140</v>
      </c>
      <c r="F189" t="n">
        <v>0</v>
      </c>
      <c r="G189">
        <f>SUMIF(PRISPELO!B:B, A189, PRISPELO!G:G)</f>
        <v/>
      </c>
      <c r="H189">
        <f>SUMIF(ODPIS!B:B, A189, ODPIS!G:G)</f>
        <v/>
      </c>
      <c r="I189" s="2">
        <f>F189 + G189 - H189</f>
        <v/>
      </c>
    </row>
    <row r="190">
      <c r="A190" t="n">
        <v>1046</v>
      </c>
      <c r="B190" t="inlineStr">
        <is>
          <t>IDEM SUPERIOR - CF</t>
        </is>
      </c>
      <c r="C190" t="n">
        <v>61</v>
      </c>
      <c r="D190" t="n">
        <v>86</v>
      </c>
      <c r="E190" t="n">
        <v>125</v>
      </c>
      <c r="F190" t="n">
        <v>0</v>
      </c>
      <c r="G190">
        <f>SUMIF(PRISPELO!B:B, A190, PRISPELO!G:G)</f>
        <v/>
      </c>
      <c r="H190">
        <f>SUMIF(ODPIS!B:B, A190, ODPIS!G:G)</f>
        <v/>
      </c>
      <c r="I190" s="2">
        <f>F190 + G190 - H190</f>
        <v/>
      </c>
    </row>
    <row r="191">
      <c r="A191" t="n">
        <v>1134</v>
      </c>
      <c r="B191" t="inlineStr">
        <is>
          <t>NiklaSelect</t>
        </is>
      </c>
      <c r="C191" t="n">
        <v>100</v>
      </c>
      <c r="D191" t="n">
        <v>70</v>
      </c>
      <c r="E191" t="n">
        <v>70</v>
      </c>
      <c r="F191" t="n">
        <v>0</v>
      </c>
      <c r="G191">
        <f>SUMIF(PRISPELO!B:B, A191, PRISPELO!G:G)</f>
        <v/>
      </c>
      <c r="H191">
        <f>SUMIF(ODPIS!B:B, A191, ODPIS!G:G)</f>
        <v/>
      </c>
      <c r="I191" s="2">
        <f>F191 + G191 - H191</f>
        <v/>
      </c>
    </row>
    <row r="192">
      <c r="A192" t="n">
        <v>1135</v>
      </c>
      <c r="B192" t="inlineStr">
        <is>
          <t>NiklaSelect</t>
        </is>
      </c>
      <c r="C192" t="n">
        <v>70</v>
      </c>
      <c r="D192" t="n">
        <v>100</v>
      </c>
      <c r="E192" t="n">
        <v>80</v>
      </c>
      <c r="F192" t="n">
        <v>0</v>
      </c>
      <c r="G192">
        <f>SUMIF(PRISPELO!B:B, A192, PRISPELO!G:G)</f>
        <v/>
      </c>
      <c r="H192">
        <f>SUMIF(ODPIS!B:B, A192, ODPIS!G:G)</f>
        <v/>
      </c>
      <c r="I192" s="2">
        <f>F192 + G192 - H192</f>
        <v/>
      </c>
    </row>
    <row r="193">
      <c r="A193" t="n">
        <v>1136</v>
      </c>
      <c r="B193" t="inlineStr">
        <is>
          <t>NiklaSelect</t>
        </is>
      </c>
      <c r="C193" t="n">
        <v>70</v>
      </c>
      <c r="D193" t="n">
        <v>100</v>
      </c>
      <c r="E193" t="n">
        <v>90</v>
      </c>
      <c r="F193" t="n">
        <v>13000</v>
      </c>
      <c r="G193">
        <f>SUMIF(PRISPELO!B:B, A193, PRISPELO!G:G)</f>
        <v/>
      </c>
      <c r="H193">
        <f>SUMIF(ODPIS!B:B, A193, ODPIS!G:G)</f>
        <v/>
      </c>
      <c r="I193" s="2">
        <f>F193 + G193 - H193</f>
        <v/>
      </c>
    </row>
    <row r="194">
      <c r="A194" t="n">
        <v>1137</v>
      </c>
      <c r="B194" t="inlineStr">
        <is>
          <t>NIKLAKET MED.</t>
        </is>
      </c>
      <c r="C194" t="n">
        <v>100</v>
      </c>
      <c r="D194" t="n">
        <v>70</v>
      </c>
      <c r="E194" t="n">
        <v>75</v>
      </c>
      <c r="F194" t="n">
        <v>0</v>
      </c>
      <c r="G194">
        <f>SUMIF(PRISPELO!B:B, A194, PRISPELO!G:G)</f>
        <v/>
      </c>
      <c r="H194">
        <f>SUMIF(ODPIS!B:B, A194, ODPIS!G:G)</f>
        <v/>
      </c>
      <c r="I194" s="2">
        <f>F194 + G194 - H194</f>
        <v/>
      </c>
    </row>
    <row r="195">
      <c r="A195" t="n">
        <v>1138</v>
      </c>
      <c r="B195" t="inlineStr">
        <is>
          <t>NIKLAKET MED.</t>
        </is>
      </c>
      <c r="C195" t="n">
        <v>70</v>
      </c>
      <c r="D195" t="n">
        <v>100</v>
      </c>
      <c r="E195" t="n">
        <v>70</v>
      </c>
      <c r="F195" t="n">
        <v>0</v>
      </c>
      <c r="G195">
        <f>SUMIF(PRISPELO!B:B, A195, PRISPELO!G:G)</f>
        <v/>
      </c>
      <c r="H195">
        <f>SUMIF(ODPIS!B:B, A195, ODPIS!G:G)</f>
        <v/>
      </c>
      <c r="I195" s="2">
        <f>F195 + G195 - H195</f>
        <v/>
      </c>
    </row>
    <row r="196">
      <c r="A196" t="n">
        <v>1139</v>
      </c>
      <c r="B196" t="inlineStr">
        <is>
          <t>NIKLAKET MED.</t>
        </is>
      </c>
      <c r="C196" t="n">
        <v>100</v>
      </c>
      <c r="D196" t="n">
        <v>70</v>
      </c>
      <c r="E196" t="n">
        <v>70</v>
      </c>
      <c r="F196" t="n">
        <v>0</v>
      </c>
      <c r="G196">
        <f>SUMIF(PRISPELO!B:B, A196, PRISPELO!G:G)</f>
        <v/>
      </c>
      <c r="H196">
        <f>SUMIF(ODPIS!B:B, A196, ODPIS!G:G)</f>
        <v/>
      </c>
      <c r="I196" s="2">
        <f>F196 + G196 - H196</f>
        <v/>
      </c>
    </row>
    <row r="197">
      <c r="A197" t="n">
        <v>1177</v>
      </c>
      <c r="B197" t="inlineStr">
        <is>
          <t>Gardapat 13 klassica</t>
        </is>
      </c>
      <c r="C197" t="n">
        <v>64</v>
      </c>
      <c r="D197" t="n">
        <v>88</v>
      </c>
      <c r="E197" t="n">
        <v>135</v>
      </c>
      <c r="F197" t="n">
        <v>0</v>
      </c>
      <c r="G197">
        <f>SUMIF(PRISPELO!B:B, A197, PRISPELO!G:G)</f>
        <v/>
      </c>
      <c r="H197">
        <f>SUMIF(ODPIS!B:B, A197, ODPIS!G:G)</f>
        <v/>
      </c>
      <c r="I197" s="2">
        <f>F197 + G197 - H197</f>
        <v/>
      </c>
    </row>
    <row r="198">
      <c r="A198" t="n">
        <v>1178</v>
      </c>
      <c r="B198" t="inlineStr">
        <is>
          <t>Gardapat 13 klassica</t>
        </is>
      </c>
      <c r="C198" t="n">
        <v>70</v>
      </c>
      <c r="D198" t="n">
        <v>100</v>
      </c>
      <c r="E198" t="n">
        <v>135</v>
      </c>
      <c r="F198" t="n">
        <v>0</v>
      </c>
      <c r="G198">
        <f>SUMIF(PRISPELO!B:B, A198, PRISPELO!G:G)</f>
        <v/>
      </c>
      <c r="H198">
        <f>SUMIF(ODPIS!B:B, A198, ODPIS!G:G)</f>
        <v/>
      </c>
      <c r="I198" s="2">
        <f>F198 + G198 - H198</f>
        <v/>
      </c>
    </row>
    <row r="199">
      <c r="A199" t="n">
        <v>1183</v>
      </c>
      <c r="B199" t="inlineStr">
        <is>
          <t>Gardapat 13 klassica</t>
        </is>
      </c>
      <c r="C199" t="n">
        <v>70</v>
      </c>
      <c r="D199" t="n">
        <v>100</v>
      </c>
      <c r="E199" t="n">
        <v>115</v>
      </c>
      <c r="F199" t="n">
        <v>0</v>
      </c>
      <c r="G199">
        <f>SUMIF(PRISPELO!B:B, A199, PRISPELO!G:G)</f>
        <v/>
      </c>
      <c r="H199">
        <f>SUMIF(ODPIS!B:B, A199, ODPIS!G:G)</f>
        <v/>
      </c>
      <c r="I199" s="2">
        <f>F199 + G199 - H199</f>
        <v/>
      </c>
    </row>
    <row r="200">
      <c r="A200" t="n">
        <v>1184</v>
      </c>
      <c r="B200" t="inlineStr">
        <is>
          <t>Gardapat 13</t>
        </is>
      </c>
      <c r="C200" t="n">
        <v>90</v>
      </c>
      <c r="D200" t="n">
        <v>64</v>
      </c>
      <c r="E200" t="n">
        <v>200</v>
      </c>
      <c r="F200" t="n">
        <v>0</v>
      </c>
      <c r="G200">
        <f>SUMIF(PRISPELO!B:B, A200, PRISPELO!G:G)</f>
        <v/>
      </c>
      <c r="H200">
        <f>SUMIF(ODPIS!B:B, A200, ODPIS!G:G)</f>
        <v/>
      </c>
      <c r="I200" s="2">
        <f>F200 + G200 - H200</f>
        <v/>
      </c>
    </row>
    <row r="201">
      <c r="A201" t="n">
        <v>1186</v>
      </c>
      <c r="B201" t="inlineStr">
        <is>
          <t>Gardapat 13 klassica</t>
        </is>
      </c>
      <c r="C201" t="n">
        <v>70</v>
      </c>
      <c r="D201" t="n">
        <v>100</v>
      </c>
      <c r="E201" t="n">
        <v>200</v>
      </c>
      <c r="F201" t="n">
        <v>0</v>
      </c>
      <c r="G201">
        <f>SUMIF(PRISPELO!B:B, A201, PRISPELO!G:G)</f>
        <v/>
      </c>
      <c r="H201">
        <f>SUMIF(ODPIS!B:B, A201, ODPIS!G:G)</f>
        <v/>
      </c>
      <c r="I201" s="2">
        <f>F201 + G201 - H201</f>
        <v/>
      </c>
    </row>
    <row r="202">
      <c r="A202" t="n">
        <v>1187</v>
      </c>
      <c r="B202" t="inlineStr">
        <is>
          <t>Gardapat 13</t>
        </is>
      </c>
      <c r="C202" t="n">
        <v>100</v>
      </c>
      <c r="D202" t="n">
        <v>70</v>
      </c>
      <c r="E202" t="n">
        <v>200</v>
      </c>
      <c r="F202" t="n">
        <v>0</v>
      </c>
      <c r="G202">
        <f>SUMIF(PRISPELO!B:B, A202, PRISPELO!G:G)</f>
        <v/>
      </c>
      <c r="H202">
        <f>SUMIF(ODPIS!B:B, A202, ODPIS!G:G)</f>
        <v/>
      </c>
      <c r="I202" s="2">
        <f>F202 + G202 - H202</f>
        <v/>
      </c>
    </row>
    <row r="203">
      <c r="A203" t="n">
        <v>1198</v>
      </c>
      <c r="B203" t="inlineStr">
        <is>
          <t>Gardapat 13-kiara</t>
        </is>
      </c>
      <c r="C203" t="n">
        <v>70</v>
      </c>
      <c r="D203" t="n">
        <v>100</v>
      </c>
      <c r="E203" t="n">
        <v>150</v>
      </c>
      <c r="F203" t="n">
        <v>0</v>
      </c>
      <c r="G203">
        <f>SUMIF(PRISPELO!B:B, A203, PRISPELO!G:G)</f>
        <v/>
      </c>
      <c r="H203">
        <f>SUMIF(ODPIS!B:B, A203, ODPIS!G:G)</f>
        <v/>
      </c>
      <c r="I203" s="2">
        <f>F203 + G203 - H203</f>
        <v/>
      </c>
    </row>
    <row r="204">
      <c r="A204" t="n">
        <v>1265</v>
      </c>
      <c r="B204" t="inlineStr">
        <is>
          <t>MASTER Print</t>
        </is>
      </c>
      <c r="C204" t="n">
        <v>70</v>
      </c>
      <c r="D204" t="n">
        <v>100</v>
      </c>
      <c r="E204" t="n">
        <v>80</v>
      </c>
      <c r="F204" t="n">
        <v>0</v>
      </c>
      <c r="G204">
        <f>SUMIF(PRISPELO!B:B, A204, PRISPELO!G:G)</f>
        <v/>
      </c>
      <c r="H204">
        <f>SUMIF(ODPIS!B:B, A204, ODPIS!G:G)</f>
        <v/>
      </c>
      <c r="I204" s="2">
        <f>F204 + G204 - H204</f>
        <v/>
      </c>
    </row>
    <row r="205">
      <c r="A205" t="n">
        <v>1274</v>
      </c>
      <c r="B205" t="inlineStr">
        <is>
          <t>IDEM SUPERIOR - CFB bela</t>
        </is>
      </c>
      <c r="C205" t="n">
        <v>61</v>
      </c>
      <c r="D205" t="n">
        <v>86</v>
      </c>
      <c r="E205" t="n">
        <v>60</v>
      </c>
      <c r="F205" t="n">
        <v>0</v>
      </c>
      <c r="G205">
        <f>SUMIF(PRISPELO!B:B, A205, PRISPELO!G:G)</f>
        <v/>
      </c>
      <c r="H205">
        <f>SUMIF(ODPIS!B:B, A205, ODPIS!G:G)</f>
        <v/>
      </c>
      <c r="I205" s="2">
        <f>F205 + G205 - H205</f>
        <v/>
      </c>
    </row>
    <row r="206">
      <c r="A206" t="n">
        <v>1276</v>
      </c>
      <c r="B206" t="inlineStr">
        <is>
          <t>DITO OFSET</t>
        </is>
      </c>
      <c r="C206" t="n">
        <v>100</v>
      </c>
      <c r="D206" t="n">
        <v>70</v>
      </c>
      <c r="E206" t="n">
        <v>250</v>
      </c>
      <c r="F206" t="n">
        <v>0</v>
      </c>
      <c r="G206">
        <f>SUMIF(PRISPELO!B:B, A206, PRISPELO!G:G)</f>
        <v/>
      </c>
      <c r="H206">
        <f>SUMIF(ODPIS!B:B, A206, ODPIS!G:G)</f>
        <v/>
      </c>
      <c r="I206" s="2">
        <f>F206 + G206 - H206</f>
        <v/>
      </c>
    </row>
    <row r="207">
      <c r="A207" t="n">
        <v>1277</v>
      </c>
      <c r="B207" t="inlineStr">
        <is>
          <t>DITO OFSET</t>
        </is>
      </c>
      <c r="C207" t="n">
        <v>70</v>
      </c>
      <c r="D207" t="n">
        <v>100</v>
      </c>
      <c r="E207" t="n">
        <v>250</v>
      </c>
      <c r="F207" t="n">
        <v>0</v>
      </c>
      <c r="G207">
        <f>SUMIF(PRISPELO!B:B, A207, PRISPELO!G:G)</f>
        <v/>
      </c>
      <c r="H207">
        <f>SUMIF(ODPIS!B:B, A207, ODPIS!G:G)</f>
        <v/>
      </c>
      <c r="I207" s="2">
        <f>F207 + G207 - H207</f>
        <v/>
      </c>
    </row>
    <row r="208">
      <c r="A208" t="n">
        <v>1278</v>
      </c>
      <c r="B208" t="inlineStr">
        <is>
          <t>Maestro Print</t>
        </is>
      </c>
      <c r="C208" t="n">
        <v>70</v>
      </c>
      <c r="D208" t="n">
        <v>100</v>
      </c>
      <c r="E208" t="n">
        <v>170</v>
      </c>
      <c r="F208" t="n">
        <v>0</v>
      </c>
      <c r="G208">
        <f>SUMIF(PRISPELO!B:B, A208, PRISPELO!G:G)</f>
        <v/>
      </c>
      <c r="H208">
        <f>SUMIF(ODPIS!B:B, A208, ODPIS!G:G)</f>
        <v/>
      </c>
      <c r="I208" s="2">
        <f>F208 + G208 - H208</f>
        <v/>
      </c>
    </row>
    <row r="209">
      <c r="A209" t="n">
        <v>1279</v>
      </c>
      <c r="B209" t="inlineStr">
        <is>
          <t>Maestro Print</t>
        </is>
      </c>
      <c r="C209" t="n">
        <v>100</v>
      </c>
      <c r="D209" t="n">
        <v>70</v>
      </c>
      <c r="E209" t="n">
        <v>170</v>
      </c>
      <c r="F209" t="n">
        <v>0</v>
      </c>
      <c r="G209">
        <f>SUMIF(PRISPELO!B:B, A209, PRISPELO!G:G)</f>
        <v/>
      </c>
      <c r="H209">
        <f>SUMIF(ODPIS!B:B, A209, ODPIS!G:G)</f>
        <v/>
      </c>
      <c r="I209" s="2">
        <f>F209 + G209 - H209</f>
        <v/>
      </c>
    </row>
    <row r="210">
      <c r="A210" t="n">
        <v>1280</v>
      </c>
      <c r="B210" t="inlineStr">
        <is>
          <t>Maestro Print</t>
        </is>
      </c>
      <c r="C210" t="n">
        <v>70</v>
      </c>
      <c r="D210" t="n">
        <v>100</v>
      </c>
      <c r="E210" t="n">
        <v>160</v>
      </c>
      <c r="F210" t="n">
        <v>0</v>
      </c>
      <c r="G210">
        <f>SUMIF(PRISPELO!B:B, A210, PRISPELO!G:G)</f>
        <v/>
      </c>
      <c r="H210">
        <f>SUMIF(ODPIS!B:B, A210, ODPIS!G:G)</f>
        <v/>
      </c>
      <c r="I210" s="2">
        <f>F210 + G210 - H210</f>
        <v/>
      </c>
    </row>
    <row r="211">
      <c r="A211" t="n">
        <v>1281</v>
      </c>
      <c r="B211" t="inlineStr">
        <is>
          <t>Maestro Print</t>
        </is>
      </c>
      <c r="C211" t="n">
        <v>100</v>
      </c>
      <c r="D211" t="n">
        <v>70</v>
      </c>
      <c r="E211" t="n">
        <v>160</v>
      </c>
      <c r="F211" t="n">
        <v>0</v>
      </c>
      <c r="G211">
        <f>SUMIF(PRISPELO!B:B, A211, PRISPELO!G:G)</f>
        <v/>
      </c>
      <c r="H211">
        <f>SUMIF(ODPIS!B:B, A211, ODPIS!G:G)</f>
        <v/>
      </c>
      <c r="I211" s="2">
        <f>F211 + G211 - H211</f>
        <v/>
      </c>
    </row>
    <row r="212">
      <c r="A212" t="n">
        <v>1282</v>
      </c>
      <c r="B212" t="inlineStr">
        <is>
          <t>Maestro Print</t>
        </is>
      </c>
      <c r="C212" t="n">
        <v>70</v>
      </c>
      <c r="D212" t="n">
        <v>100</v>
      </c>
      <c r="E212" t="n">
        <v>250</v>
      </c>
      <c r="F212" t="n">
        <v>0</v>
      </c>
      <c r="G212">
        <f>SUMIF(PRISPELO!B:B, A212, PRISPELO!G:G)</f>
        <v/>
      </c>
      <c r="H212">
        <f>SUMIF(ODPIS!B:B, A212, ODPIS!G:G)</f>
        <v/>
      </c>
      <c r="I212" s="2">
        <f>F212 + G212 - H212</f>
        <v/>
      </c>
    </row>
    <row r="213">
      <c r="A213" t="n">
        <v>1283</v>
      </c>
      <c r="B213" t="inlineStr">
        <is>
          <t>Maestro Print</t>
        </is>
      </c>
      <c r="C213" t="n">
        <v>100</v>
      </c>
      <c r="D213" t="n">
        <v>70</v>
      </c>
      <c r="E213" t="n">
        <v>250</v>
      </c>
      <c r="F213" t="n">
        <v>0</v>
      </c>
      <c r="G213">
        <f>SUMIF(PRISPELO!B:B, A213, PRISPELO!G:G)</f>
        <v/>
      </c>
      <c r="H213">
        <f>SUMIF(ODPIS!B:B, A213, ODPIS!G:G)</f>
        <v/>
      </c>
      <c r="I213" s="2">
        <f>F213 + G213 - H213</f>
        <v/>
      </c>
    </row>
    <row r="214">
      <c r="A214" t="n">
        <v>1284</v>
      </c>
      <c r="B214" t="inlineStr">
        <is>
          <t>Maestro Print</t>
        </is>
      </c>
      <c r="C214" t="n">
        <v>70</v>
      </c>
      <c r="D214" t="n">
        <v>100</v>
      </c>
      <c r="E214" t="n">
        <v>200</v>
      </c>
      <c r="F214" t="n">
        <v>0</v>
      </c>
      <c r="G214">
        <f>SUMIF(PRISPELO!B:B, A214, PRISPELO!G:G)</f>
        <v/>
      </c>
      <c r="H214">
        <f>SUMIF(ODPIS!B:B, A214, ODPIS!G:G)</f>
        <v/>
      </c>
      <c r="I214" s="2">
        <f>F214 + G214 - H214</f>
        <v/>
      </c>
    </row>
    <row r="215">
      <c r="A215" t="n">
        <v>1285</v>
      </c>
      <c r="B215" t="inlineStr">
        <is>
          <t>Munken POLAR ROUGH</t>
        </is>
      </c>
      <c r="C215" t="n">
        <v>102</v>
      </c>
      <c r="D215" t="n">
        <v>72</v>
      </c>
      <c r="E215" t="n">
        <v>300</v>
      </c>
      <c r="F215" t="n">
        <v>0</v>
      </c>
      <c r="G215">
        <f>SUMIF(PRISPELO!B:B, A215, PRISPELO!G:G)</f>
        <v/>
      </c>
      <c r="H215">
        <f>SUMIF(ODPIS!B:B, A215, ODPIS!G:G)</f>
        <v/>
      </c>
      <c r="I215" s="2">
        <f>F215 + G215 - H215</f>
        <v/>
      </c>
    </row>
    <row r="216">
      <c r="A216" t="n">
        <v>1286</v>
      </c>
      <c r="B216" t="inlineStr">
        <is>
          <t>Munken Pure</t>
        </is>
      </c>
      <c r="C216" t="n">
        <v>102</v>
      </c>
      <c r="D216" t="n">
        <v>72</v>
      </c>
      <c r="E216" t="n">
        <v>300</v>
      </c>
      <c r="F216" t="n">
        <v>0</v>
      </c>
      <c r="G216">
        <f>SUMIF(PRISPELO!B:B, A216, PRISPELO!G:G)</f>
        <v/>
      </c>
      <c r="H216">
        <f>SUMIF(ODPIS!B:B, A216, ODPIS!G:G)</f>
        <v/>
      </c>
      <c r="I216" s="2">
        <f>F216 + G216 - H216</f>
        <v/>
      </c>
    </row>
    <row r="217">
      <c r="A217" t="n">
        <v>1287</v>
      </c>
      <c r="B217" t="inlineStr">
        <is>
          <t>Munken Pure</t>
        </is>
      </c>
      <c r="C217" t="n">
        <v>90</v>
      </c>
      <c r="D217" t="n">
        <v>64</v>
      </c>
      <c r="E217" t="n">
        <v>80</v>
      </c>
      <c r="F217" t="n">
        <v>0</v>
      </c>
      <c r="G217">
        <f>SUMIF(PRISPELO!B:B, A217, PRISPELO!G:G)</f>
        <v/>
      </c>
      <c r="H217">
        <f>SUMIF(ODPIS!B:B, A217, ODPIS!G:G)</f>
        <v/>
      </c>
      <c r="I217" s="2">
        <f>F217 + G217 - H217</f>
        <v/>
      </c>
    </row>
    <row r="218">
      <c r="A218" t="n">
        <v>1295</v>
      </c>
      <c r="B218" t="inlineStr">
        <is>
          <t>Munken Pure</t>
        </is>
      </c>
      <c r="C218" t="n">
        <v>72</v>
      </c>
      <c r="D218" t="n">
        <v>102</v>
      </c>
      <c r="E218" t="n">
        <v>300</v>
      </c>
      <c r="F218" t="n">
        <v>0</v>
      </c>
      <c r="G218">
        <f>SUMIF(PRISPELO!B:B, A218, PRISPELO!G:G)</f>
        <v/>
      </c>
      <c r="H218">
        <f>SUMIF(ODPIS!B:B, A218, ODPIS!G:G)</f>
        <v/>
      </c>
      <c r="I218" s="2">
        <f>F218 + G218 - H218</f>
        <v/>
      </c>
    </row>
    <row r="219">
      <c r="A219" t="n">
        <v>1297</v>
      </c>
      <c r="B219" t="inlineStr">
        <is>
          <t>GALAXY metalic,pearl white</t>
        </is>
      </c>
      <c r="C219" t="n">
        <v>70</v>
      </c>
      <c r="D219" t="n">
        <v>100</v>
      </c>
      <c r="E219" t="n">
        <v>250</v>
      </c>
      <c r="F219" t="n">
        <v>0</v>
      </c>
      <c r="G219">
        <f>SUMIF(PRISPELO!B:B, A219, PRISPELO!G:G)</f>
        <v/>
      </c>
      <c r="H219">
        <f>SUMIF(ODPIS!B:B, A219, ODPIS!G:G)</f>
        <v/>
      </c>
      <c r="I219" s="2">
        <f>F219 + G219 - H219</f>
        <v/>
      </c>
    </row>
    <row r="220">
      <c r="A220" t="n">
        <v>1302</v>
      </c>
      <c r="B220" t="inlineStr">
        <is>
          <t>MASTER Print</t>
        </is>
      </c>
      <c r="C220" t="n">
        <v>88</v>
      </c>
      <c r="D220" t="n">
        <v>64</v>
      </c>
      <c r="E220" t="n">
        <v>140</v>
      </c>
      <c r="F220" t="n">
        <v>0</v>
      </c>
      <c r="G220">
        <f>SUMIF(PRISPELO!B:B, A220, PRISPELO!G:G)</f>
        <v/>
      </c>
      <c r="H220">
        <f>SUMIF(ODPIS!B:B, A220, ODPIS!G:G)</f>
        <v/>
      </c>
      <c r="I220" s="2">
        <f>F220 + G220 - H220</f>
        <v/>
      </c>
    </row>
    <row r="221">
      <c r="A221" t="n">
        <v>1305</v>
      </c>
      <c r="B221" t="inlineStr">
        <is>
          <t>Fedrigoni Pergamenta Bianco</t>
        </is>
      </c>
      <c r="C221" t="n">
        <v>70</v>
      </c>
      <c r="D221" t="n">
        <v>100</v>
      </c>
      <c r="E221" t="n">
        <v>110</v>
      </c>
      <c r="F221" t="n">
        <v>0</v>
      </c>
      <c r="G221">
        <f>SUMIF(PRISPELO!B:B, A221, PRISPELO!G:G)</f>
        <v/>
      </c>
      <c r="H221">
        <f>SUMIF(ODPIS!B:B, A221, ODPIS!G:G)</f>
        <v/>
      </c>
      <c r="I221" s="2">
        <f>F221 + G221 - H221</f>
        <v/>
      </c>
    </row>
    <row r="222">
      <c r="A222" t="n">
        <v>1308</v>
      </c>
      <c r="B222" t="inlineStr">
        <is>
          <t>Fedrigoni Pergamenta Bianca</t>
        </is>
      </c>
      <c r="C222" t="n">
        <v>70</v>
      </c>
      <c r="D222" t="n">
        <v>100</v>
      </c>
      <c r="E222" t="n">
        <v>90</v>
      </c>
      <c r="F222" t="n">
        <v>0</v>
      </c>
      <c r="G222">
        <f>SUMIF(PRISPELO!B:B, A222, PRISPELO!G:G)</f>
        <v/>
      </c>
      <c r="H222">
        <f>SUMIF(ODPIS!B:B, A222, ODPIS!G:G)</f>
        <v/>
      </c>
      <c r="I222" s="2">
        <f>F222 + G222 - H222</f>
        <v/>
      </c>
    </row>
    <row r="223">
      <c r="A223" t="n">
        <v>1980</v>
      </c>
      <c r="B223" t="inlineStr">
        <is>
          <t>Kuverta Fed Century free vel cream</t>
        </is>
      </c>
      <c r="C223" t="n">
        <v>11</v>
      </c>
      <c r="D223" t="n">
        <v>22</v>
      </c>
      <c r="E223" t="n">
        <v>100</v>
      </c>
      <c r="F223" t="n">
        <v>0</v>
      </c>
      <c r="G223">
        <f>SUMIF(PRISPELO!B:B, A223, PRISPELO!G:G)</f>
        <v/>
      </c>
      <c r="H223">
        <f>SUMIF(ODPIS!B:B, A223, ODPIS!G:G)</f>
        <v/>
      </c>
      <c r="I223" s="2">
        <f>F223 + G223 - H223</f>
        <v/>
      </c>
    </row>
    <row r="224">
      <c r="A224" t="n">
        <v>2008</v>
      </c>
      <c r="B224" t="inlineStr">
        <is>
          <t>Kuverta amerikanka OLIN F</t>
        </is>
      </c>
      <c r="C224" t="n">
        <v>11.4</v>
      </c>
      <c r="D224" t="n">
        <v>22.9</v>
      </c>
      <c r="E224" t="n">
        <v>90</v>
      </c>
      <c r="F224" t="n">
        <v>0</v>
      </c>
      <c r="G224">
        <f>SUMIF(PRISPELO!B:B, A224, PRISPELO!G:G)</f>
        <v/>
      </c>
      <c r="H224">
        <f>SUMIF(ODPIS!B:B, A224, ODPIS!G:G)</f>
        <v/>
      </c>
      <c r="I224" s="2">
        <f>F224 + G224 - H224</f>
        <v/>
      </c>
    </row>
    <row r="225">
      <c r="A225" t="n">
        <v>1313</v>
      </c>
      <c r="B225" t="inlineStr">
        <is>
          <t>ON OFFset</t>
        </is>
      </c>
      <c r="C225" t="n">
        <v>88</v>
      </c>
      <c r="D225" t="n">
        <v>64</v>
      </c>
      <c r="E225" t="n">
        <v>120</v>
      </c>
      <c r="F225" t="n">
        <v>0</v>
      </c>
      <c r="G225">
        <f>SUMIF(PRISPELO!B:B, A225, PRISPELO!G:G)</f>
        <v/>
      </c>
      <c r="H225">
        <f>SUMIF(ODPIS!B:B, A225, ODPIS!G:G)</f>
        <v/>
      </c>
      <c r="I225" s="2">
        <f>F225 + G225 - H225</f>
        <v/>
      </c>
    </row>
    <row r="226">
      <c r="A226" t="n">
        <v>1314</v>
      </c>
      <c r="B226" t="inlineStr">
        <is>
          <t>UPM Fine</t>
        </is>
      </c>
      <c r="C226" t="n">
        <v>64</v>
      </c>
      <c r="D226" t="n">
        <v>88</v>
      </c>
      <c r="E226" t="n">
        <v>100</v>
      </c>
      <c r="F226" t="n">
        <v>0</v>
      </c>
      <c r="G226">
        <f>SUMIF(PRISPELO!B:B, A226, PRISPELO!G:G)</f>
        <v/>
      </c>
      <c r="H226">
        <f>SUMIF(ODPIS!B:B, A226, ODPIS!G:G)</f>
        <v/>
      </c>
      <c r="I226" s="2">
        <f>F226 + G226 - H226</f>
        <v/>
      </c>
    </row>
    <row r="227">
      <c r="A227" t="n">
        <v>1316</v>
      </c>
      <c r="B227" t="inlineStr">
        <is>
          <t>Claro silk</t>
        </is>
      </c>
      <c r="C227" t="n">
        <v>64</v>
      </c>
      <c r="D227" t="n">
        <v>90</v>
      </c>
      <c r="E227" t="n">
        <v>170</v>
      </c>
      <c r="F227" t="n">
        <v>0</v>
      </c>
      <c r="G227">
        <f>SUMIF(PRISPELO!B:B, A227, PRISPELO!G:G)</f>
        <v/>
      </c>
      <c r="H227">
        <f>SUMIF(ODPIS!B:B, A227, ODPIS!G:G)</f>
        <v/>
      </c>
      <c r="I227" s="2">
        <f>F227 + G227 - H227</f>
        <v/>
      </c>
    </row>
    <row r="228">
      <c r="A228" t="n">
        <v>1319</v>
      </c>
      <c r="B228" t="inlineStr">
        <is>
          <t>Fedrigoni Sirio White White</t>
        </is>
      </c>
      <c r="C228" t="n">
        <v>71</v>
      </c>
      <c r="D228" t="n">
        <v>101</v>
      </c>
      <c r="E228" t="n">
        <v>350</v>
      </c>
      <c r="F228" t="n">
        <v>0</v>
      </c>
      <c r="G228">
        <f>SUMIF(PRISPELO!B:B, A228, PRISPELO!G:G)</f>
        <v/>
      </c>
      <c r="H228">
        <f>SUMIF(ODPIS!B:B, A228, ODPIS!G:G)</f>
        <v/>
      </c>
      <c r="I228" s="2">
        <f>F228 + G228 - H228</f>
        <v/>
      </c>
    </row>
    <row r="229">
      <c r="A229" t="n">
        <v>1320</v>
      </c>
      <c r="B229" t="inlineStr">
        <is>
          <t>Fedrigoni Savile Row Plain White</t>
        </is>
      </c>
      <c r="C229" t="n">
        <v>70</v>
      </c>
      <c r="D229" t="n">
        <v>100</v>
      </c>
      <c r="E229" t="n">
        <v>300</v>
      </c>
      <c r="F229" t="n">
        <v>0</v>
      </c>
      <c r="G229">
        <f>SUMIF(PRISPELO!B:B, A229, PRISPELO!G:G)</f>
        <v/>
      </c>
      <c r="H229">
        <f>SUMIF(ODPIS!B:B, A229, ODPIS!G:G)</f>
        <v/>
      </c>
      <c r="I229" s="2">
        <f>F229 + G229 - H229</f>
        <v/>
      </c>
    </row>
    <row r="230">
      <c r="A230" t="n">
        <v>1325</v>
      </c>
      <c r="B230" t="inlineStr">
        <is>
          <t>Fedrigoni Nettuno Nero</t>
        </is>
      </c>
      <c r="C230" t="n">
        <v>72</v>
      </c>
      <c r="D230" t="n">
        <v>101</v>
      </c>
      <c r="E230" t="n">
        <v>280</v>
      </c>
      <c r="F230" t="n">
        <v>0</v>
      </c>
      <c r="G230">
        <f>SUMIF(PRISPELO!B:B, A230, PRISPELO!G:G)</f>
        <v/>
      </c>
      <c r="H230">
        <f>SUMIF(ODPIS!B:B, A230, ODPIS!G:G)</f>
        <v/>
      </c>
      <c r="I230" s="2">
        <f>F230 + G230 - H230</f>
        <v/>
      </c>
    </row>
    <row r="231">
      <c r="A231" t="n">
        <v>1327</v>
      </c>
      <c r="B231" t="inlineStr">
        <is>
          <t>Fedrigoni Woodstock Betula</t>
        </is>
      </c>
      <c r="C231" t="n">
        <v>70</v>
      </c>
      <c r="D231" t="n">
        <v>100</v>
      </c>
      <c r="E231" t="n">
        <v>285</v>
      </c>
      <c r="F231" t="n">
        <v>0</v>
      </c>
      <c r="G231">
        <f>SUMIF(PRISPELO!B:B, A231, PRISPELO!G:G)</f>
        <v/>
      </c>
      <c r="H231">
        <f>SUMIF(ODPIS!B:B, A231, ODPIS!G:G)</f>
        <v/>
      </c>
      <c r="I231" s="2">
        <f>F231 + G231 - H231</f>
        <v/>
      </c>
    </row>
    <row r="232">
      <c r="A232" t="n">
        <v>1328</v>
      </c>
      <c r="B232" t="inlineStr">
        <is>
          <t>Fedrigoni Sirio PEARL ICE WHITE</t>
        </is>
      </c>
      <c r="C232" t="n">
        <v>72</v>
      </c>
      <c r="D232" t="n">
        <v>102</v>
      </c>
      <c r="E232" t="n">
        <v>230</v>
      </c>
      <c r="F232" t="n">
        <v>0</v>
      </c>
      <c r="G232">
        <f>SUMIF(PRISPELO!B:B, A232, PRISPELO!G:G)</f>
        <v/>
      </c>
      <c r="H232">
        <f>SUMIF(ODPIS!B:B, A232, ODPIS!G:G)</f>
        <v/>
      </c>
      <c r="I232" s="2">
        <f>F232 + G232 - H232</f>
        <v/>
      </c>
    </row>
    <row r="233">
      <c r="A233" t="n">
        <v>1364</v>
      </c>
      <c r="B233" t="inlineStr">
        <is>
          <t>DITO OFSET</t>
        </is>
      </c>
      <c r="C233" t="n">
        <v>88</v>
      </c>
      <c r="D233" t="n">
        <v>64</v>
      </c>
      <c r="E233" t="n">
        <v>190</v>
      </c>
      <c r="F233" t="n">
        <v>0</v>
      </c>
      <c r="G233">
        <f>SUMIF(PRISPELO!B:B, A233, PRISPELO!G:G)</f>
        <v/>
      </c>
      <c r="H233">
        <f>SUMIF(ODPIS!B:B, A233, ODPIS!G:G)</f>
        <v/>
      </c>
      <c r="I233" s="2">
        <f>F233 + G233 - H233</f>
        <v/>
      </c>
    </row>
    <row r="234">
      <c r="A234" t="n">
        <v>1365</v>
      </c>
      <c r="B234" t="inlineStr">
        <is>
          <t>DITO OFSET</t>
        </is>
      </c>
      <c r="C234" t="n">
        <v>64</v>
      </c>
      <c r="D234" t="n">
        <v>88</v>
      </c>
      <c r="E234" t="n">
        <v>190</v>
      </c>
      <c r="F234" t="n">
        <v>0</v>
      </c>
      <c r="G234">
        <f>SUMIF(PRISPELO!B:B, A234, PRISPELO!G:G)</f>
        <v/>
      </c>
      <c r="H234">
        <f>SUMIF(ODPIS!B:B, A234, ODPIS!G:G)</f>
        <v/>
      </c>
      <c r="I234" s="2">
        <f>F234 + G234 - H234</f>
        <v/>
      </c>
    </row>
    <row r="235">
      <c r="A235" t="n">
        <v>1381</v>
      </c>
      <c r="B235" t="inlineStr">
        <is>
          <t>Selection SMOOTH</t>
        </is>
      </c>
      <c r="C235" t="n">
        <v>45</v>
      </c>
      <c r="D235" t="n">
        <v>64</v>
      </c>
      <c r="E235" t="n">
        <v>300</v>
      </c>
      <c r="F235" t="n">
        <v>0</v>
      </c>
      <c r="G235">
        <f>SUMIF(PRISPELO!B:B, A235, PRISPELO!G:G)</f>
        <v/>
      </c>
      <c r="H235">
        <f>SUMIF(ODPIS!B:B, A235, ODPIS!G:G)</f>
        <v/>
      </c>
      <c r="I235" s="2">
        <f>F235 + G235 - H235</f>
        <v/>
      </c>
    </row>
    <row r="236">
      <c r="A236" t="n">
        <v>1385</v>
      </c>
      <c r="B236" t="inlineStr">
        <is>
          <t>Gardamatt</t>
        </is>
      </c>
      <c r="C236" t="n">
        <v>90</v>
      </c>
      <c r="D236" t="n">
        <v>64</v>
      </c>
      <c r="E236" t="n">
        <v>115</v>
      </c>
      <c r="F236" t="n">
        <v>200</v>
      </c>
      <c r="G236">
        <f>SUMIF(PRISPELO!B:B, A236, PRISPELO!G:G)</f>
        <v/>
      </c>
      <c r="H236">
        <f>SUMIF(ODPIS!B:B, A236, ODPIS!G:G)</f>
        <v/>
      </c>
      <c r="I236" s="2">
        <f>F236 + G236 - H236</f>
        <v/>
      </c>
    </row>
    <row r="237">
      <c r="A237" t="n">
        <v>1386</v>
      </c>
      <c r="B237" t="inlineStr">
        <is>
          <t>Claro glos</t>
        </is>
      </c>
      <c r="C237" t="n">
        <v>88</v>
      </c>
      <c r="D237" t="n">
        <v>63</v>
      </c>
      <c r="E237" t="n">
        <v>115</v>
      </c>
      <c r="F237" t="n">
        <v>0</v>
      </c>
      <c r="G237">
        <f>SUMIF(PRISPELO!B:B, A237, PRISPELO!G:G)</f>
        <v/>
      </c>
      <c r="H237">
        <f>SUMIF(ODPIS!B:B, A237, ODPIS!G:G)</f>
        <v/>
      </c>
      <c r="I237" s="2">
        <f>F237 + G237 - H237</f>
        <v/>
      </c>
    </row>
    <row r="238">
      <c r="A238" t="n">
        <v>1389</v>
      </c>
      <c r="B238" t="inlineStr">
        <is>
          <t>Maestro Print</t>
        </is>
      </c>
      <c r="C238" t="n">
        <v>70</v>
      </c>
      <c r="D238" t="n">
        <v>100</v>
      </c>
      <c r="E238" t="n">
        <v>190</v>
      </c>
      <c r="F238" t="n">
        <v>0</v>
      </c>
      <c r="G238">
        <f>SUMIF(PRISPELO!B:B, A238, PRISPELO!G:G)</f>
        <v/>
      </c>
      <c r="H238">
        <f>SUMIF(ODPIS!B:B, A238, ODPIS!G:G)</f>
        <v/>
      </c>
      <c r="I238" s="2">
        <f>F238 + G238 - H238</f>
        <v/>
      </c>
    </row>
    <row r="239">
      <c r="A239" t="n">
        <v>1396</v>
      </c>
      <c r="B239" t="inlineStr">
        <is>
          <t>Claro silk</t>
        </is>
      </c>
      <c r="C239" t="n">
        <v>90</v>
      </c>
      <c r="D239" t="n">
        <v>64</v>
      </c>
      <c r="E239" t="n">
        <v>170</v>
      </c>
      <c r="F239" t="n">
        <v>0</v>
      </c>
      <c r="G239">
        <f>SUMIF(PRISPELO!B:B, A239, PRISPELO!G:G)</f>
        <v/>
      </c>
      <c r="H239">
        <f>SUMIF(ODPIS!B:B, A239, ODPIS!G:G)</f>
        <v/>
      </c>
      <c r="I239" s="2">
        <f>F239 + G239 - H239</f>
        <v/>
      </c>
    </row>
    <row r="240">
      <c r="A240" t="n">
        <v>1397</v>
      </c>
      <c r="B240" t="inlineStr">
        <is>
          <t>MASTER Print</t>
        </is>
      </c>
      <c r="C240" t="n">
        <v>88</v>
      </c>
      <c r="D240" t="n">
        <v>64</v>
      </c>
      <c r="E240" t="n">
        <v>80</v>
      </c>
      <c r="F240" t="n">
        <v>0</v>
      </c>
      <c r="G240">
        <f>SUMIF(PRISPELO!B:B, A240, PRISPELO!G:G)</f>
        <v/>
      </c>
      <c r="H240">
        <f>SUMIF(ODPIS!B:B, A240, ODPIS!G:G)</f>
        <v/>
      </c>
      <c r="I240" s="2">
        <f>F240 + G240 - H240</f>
        <v/>
      </c>
    </row>
    <row r="241">
      <c r="A241" t="n">
        <v>1403</v>
      </c>
      <c r="B241" t="inlineStr">
        <is>
          <t>MASTER Print</t>
        </is>
      </c>
      <c r="C241" t="n">
        <v>70</v>
      </c>
      <c r="D241" t="n">
        <v>100</v>
      </c>
      <c r="E241" t="n">
        <v>90</v>
      </c>
      <c r="F241" t="n">
        <v>0</v>
      </c>
      <c r="G241">
        <f>SUMIF(PRISPELO!B:B, A241, PRISPELO!G:G)</f>
        <v/>
      </c>
      <c r="H241">
        <f>SUMIF(ODPIS!B:B, A241, ODPIS!G:G)</f>
        <v/>
      </c>
      <c r="I241" s="2">
        <f>F241 + G241 - H241</f>
        <v/>
      </c>
    </row>
    <row r="242">
      <c r="A242" t="n">
        <v>1409</v>
      </c>
      <c r="B242" t="inlineStr">
        <is>
          <t>BELPAK</t>
        </is>
      </c>
      <c r="C242" t="n">
        <v>101</v>
      </c>
      <c r="D242" t="n">
        <v>71</v>
      </c>
      <c r="E242" t="n">
        <v>350</v>
      </c>
      <c r="F242" t="n">
        <v>0</v>
      </c>
      <c r="G242">
        <f>SUMIF(PRISPELO!B:B, A242, PRISPELO!G:G)</f>
        <v/>
      </c>
      <c r="H242">
        <f>SUMIF(ODPIS!B:B, A242, ODPIS!G:G)</f>
        <v/>
      </c>
      <c r="I242" s="2">
        <f>F242 + G242 - H242</f>
        <v/>
      </c>
    </row>
    <row r="243">
      <c r="A243" t="n">
        <v>1410</v>
      </c>
      <c r="B243" t="inlineStr">
        <is>
          <t>BELPAK</t>
        </is>
      </c>
      <c r="C243" t="n">
        <v>71</v>
      </c>
      <c r="D243" t="n">
        <v>101</v>
      </c>
      <c r="E243" t="n">
        <v>400</v>
      </c>
      <c r="F243" t="n">
        <v>0</v>
      </c>
      <c r="G243">
        <f>SUMIF(PRISPELO!B:B, A243, PRISPELO!G:G)</f>
        <v/>
      </c>
      <c r="H243">
        <f>SUMIF(ODPIS!B:B, A243, ODPIS!G:G)</f>
        <v/>
      </c>
      <c r="I243" s="2">
        <f>F243 + G243 - H243</f>
        <v/>
      </c>
    </row>
    <row r="244">
      <c r="A244" t="n">
        <v>1992</v>
      </c>
      <c r="B244" t="inlineStr">
        <is>
          <t>Kuverta Courious Clear</t>
        </is>
      </c>
      <c r="C244" t="n">
        <v>17</v>
      </c>
      <c r="D244" t="n">
        <v>17</v>
      </c>
      <c r="E244" t="n">
        <v>110</v>
      </c>
      <c r="F244" t="n">
        <v>0</v>
      </c>
      <c r="G244">
        <f>SUMIF(PRISPELO!B:B, A244, PRISPELO!G:G)</f>
        <v/>
      </c>
      <c r="H244">
        <f>SUMIF(ODPIS!B:B, A244, ODPIS!G:G)</f>
        <v/>
      </c>
      <c r="I244" s="2">
        <f>F244 + G244 - H244</f>
        <v/>
      </c>
    </row>
    <row r="245">
      <c r="A245" t="n">
        <v>1411</v>
      </c>
      <c r="B245" t="inlineStr">
        <is>
          <t>BELPAK</t>
        </is>
      </c>
      <c r="C245" t="n">
        <v>101</v>
      </c>
      <c r="D245" t="n">
        <v>71</v>
      </c>
      <c r="E245" t="n">
        <v>320</v>
      </c>
      <c r="F245" t="n">
        <v>0</v>
      </c>
      <c r="G245">
        <f>SUMIF(PRISPELO!B:B, A245, PRISPELO!G:G)</f>
        <v/>
      </c>
      <c r="H245">
        <f>SUMIF(ODPIS!B:B, A245, ODPIS!G:G)</f>
        <v/>
      </c>
      <c r="I245" s="2">
        <f>F245 + G245 - H245</f>
        <v/>
      </c>
    </row>
    <row r="246">
      <c r="A246" t="n">
        <v>1412</v>
      </c>
      <c r="B246" t="inlineStr">
        <is>
          <t>BELPAK</t>
        </is>
      </c>
      <c r="C246" t="n">
        <v>71</v>
      </c>
      <c r="D246" t="n">
        <v>101</v>
      </c>
      <c r="E246" t="n">
        <v>300</v>
      </c>
      <c r="F246" t="n">
        <v>0</v>
      </c>
      <c r="G246">
        <f>SUMIF(PRISPELO!B:B, A246, PRISPELO!G:G)</f>
        <v/>
      </c>
      <c r="H246">
        <f>SUMIF(ODPIS!B:B, A246, ODPIS!G:G)</f>
        <v/>
      </c>
      <c r="I246" s="2">
        <f>F246 + G246 - H246</f>
        <v/>
      </c>
    </row>
    <row r="247">
      <c r="A247" t="n">
        <v>1413</v>
      </c>
      <c r="B247" t="inlineStr">
        <is>
          <t>BELPAK</t>
        </is>
      </c>
      <c r="C247" t="n">
        <v>71</v>
      </c>
      <c r="D247" t="n">
        <v>101</v>
      </c>
      <c r="E247" t="n">
        <v>250</v>
      </c>
      <c r="F247" t="n">
        <v>0</v>
      </c>
      <c r="G247">
        <f>SUMIF(PRISPELO!B:B, A247, PRISPELO!G:G)</f>
        <v/>
      </c>
      <c r="H247">
        <f>SUMIF(ODPIS!B:B, A247, ODPIS!G:G)</f>
        <v/>
      </c>
      <c r="I247" s="2">
        <f>F247 + G247 - H247</f>
        <v/>
      </c>
    </row>
    <row r="248">
      <c r="A248" t="n">
        <v>1414</v>
      </c>
      <c r="B248" t="inlineStr">
        <is>
          <t>BELPAK</t>
        </is>
      </c>
      <c r="C248" t="n">
        <v>101</v>
      </c>
      <c r="D248" t="n">
        <v>71</v>
      </c>
      <c r="E248" t="n">
        <v>280</v>
      </c>
      <c r="F248" t="n">
        <v>0</v>
      </c>
      <c r="G248">
        <f>SUMIF(PRISPELO!B:B, A248, PRISPELO!G:G)</f>
        <v/>
      </c>
      <c r="H248">
        <f>SUMIF(ODPIS!B:B, A248, ODPIS!G:G)</f>
        <v/>
      </c>
      <c r="I248" s="2">
        <f>F248 + G248 - H248</f>
        <v/>
      </c>
    </row>
    <row r="249">
      <c r="A249" t="n">
        <v>1415</v>
      </c>
      <c r="B249" t="inlineStr">
        <is>
          <t>BELPAK</t>
        </is>
      </c>
      <c r="C249" t="n">
        <v>71</v>
      </c>
      <c r="D249" t="n">
        <v>101</v>
      </c>
      <c r="E249" t="n">
        <v>280</v>
      </c>
      <c r="F249" t="n">
        <v>0</v>
      </c>
      <c r="G249">
        <f>SUMIF(PRISPELO!B:B, A249, PRISPELO!G:G)</f>
        <v/>
      </c>
      <c r="H249">
        <f>SUMIF(ODPIS!B:B, A249, ODPIS!G:G)</f>
        <v/>
      </c>
      <c r="I249" s="2">
        <f>F249 + G249 - H249</f>
        <v/>
      </c>
    </row>
    <row r="250">
      <c r="A250" t="n">
        <v>1417</v>
      </c>
      <c r="B250" t="inlineStr">
        <is>
          <t>GRAFOPAK</t>
        </is>
      </c>
      <c r="C250" t="n">
        <v>71</v>
      </c>
      <c r="D250" t="n">
        <v>101</v>
      </c>
      <c r="E250" t="n">
        <v>250</v>
      </c>
      <c r="F250" t="n">
        <v>0</v>
      </c>
      <c r="G250">
        <f>SUMIF(PRISPELO!B:B, A250, PRISPELO!G:G)</f>
        <v/>
      </c>
      <c r="H250">
        <f>SUMIF(ODPIS!B:B, A250, ODPIS!G:G)</f>
        <v/>
      </c>
      <c r="I250" s="2">
        <f>F250 + G250 - H250</f>
        <v/>
      </c>
    </row>
    <row r="251">
      <c r="A251" t="n">
        <v>1418</v>
      </c>
      <c r="B251" t="inlineStr">
        <is>
          <t>GRAFOPAK</t>
        </is>
      </c>
      <c r="C251" t="n">
        <v>71</v>
      </c>
      <c r="D251" t="n">
        <v>101</v>
      </c>
      <c r="E251" t="n">
        <v>230</v>
      </c>
      <c r="F251" t="n">
        <v>0</v>
      </c>
      <c r="G251">
        <f>SUMIF(PRISPELO!B:B, A251, PRISPELO!G:G)</f>
        <v/>
      </c>
      <c r="H251">
        <f>SUMIF(ODPIS!B:B, A251, ODPIS!G:G)</f>
        <v/>
      </c>
      <c r="I251" s="2">
        <f>F251 + G251 - H251</f>
        <v/>
      </c>
    </row>
    <row r="252">
      <c r="A252" t="n">
        <v>1424</v>
      </c>
      <c r="B252" t="inlineStr">
        <is>
          <t>GRAFOPAK</t>
        </is>
      </c>
      <c r="C252" t="n">
        <v>55</v>
      </c>
      <c r="D252" t="n">
        <v>74.5</v>
      </c>
      <c r="E252" t="n">
        <v>400</v>
      </c>
      <c r="F252" t="n">
        <v>0</v>
      </c>
      <c r="G252">
        <f>SUMIF(PRISPELO!B:B, A252, PRISPELO!G:G)</f>
        <v/>
      </c>
      <c r="H252">
        <f>SUMIF(ODPIS!B:B, A252, ODPIS!G:G)</f>
        <v/>
      </c>
      <c r="I252" s="2">
        <f>F252 + G252 - H252</f>
        <v/>
      </c>
    </row>
    <row r="253">
      <c r="A253" t="n">
        <v>1433</v>
      </c>
      <c r="B253" t="inlineStr">
        <is>
          <t>MASTER Print</t>
        </is>
      </c>
      <c r="C253" t="n">
        <v>100</v>
      </c>
      <c r="D253" t="n">
        <v>70</v>
      </c>
      <c r="E253" t="n">
        <v>90</v>
      </c>
      <c r="F253" t="n">
        <v>0</v>
      </c>
      <c r="G253">
        <f>SUMIF(PRISPELO!B:B, A253, PRISPELO!G:G)</f>
        <v/>
      </c>
      <c r="H253">
        <f>SUMIF(ODPIS!B:B, A253, ODPIS!G:G)</f>
        <v/>
      </c>
      <c r="I253" s="2">
        <f>F253 + G253 - H253</f>
        <v/>
      </c>
    </row>
    <row r="254">
      <c r="A254" t="n">
        <v>1435</v>
      </c>
      <c r="B254" t="inlineStr">
        <is>
          <t>Claro silk</t>
        </is>
      </c>
      <c r="C254" t="n">
        <v>64</v>
      </c>
      <c r="D254" t="n">
        <v>45</v>
      </c>
      <c r="E254" t="n">
        <v>200</v>
      </c>
      <c r="F254" t="n">
        <v>0</v>
      </c>
      <c r="G254">
        <f>SUMIF(PRISPELO!B:B, A254, PRISPELO!G:G)</f>
        <v/>
      </c>
      <c r="H254">
        <f>SUMIF(ODPIS!B:B, A254, ODPIS!G:G)</f>
        <v/>
      </c>
      <c r="I254" s="2">
        <f>F254 + G254 - H254</f>
        <v/>
      </c>
    </row>
    <row r="255">
      <c r="A255" t="n">
        <v>1443</v>
      </c>
      <c r="B255" t="inlineStr">
        <is>
          <t>Claro silk</t>
        </is>
      </c>
      <c r="C255" t="n">
        <v>64</v>
      </c>
      <c r="D255" t="n">
        <v>90</v>
      </c>
      <c r="E255" t="n">
        <v>150</v>
      </c>
      <c r="F255" t="n">
        <v>0</v>
      </c>
      <c r="G255">
        <f>SUMIF(PRISPELO!B:B, A255, PRISPELO!G:G)</f>
        <v/>
      </c>
      <c r="H255">
        <f>SUMIF(ODPIS!B:B, A255, ODPIS!G:G)</f>
        <v/>
      </c>
      <c r="I255" s="2">
        <f>F255 + G255 - H255</f>
        <v/>
      </c>
    </row>
    <row r="256">
      <c r="A256" t="n">
        <v>1444</v>
      </c>
      <c r="B256" t="inlineStr">
        <is>
          <t>Gardapat 13 cartiere</t>
        </is>
      </c>
      <c r="C256" t="n">
        <v>100</v>
      </c>
      <c r="D256" t="n">
        <v>70</v>
      </c>
      <c r="E256" t="n">
        <v>150</v>
      </c>
      <c r="F256" t="n">
        <v>0</v>
      </c>
      <c r="G256">
        <f>SUMIF(PRISPELO!B:B, A256, PRISPELO!G:G)</f>
        <v/>
      </c>
      <c r="H256">
        <f>SUMIF(ODPIS!B:B, A256, ODPIS!G:G)</f>
        <v/>
      </c>
      <c r="I256" s="2">
        <f>F256 + G256 - H256</f>
        <v/>
      </c>
    </row>
    <row r="257">
      <c r="A257" t="n">
        <v>1445</v>
      </c>
      <c r="B257" t="inlineStr">
        <is>
          <t>Gardapat 13 cartiere</t>
        </is>
      </c>
      <c r="C257" t="n">
        <v>70</v>
      </c>
      <c r="D257" t="n">
        <v>100</v>
      </c>
      <c r="E257" t="n">
        <v>200</v>
      </c>
      <c r="F257" t="n">
        <v>0</v>
      </c>
      <c r="G257">
        <f>SUMIF(PRISPELO!B:B, A257, PRISPELO!G:G)</f>
        <v/>
      </c>
      <c r="H257">
        <f>SUMIF(ODPIS!B:B, A257, ODPIS!G:G)</f>
        <v/>
      </c>
      <c r="I257" s="2">
        <f>F257 + G257 - H257</f>
        <v/>
      </c>
    </row>
    <row r="258">
      <c r="A258" t="n">
        <v>1472</v>
      </c>
      <c r="B258" t="inlineStr">
        <is>
          <t>Gardapat 13 klassica</t>
        </is>
      </c>
      <c r="C258" t="n">
        <v>88</v>
      </c>
      <c r="D258" t="n">
        <v>63</v>
      </c>
      <c r="E258" t="n">
        <v>135</v>
      </c>
      <c r="F258" t="n">
        <v>0</v>
      </c>
      <c r="G258">
        <f>SUMIF(PRISPELO!B:B, A258, PRISPELO!G:G)</f>
        <v/>
      </c>
      <c r="H258">
        <f>SUMIF(ODPIS!B:B, A258, ODPIS!G:G)</f>
        <v/>
      </c>
      <c r="I258" s="2">
        <f>F258 + G258 - H258</f>
        <v/>
      </c>
    </row>
    <row r="259">
      <c r="A259" t="n">
        <v>1473</v>
      </c>
      <c r="B259" t="inlineStr">
        <is>
          <t>Gardapat 13 klassica</t>
        </is>
      </c>
      <c r="C259" t="n">
        <v>90</v>
      </c>
      <c r="D259" t="n">
        <v>64</v>
      </c>
      <c r="E259" t="n">
        <v>135</v>
      </c>
      <c r="F259" t="n">
        <v>0</v>
      </c>
      <c r="G259">
        <f>SUMIF(PRISPELO!B:B, A259, PRISPELO!G:G)</f>
        <v/>
      </c>
      <c r="H259">
        <f>SUMIF(ODPIS!B:B, A259, ODPIS!G:G)</f>
        <v/>
      </c>
      <c r="I259" s="2">
        <f>F259 + G259 - H259</f>
        <v/>
      </c>
    </row>
    <row r="260">
      <c r="A260" t="n">
        <v>1474</v>
      </c>
      <c r="B260" t="inlineStr">
        <is>
          <t>Gardapat 13 klassica</t>
        </is>
      </c>
      <c r="C260" t="n">
        <v>64</v>
      </c>
      <c r="D260" t="n">
        <v>88</v>
      </c>
      <c r="E260" t="n">
        <v>200</v>
      </c>
      <c r="F260" t="n">
        <v>0</v>
      </c>
      <c r="G260">
        <f>SUMIF(PRISPELO!B:B, A260, PRISPELO!G:G)</f>
        <v/>
      </c>
      <c r="H260">
        <f>SUMIF(ODPIS!B:B, A260, ODPIS!G:G)</f>
        <v/>
      </c>
      <c r="I260" s="2">
        <f>F260 + G260 - H260</f>
        <v/>
      </c>
    </row>
    <row r="261">
      <c r="A261" t="n">
        <v>1478</v>
      </c>
      <c r="B261" t="inlineStr">
        <is>
          <t>munken pure volume cream 1,3 vol</t>
        </is>
      </c>
      <c r="C261" t="n">
        <v>64</v>
      </c>
      <c r="D261" t="n">
        <v>90</v>
      </c>
      <c r="E261" t="n">
        <v>200</v>
      </c>
      <c r="F261" t="n">
        <v>0</v>
      </c>
      <c r="G261">
        <f>SUMIF(PRISPELO!B:B, A261, PRISPELO!G:G)</f>
        <v/>
      </c>
      <c r="H261">
        <f>SUMIF(ODPIS!B:B, A261, ODPIS!G:G)</f>
        <v/>
      </c>
      <c r="I261" s="2">
        <f>F261 + G261 - H261</f>
        <v/>
      </c>
    </row>
    <row r="262">
      <c r="A262" t="n">
        <v>1479</v>
      </c>
      <c r="B262" t="inlineStr">
        <is>
          <t>Munken Polar</t>
        </is>
      </c>
      <c r="C262" t="n">
        <v>90</v>
      </c>
      <c r="D262" t="n">
        <v>64</v>
      </c>
      <c r="E262" t="n">
        <v>100</v>
      </c>
      <c r="F262" t="n">
        <v>0</v>
      </c>
      <c r="G262">
        <f>SUMIF(PRISPELO!B:B, A262, PRISPELO!G:G)</f>
        <v/>
      </c>
      <c r="H262">
        <f>SUMIF(ODPIS!B:B, A262, ODPIS!G:G)</f>
        <v/>
      </c>
      <c r="I262" s="2">
        <f>F262 + G262 - H262</f>
        <v/>
      </c>
    </row>
    <row r="263">
      <c r="A263" t="n">
        <v>1486</v>
      </c>
      <c r="B263" t="inlineStr">
        <is>
          <t>Rives tradition bright white</t>
        </is>
      </c>
      <c r="C263" t="n">
        <v>70</v>
      </c>
      <c r="D263" t="n">
        <v>100</v>
      </c>
      <c r="E263" t="n">
        <v>250</v>
      </c>
      <c r="F263" t="n">
        <v>0</v>
      </c>
      <c r="G263">
        <f>SUMIF(PRISPELO!B:B, A263, PRISPELO!G:G)</f>
        <v/>
      </c>
      <c r="H263">
        <f>SUMIF(ODPIS!B:B, A263, ODPIS!G:G)</f>
        <v/>
      </c>
      <c r="I263" s="2">
        <f>F263 + G263 - H263</f>
        <v/>
      </c>
    </row>
    <row r="264">
      <c r="A264" t="n">
        <v>1490</v>
      </c>
      <c r="B264" t="inlineStr">
        <is>
          <t>OLIN ofset</t>
        </is>
      </c>
      <c r="C264" t="n">
        <v>102</v>
      </c>
      <c r="D264" t="n">
        <v>72</v>
      </c>
      <c r="E264" t="n">
        <v>90</v>
      </c>
      <c r="F264" t="n">
        <v>0</v>
      </c>
      <c r="G264">
        <f>SUMIF(PRISPELO!B:B, A264, PRISPELO!G:G)</f>
        <v/>
      </c>
      <c r="H264">
        <f>SUMIF(ODPIS!B:B, A264, ODPIS!G:G)</f>
        <v/>
      </c>
      <c r="I264" s="2">
        <f>F264 + G264 - H264</f>
        <v/>
      </c>
    </row>
    <row r="265">
      <c r="A265" t="n">
        <v>1491</v>
      </c>
      <c r="B265" t="inlineStr">
        <is>
          <t>Claro glos</t>
        </is>
      </c>
      <c r="C265" t="n">
        <v>90</v>
      </c>
      <c r="D265" t="n">
        <v>64</v>
      </c>
      <c r="E265" t="n">
        <v>170</v>
      </c>
      <c r="F265" t="n">
        <v>0</v>
      </c>
      <c r="G265">
        <f>SUMIF(PRISPELO!B:B, A265, PRISPELO!G:G)</f>
        <v/>
      </c>
      <c r="H265">
        <f>SUMIF(ODPIS!B:B, A265, ODPIS!G:G)</f>
        <v/>
      </c>
      <c r="I265" s="2">
        <f>F265 + G265 - H265</f>
        <v/>
      </c>
    </row>
    <row r="266">
      <c r="A266" t="n">
        <v>1492</v>
      </c>
      <c r="B266" t="inlineStr">
        <is>
          <t>Luxo Art Samt</t>
        </is>
      </c>
      <c r="C266" t="n">
        <v>88</v>
      </c>
      <c r="D266" t="n">
        <v>64</v>
      </c>
      <c r="E266" t="n">
        <v>90</v>
      </c>
      <c r="F266" t="n">
        <v>0</v>
      </c>
      <c r="G266">
        <f>SUMIF(PRISPELO!B:B, A266, PRISPELO!G:G)</f>
        <v/>
      </c>
      <c r="H266">
        <f>SUMIF(ODPIS!B:B, A266, ODPIS!G:G)</f>
        <v/>
      </c>
      <c r="I266" s="2">
        <f>F266 + G266 - H266</f>
        <v/>
      </c>
    </row>
    <row r="267">
      <c r="A267" t="n">
        <v>1493</v>
      </c>
      <c r="B267" t="inlineStr">
        <is>
          <t>Claro glos</t>
        </is>
      </c>
      <c r="C267" t="n">
        <v>88</v>
      </c>
      <c r="D267" t="n">
        <v>63</v>
      </c>
      <c r="E267" t="n">
        <v>170</v>
      </c>
      <c r="F267" t="n">
        <v>0</v>
      </c>
      <c r="G267">
        <f>SUMIF(PRISPELO!B:B, A267, PRISPELO!G:G)</f>
        <v/>
      </c>
      <c r="H267">
        <f>SUMIF(ODPIS!B:B, A267, ODPIS!G:G)</f>
        <v/>
      </c>
      <c r="I267" s="2">
        <f>F267 + G267 - H267</f>
        <v/>
      </c>
    </row>
    <row r="268">
      <c r="A268" t="n">
        <v>1503</v>
      </c>
      <c r="B268" t="inlineStr">
        <is>
          <t>SUPERPRINT</t>
        </is>
      </c>
      <c r="C268" t="n">
        <v>64</v>
      </c>
      <c r="D268" t="n">
        <v>88</v>
      </c>
      <c r="E268" t="n">
        <v>80</v>
      </c>
      <c r="F268" t="n">
        <v>0</v>
      </c>
      <c r="G268">
        <f>SUMIF(PRISPELO!B:B, A268, PRISPELO!G:G)</f>
        <v/>
      </c>
      <c r="H268">
        <f>SUMIF(ODPIS!B:B, A268, ODPIS!G:G)</f>
        <v/>
      </c>
      <c r="I268" s="2">
        <f>F268 + G268 - H268</f>
        <v/>
      </c>
    </row>
    <row r="269">
      <c r="A269" t="n">
        <v>1541</v>
      </c>
      <c r="B269" t="inlineStr">
        <is>
          <t>Claro silk</t>
        </is>
      </c>
      <c r="C269" t="n">
        <v>63</v>
      </c>
      <c r="D269" t="n">
        <v>88</v>
      </c>
      <c r="E269" t="n">
        <v>200</v>
      </c>
      <c r="F269" t="n">
        <v>0</v>
      </c>
      <c r="G269">
        <f>SUMIF(PRISPELO!B:B, A269, PRISPELO!G:G)</f>
        <v/>
      </c>
      <c r="H269">
        <f>SUMIF(ODPIS!B:B, A269, ODPIS!G:G)</f>
        <v/>
      </c>
      <c r="I269" s="2">
        <f>F269 + G269 - H269</f>
        <v/>
      </c>
    </row>
    <row r="270">
      <c r="A270" t="n">
        <v>2535</v>
      </c>
      <c r="B270" t="inlineStr">
        <is>
          <t>KUVERTA VIA FELT C5</t>
        </is>
      </c>
      <c r="C270" t="n">
        <v>16.2</v>
      </c>
      <c r="D270" t="n">
        <v>22.9</v>
      </c>
      <c r="E270" t="n">
        <v>120</v>
      </c>
      <c r="F270" t="n">
        <v>0</v>
      </c>
      <c r="G270">
        <f>SUMIF(PRISPELO!B:B, A270, PRISPELO!G:G)</f>
        <v/>
      </c>
      <c r="H270">
        <f>SUMIF(ODPIS!B:B, A270, ODPIS!G:G)</f>
        <v/>
      </c>
      <c r="I270" s="2">
        <f>F270 + G270 - H270</f>
        <v/>
      </c>
    </row>
    <row r="271">
      <c r="A271" t="n">
        <v>1545</v>
      </c>
      <c r="B271" t="inlineStr">
        <is>
          <t>GRAFOPAK</t>
        </is>
      </c>
      <c r="C271" t="n">
        <v>71</v>
      </c>
      <c r="D271" t="n">
        <v>101</v>
      </c>
      <c r="E271" t="n">
        <v>320</v>
      </c>
      <c r="F271" t="n">
        <v>0</v>
      </c>
      <c r="G271">
        <f>SUMIF(PRISPELO!B:B, A271, PRISPELO!G:G)</f>
        <v/>
      </c>
      <c r="H271">
        <f>SUMIF(ODPIS!B:B, A271, ODPIS!G:G)</f>
        <v/>
      </c>
      <c r="I271" s="2">
        <f>F271 + G271 - H271</f>
        <v/>
      </c>
    </row>
    <row r="272">
      <c r="A272" t="n">
        <v>1547</v>
      </c>
      <c r="B272" t="inlineStr">
        <is>
          <t>Fedrigoni Symbol pearl ice</t>
        </is>
      </c>
      <c r="C272" t="n">
        <v>70</v>
      </c>
      <c r="D272" t="n">
        <v>100</v>
      </c>
      <c r="E272" t="n">
        <v>150</v>
      </c>
      <c r="F272" t="n">
        <v>0</v>
      </c>
      <c r="G272">
        <f>SUMIF(PRISPELO!B:B, A272, PRISPELO!G:G)</f>
        <v/>
      </c>
      <c r="H272">
        <f>SUMIF(ODPIS!B:B, A272, ODPIS!G:G)</f>
        <v/>
      </c>
      <c r="I272" s="2">
        <f>F272 + G272 - H272</f>
        <v/>
      </c>
    </row>
    <row r="273">
      <c r="A273" t="n">
        <v>1548</v>
      </c>
      <c r="B273" t="inlineStr">
        <is>
          <t>Fedrigoni Old Mill</t>
        </is>
      </c>
      <c r="C273" t="n">
        <v>70</v>
      </c>
      <c r="D273" t="n">
        <v>100</v>
      </c>
      <c r="E273" t="n">
        <v>190</v>
      </c>
      <c r="F273" t="n">
        <v>0</v>
      </c>
      <c r="G273">
        <f>SUMIF(PRISPELO!B:B, A273, PRISPELO!G:G)</f>
        <v/>
      </c>
      <c r="H273">
        <f>SUMIF(ODPIS!B:B, A273, ODPIS!G:G)</f>
        <v/>
      </c>
      <c r="I273" s="2">
        <f>F273 + G273 - H273</f>
        <v/>
      </c>
    </row>
    <row r="274">
      <c r="A274" t="n">
        <v>1552</v>
      </c>
      <c r="B274" t="inlineStr">
        <is>
          <t>Fedrigoni Sirio Perla</t>
        </is>
      </c>
      <c r="C274" t="n">
        <v>70</v>
      </c>
      <c r="D274" t="n">
        <v>100</v>
      </c>
      <c r="E274" t="n">
        <v>210</v>
      </c>
      <c r="F274" t="n">
        <v>0</v>
      </c>
      <c r="G274">
        <f>SUMIF(PRISPELO!B:B, A274, PRISPELO!G:G)</f>
        <v/>
      </c>
      <c r="H274">
        <f>SUMIF(ODPIS!B:B, A274, ODPIS!G:G)</f>
        <v/>
      </c>
      <c r="I274" s="2">
        <f>F274 + G274 - H274</f>
        <v/>
      </c>
    </row>
    <row r="275">
      <c r="A275" t="n">
        <v>1566</v>
      </c>
      <c r="B275" t="inlineStr">
        <is>
          <t>Chromolux Metallic 84 Blau</t>
        </is>
      </c>
      <c r="C275" t="n">
        <v>70</v>
      </c>
      <c r="D275" t="n">
        <v>100</v>
      </c>
      <c r="E275" t="n">
        <v>250</v>
      </c>
      <c r="F275" t="n">
        <v>0</v>
      </c>
      <c r="G275">
        <f>SUMIF(PRISPELO!B:B, A275, PRISPELO!G:G)</f>
        <v/>
      </c>
      <c r="H275">
        <f>SUMIF(ODPIS!B:B, A275, ODPIS!G:G)</f>
        <v/>
      </c>
      <c r="I275" s="2">
        <f>F275 + G275 - H275</f>
        <v/>
      </c>
    </row>
    <row r="276">
      <c r="A276" t="n">
        <v>1583</v>
      </c>
      <c r="B276" t="inlineStr">
        <is>
          <t>Fedrigoni Symbol pearl ice</t>
        </is>
      </c>
      <c r="C276" t="n">
        <v>70</v>
      </c>
      <c r="D276" t="n">
        <v>100</v>
      </c>
      <c r="E276" t="n">
        <v>200</v>
      </c>
      <c r="F276" t="n">
        <v>0</v>
      </c>
      <c r="G276">
        <f>SUMIF(PRISPELO!B:B, A276, PRISPELO!G:G)</f>
        <v/>
      </c>
      <c r="H276">
        <f>SUMIF(ODPIS!B:B, A276, ODPIS!G:G)</f>
        <v/>
      </c>
      <c r="I276" s="2">
        <f>F276 + G276 - H276</f>
        <v/>
      </c>
    </row>
    <row r="277">
      <c r="A277" t="n">
        <v>1584</v>
      </c>
      <c r="B277" t="inlineStr">
        <is>
          <t>OLIN ofset</t>
        </is>
      </c>
      <c r="C277" t="n">
        <v>102</v>
      </c>
      <c r="D277" t="n">
        <v>72</v>
      </c>
      <c r="E277" t="n">
        <v>210</v>
      </c>
      <c r="F277" t="n">
        <v>0</v>
      </c>
      <c r="G277">
        <f>SUMIF(PRISPELO!B:B, A277, PRISPELO!G:G)</f>
        <v/>
      </c>
      <c r="H277">
        <f>SUMIF(ODPIS!B:B, A277, ODPIS!G:G)</f>
        <v/>
      </c>
      <c r="I277" s="2">
        <f>F277 + G277 - H277</f>
        <v/>
      </c>
    </row>
    <row r="278">
      <c r="A278" t="n">
        <v>1586</v>
      </c>
      <c r="B278" t="inlineStr">
        <is>
          <t>Quatro silk</t>
        </is>
      </c>
      <c r="C278" t="n">
        <v>70</v>
      </c>
      <c r="D278" t="n">
        <v>100</v>
      </c>
      <c r="E278" t="n">
        <v>250</v>
      </c>
      <c r="F278" t="n">
        <v>0</v>
      </c>
      <c r="G278">
        <f>SUMIF(PRISPELO!B:B, A278, PRISPELO!G:G)</f>
        <v/>
      </c>
      <c r="H278">
        <f>SUMIF(ODPIS!B:B, A278, ODPIS!G:G)</f>
        <v/>
      </c>
      <c r="I278" s="2">
        <f>F278 + G278 - H278</f>
        <v/>
      </c>
    </row>
    <row r="279">
      <c r="A279" t="n">
        <v>1589</v>
      </c>
      <c r="B279" t="inlineStr">
        <is>
          <t>LEPENKA SIVA 1,5 mm</t>
        </is>
      </c>
      <c r="C279" t="n">
        <v>71</v>
      </c>
      <c r="D279" t="n">
        <v>101</v>
      </c>
      <c r="E279" t="n">
        <v>923</v>
      </c>
      <c r="F279" t="n">
        <v>0</v>
      </c>
      <c r="G279">
        <f>SUMIF(PRISPELO!B:B, A279, PRISPELO!G:G)</f>
        <v/>
      </c>
      <c r="H279">
        <f>SUMIF(ODPIS!B:B, A279, ODPIS!G:G)</f>
        <v/>
      </c>
      <c r="I279" s="2">
        <f>F279 + G279 - H279</f>
        <v/>
      </c>
    </row>
    <row r="280">
      <c r="A280" t="n">
        <v>1598</v>
      </c>
      <c r="B280" t="inlineStr">
        <is>
          <t>CLARO BULK</t>
        </is>
      </c>
      <c r="C280" t="n">
        <v>90</v>
      </c>
      <c r="D280" t="n">
        <v>64</v>
      </c>
      <c r="E280" t="n">
        <v>90</v>
      </c>
      <c r="F280" t="n">
        <v>0</v>
      </c>
      <c r="G280">
        <f>SUMIF(PRISPELO!B:B, A280, PRISPELO!G:G)</f>
        <v/>
      </c>
      <c r="H280">
        <f>SUMIF(ODPIS!B:B, A280, ODPIS!G:G)</f>
        <v/>
      </c>
      <c r="I280" s="2">
        <f>F280 + G280 - H280</f>
        <v/>
      </c>
    </row>
    <row r="281">
      <c r="A281" t="n">
        <v>1600</v>
      </c>
      <c r="B281" t="inlineStr">
        <is>
          <t>MASTER Print</t>
        </is>
      </c>
      <c r="C281" t="n">
        <v>90</v>
      </c>
      <c r="D281" t="n">
        <v>64</v>
      </c>
      <c r="E281" t="n">
        <v>90</v>
      </c>
      <c r="F281" t="n">
        <v>0</v>
      </c>
      <c r="G281">
        <f>SUMIF(PRISPELO!B:B, A281, PRISPELO!G:G)</f>
        <v/>
      </c>
      <c r="H281">
        <f>SUMIF(ODPIS!B:B, A281, ODPIS!G:G)</f>
        <v/>
      </c>
      <c r="I281" s="2">
        <f>F281 + G281 - H281</f>
        <v/>
      </c>
    </row>
    <row r="282">
      <c r="A282" t="n">
        <v>1601</v>
      </c>
      <c r="B282" t="inlineStr">
        <is>
          <t>MASTER Print</t>
        </is>
      </c>
      <c r="C282" t="n">
        <v>64</v>
      </c>
      <c r="D282" t="n">
        <v>88</v>
      </c>
      <c r="E282" t="n">
        <v>120</v>
      </c>
      <c r="F282" t="n">
        <v>0</v>
      </c>
      <c r="G282">
        <f>SUMIF(PRISPELO!B:B, A282, PRISPELO!G:G)</f>
        <v/>
      </c>
      <c r="H282">
        <f>SUMIF(ODPIS!B:B, A282, ODPIS!G:G)</f>
        <v/>
      </c>
      <c r="I282" s="2">
        <f>F282 + G282 - H282</f>
        <v/>
      </c>
    </row>
    <row r="283">
      <c r="A283" t="n">
        <v>1611</v>
      </c>
      <c r="B283" t="inlineStr">
        <is>
          <t>ON OFFset</t>
        </is>
      </c>
      <c r="C283" t="n">
        <v>64</v>
      </c>
      <c r="D283" t="n">
        <v>90</v>
      </c>
      <c r="E283" t="n">
        <v>135</v>
      </c>
      <c r="F283" t="n">
        <v>0</v>
      </c>
      <c r="G283">
        <f>SUMIF(PRISPELO!B:B, A283, PRISPELO!G:G)</f>
        <v/>
      </c>
      <c r="H283">
        <f>SUMIF(ODPIS!B:B, A283, ODPIS!G:G)</f>
        <v/>
      </c>
      <c r="I283" s="2">
        <f>F283 + G283 - H283</f>
        <v/>
      </c>
    </row>
    <row r="284">
      <c r="A284" t="n">
        <v>1623</v>
      </c>
      <c r="B284" t="inlineStr">
        <is>
          <t>Fedrigoni Sirio OYSTER SHELL</t>
        </is>
      </c>
      <c r="C284" t="n">
        <v>72</v>
      </c>
      <c r="D284" t="n">
        <v>102</v>
      </c>
      <c r="E284" t="n">
        <v>300</v>
      </c>
      <c r="F284" t="n">
        <v>0</v>
      </c>
      <c r="G284">
        <f>SUMIF(PRISPELO!B:B, A284, PRISPELO!G:G)</f>
        <v/>
      </c>
      <c r="H284">
        <f>SUMIF(ODPIS!B:B, A284, ODPIS!G:G)</f>
        <v/>
      </c>
      <c r="I284" s="2">
        <f>F284 + G284 - H284</f>
        <v/>
      </c>
    </row>
    <row r="285">
      <c r="A285" t="n">
        <v>1641</v>
      </c>
      <c r="B285" t="inlineStr">
        <is>
          <t>MASTER Print</t>
        </is>
      </c>
      <c r="C285" t="n">
        <v>100</v>
      </c>
      <c r="D285" t="n">
        <v>70</v>
      </c>
      <c r="E285" t="n">
        <v>80</v>
      </c>
      <c r="F285" t="n">
        <v>0</v>
      </c>
      <c r="G285">
        <f>SUMIF(PRISPELO!B:B, A285, PRISPELO!G:G)</f>
        <v/>
      </c>
      <c r="H285">
        <f>SUMIF(ODPIS!B:B, A285, ODPIS!G:G)</f>
        <v/>
      </c>
      <c r="I285" s="2">
        <f>F285 + G285 - H285</f>
        <v/>
      </c>
    </row>
    <row r="286">
      <c r="A286" t="n">
        <v>1644</v>
      </c>
      <c r="B286" t="inlineStr">
        <is>
          <t>MASTER Print</t>
        </is>
      </c>
      <c r="C286" t="n">
        <v>88</v>
      </c>
      <c r="D286" t="n">
        <v>64</v>
      </c>
      <c r="E286" t="n">
        <v>100</v>
      </c>
      <c r="F286" t="n">
        <v>0</v>
      </c>
      <c r="G286">
        <f>SUMIF(PRISPELO!B:B, A286, PRISPELO!G:G)</f>
        <v/>
      </c>
      <c r="H286">
        <f>SUMIF(ODPIS!B:B, A286, ODPIS!G:G)</f>
        <v/>
      </c>
      <c r="I286" s="2">
        <f>F286 + G286 - H286</f>
        <v/>
      </c>
    </row>
    <row r="287">
      <c r="A287" t="n">
        <v>1990</v>
      </c>
      <c r="B287" t="inlineStr">
        <is>
          <t>Kuverta Courious Metal Ice gold</t>
        </is>
      </c>
      <c r="C287" t="n">
        <v>11</v>
      </c>
      <c r="D287" t="n">
        <v>22</v>
      </c>
      <c r="E287" t="n">
        <v>120</v>
      </c>
      <c r="F287" t="n">
        <v>0</v>
      </c>
      <c r="G287">
        <f>SUMIF(PRISPELO!B:B, A287, PRISPELO!G:G)</f>
        <v/>
      </c>
      <c r="H287">
        <f>SUMIF(ODPIS!B:B, A287, ODPIS!G:G)</f>
        <v/>
      </c>
      <c r="I287" s="2">
        <f>F287 + G287 - H287</f>
        <v/>
      </c>
    </row>
    <row r="288">
      <c r="A288" t="n">
        <v>1645</v>
      </c>
      <c r="B288" t="inlineStr">
        <is>
          <t>Luxo Art Samt</t>
        </is>
      </c>
      <c r="C288" t="n">
        <v>100</v>
      </c>
      <c r="D288" t="n">
        <v>70</v>
      </c>
      <c r="E288" t="n">
        <v>300</v>
      </c>
      <c r="F288" t="n">
        <v>0</v>
      </c>
      <c r="G288">
        <f>SUMIF(PRISPELO!B:B, A288, PRISPELO!G:G)</f>
        <v/>
      </c>
      <c r="H288">
        <f>SUMIF(ODPIS!B:B, A288, ODPIS!G:G)</f>
        <v/>
      </c>
      <c r="I288" s="2">
        <f>F288 + G288 - H288</f>
        <v/>
      </c>
    </row>
    <row r="289">
      <c r="A289" t="n">
        <v>1648</v>
      </c>
      <c r="B289" t="inlineStr">
        <is>
          <t>GRAFOPAK</t>
        </is>
      </c>
      <c r="C289" t="n">
        <v>71</v>
      </c>
      <c r="D289" t="n">
        <v>101</v>
      </c>
      <c r="E289" t="n">
        <v>400</v>
      </c>
      <c r="F289" t="n">
        <v>0</v>
      </c>
      <c r="G289">
        <f>SUMIF(PRISPELO!B:B, A289, PRISPELO!G:G)</f>
        <v/>
      </c>
      <c r="H289">
        <f>SUMIF(ODPIS!B:B, A289, ODPIS!G:G)</f>
        <v/>
      </c>
      <c r="I289" s="2">
        <f>F289 + G289 - H289</f>
        <v/>
      </c>
    </row>
    <row r="290">
      <c r="A290" t="n">
        <v>1650</v>
      </c>
      <c r="B290" t="inlineStr">
        <is>
          <t>BELPAK</t>
        </is>
      </c>
      <c r="C290" t="n">
        <v>61.5</v>
      </c>
      <c r="D290" t="n">
        <v>96</v>
      </c>
      <c r="E290" t="n">
        <v>350</v>
      </c>
      <c r="F290" t="n">
        <v>0</v>
      </c>
      <c r="G290">
        <f>SUMIF(PRISPELO!B:B, A290, PRISPELO!G:G)</f>
        <v/>
      </c>
      <c r="H290">
        <f>SUMIF(ODPIS!B:B, A290, ODPIS!G:G)</f>
        <v/>
      </c>
      <c r="I290" s="2">
        <f>F290 + G290 - H290</f>
        <v/>
      </c>
    </row>
    <row r="291">
      <c r="A291" t="n">
        <v>1654</v>
      </c>
      <c r="B291" t="inlineStr">
        <is>
          <t>Quatro silk</t>
        </is>
      </c>
      <c r="C291" t="n">
        <v>90</v>
      </c>
      <c r="D291" t="n">
        <v>64</v>
      </c>
      <c r="E291" t="n">
        <v>130</v>
      </c>
      <c r="F291" t="n">
        <v>0</v>
      </c>
      <c r="G291">
        <f>SUMIF(PRISPELO!B:B, A291, PRISPELO!G:G)</f>
        <v/>
      </c>
      <c r="H291">
        <f>SUMIF(ODPIS!B:B, A291, ODPIS!G:G)</f>
        <v/>
      </c>
      <c r="I291" s="2">
        <f>F291 + G291 - H291</f>
        <v/>
      </c>
    </row>
    <row r="292">
      <c r="A292" t="n">
        <v>1656</v>
      </c>
      <c r="B292" t="inlineStr">
        <is>
          <t>LUXO SATIN</t>
        </is>
      </c>
      <c r="C292" t="n">
        <v>64</v>
      </c>
      <c r="D292" t="n">
        <v>90</v>
      </c>
      <c r="E292" t="n">
        <v>350</v>
      </c>
      <c r="F292" t="n">
        <v>0</v>
      </c>
      <c r="G292">
        <f>SUMIF(PRISPELO!B:B, A292, PRISPELO!G:G)</f>
        <v/>
      </c>
      <c r="H292">
        <f>SUMIF(ODPIS!B:B, A292, ODPIS!G:G)</f>
        <v/>
      </c>
      <c r="I292" s="2">
        <f>F292 + G292 - H292</f>
        <v/>
      </c>
    </row>
    <row r="293">
      <c r="A293" t="n">
        <v>1998</v>
      </c>
      <c r="B293" t="inlineStr">
        <is>
          <t>Kuverta C4 bd si rjave</t>
        </is>
      </c>
      <c r="C293" t="n">
        <v>32.4</v>
      </c>
      <c r="D293" t="n">
        <v>22.9</v>
      </c>
      <c r="E293" t="n">
        <v>90</v>
      </c>
      <c r="F293" t="n">
        <v>0</v>
      </c>
      <c r="G293">
        <f>SUMIF(PRISPELO!B:B, A293, PRISPELO!G:G)</f>
        <v/>
      </c>
      <c r="H293">
        <f>SUMIF(ODPIS!B:B, A293, ODPIS!G:G)</f>
        <v/>
      </c>
      <c r="I293" s="2">
        <f>F293 + G293 - H293</f>
        <v/>
      </c>
    </row>
    <row r="294">
      <c r="A294" t="n">
        <v>2002</v>
      </c>
      <c r="B294" t="inlineStr">
        <is>
          <t>Kuverta 22x22, BO offset weiss</t>
        </is>
      </c>
      <c r="C294" t="n">
        <v>22</v>
      </c>
      <c r="D294" t="n">
        <v>22</v>
      </c>
      <c r="E294" t="n">
        <v>100</v>
      </c>
      <c r="F294" t="n">
        <v>0</v>
      </c>
      <c r="G294">
        <f>SUMIF(PRISPELO!B:B, A294, PRISPELO!G:G)</f>
        <v/>
      </c>
      <c r="H294">
        <f>SUMIF(ODPIS!B:B, A294, ODPIS!G:G)</f>
        <v/>
      </c>
      <c r="I294" s="2">
        <f>F294 + G294 - H294</f>
        <v/>
      </c>
    </row>
    <row r="295">
      <c r="A295" t="n">
        <v>1657</v>
      </c>
      <c r="B295" t="inlineStr">
        <is>
          <t>DITO OFSET</t>
        </is>
      </c>
      <c r="C295" t="n">
        <v>90</v>
      </c>
      <c r="D295" t="n">
        <v>64</v>
      </c>
      <c r="E295" t="n">
        <v>100</v>
      </c>
      <c r="F295" t="n">
        <v>0</v>
      </c>
      <c r="G295">
        <f>SUMIF(PRISPELO!B:B, A295, PRISPELO!G:G)</f>
        <v/>
      </c>
      <c r="H295">
        <f>SUMIF(ODPIS!B:B, A295, ODPIS!G:G)</f>
        <v/>
      </c>
      <c r="I295" s="2">
        <f>F295 + G295 - H295</f>
        <v/>
      </c>
    </row>
    <row r="296">
      <c r="A296" t="n">
        <v>1660</v>
      </c>
      <c r="B296" t="inlineStr">
        <is>
          <t>Gardamatt</t>
        </is>
      </c>
      <c r="C296" t="n">
        <v>64</v>
      </c>
      <c r="D296" t="n">
        <v>90</v>
      </c>
      <c r="E296" t="n">
        <v>200</v>
      </c>
      <c r="F296" t="n">
        <v>760</v>
      </c>
      <c r="G296">
        <f>SUMIF(PRISPELO!B:B, A296, PRISPELO!G:G)</f>
        <v/>
      </c>
      <c r="H296">
        <f>SUMIF(ODPIS!B:B, A296, ODPIS!G:G)</f>
        <v/>
      </c>
      <c r="I296" s="2">
        <f>F296 + G296 - H296</f>
        <v/>
      </c>
    </row>
    <row r="297">
      <c r="A297" t="n">
        <v>1661</v>
      </c>
      <c r="B297" t="inlineStr">
        <is>
          <t>DITO OFSET</t>
        </is>
      </c>
      <c r="C297" t="n">
        <v>64</v>
      </c>
      <c r="D297" t="n">
        <v>90</v>
      </c>
      <c r="E297" t="n">
        <v>100</v>
      </c>
      <c r="F297" t="n">
        <v>0</v>
      </c>
      <c r="G297">
        <f>SUMIF(PRISPELO!B:B, A297, PRISPELO!G:G)</f>
        <v/>
      </c>
      <c r="H297">
        <f>SUMIF(ODPIS!B:B, A297, ODPIS!G:G)</f>
        <v/>
      </c>
      <c r="I297" s="2">
        <f>F297 + G297 - H297</f>
        <v/>
      </c>
    </row>
    <row r="298">
      <c r="A298" t="n">
        <v>1684</v>
      </c>
      <c r="B298" t="inlineStr">
        <is>
          <t>STAFIX-statična folija BELA</t>
        </is>
      </c>
      <c r="C298" t="n">
        <v>65</v>
      </c>
      <c r="D298" t="n">
        <v>48</v>
      </c>
      <c r="E298" t="n">
        <v>250</v>
      </c>
      <c r="F298" t="n">
        <v>0</v>
      </c>
      <c r="G298">
        <f>SUMIF(PRISPELO!B:B, A298, PRISPELO!G:G)</f>
        <v/>
      </c>
      <c r="H298">
        <f>SUMIF(ODPIS!B:B, A298, ODPIS!G:G)</f>
        <v/>
      </c>
      <c r="I298" s="2">
        <f>F298 + G298 - H298</f>
        <v/>
      </c>
    </row>
    <row r="299">
      <c r="A299" t="n">
        <v>1685</v>
      </c>
      <c r="B299" t="inlineStr">
        <is>
          <t>STAFIX-statična folija-ptozorna</t>
        </is>
      </c>
      <c r="C299" t="n">
        <v>65</v>
      </c>
      <c r="D299" t="n">
        <v>48</v>
      </c>
      <c r="E299" t="n">
        <v>250</v>
      </c>
      <c r="F299" t="n">
        <v>0</v>
      </c>
      <c r="G299">
        <f>SUMIF(PRISPELO!B:B, A299, PRISPELO!G:G)</f>
        <v/>
      </c>
      <c r="H299">
        <f>SUMIF(ODPIS!B:B, A299, ODPIS!G:G)</f>
        <v/>
      </c>
      <c r="I299" s="2">
        <f>F299 + G299 - H299</f>
        <v/>
      </c>
    </row>
    <row r="300">
      <c r="A300" t="n">
        <v>1689</v>
      </c>
      <c r="B300" t="inlineStr">
        <is>
          <t>Fedrigoni Pergamenata marina sabbia</t>
        </is>
      </c>
      <c r="C300" t="n">
        <v>70</v>
      </c>
      <c r="D300" t="n">
        <v>100</v>
      </c>
      <c r="E300" t="n">
        <v>240</v>
      </c>
      <c r="F300" t="n">
        <v>0</v>
      </c>
      <c r="G300">
        <f>SUMIF(PRISPELO!B:B, A300, PRISPELO!G:G)</f>
        <v/>
      </c>
      <c r="H300">
        <f>SUMIF(ODPIS!B:B, A300, ODPIS!G:G)</f>
        <v/>
      </c>
      <c r="I300" s="2">
        <f>F300 + G300 - H300</f>
        <v/>
      </c>
    </row>
    <row r="301">
      <c r="A301" t="n">
        <v>1698</v>
      </c>
      <c r="B301" t="inlineStr">
        <is>
          <t>GALAXY metalic,space black</t>
        </is>
      </c>
      <c r="C301" t="n">
        <v>70</v>
      </c>
      <c r="D301" t="n">
        <v>100</v>
      </c>
      <c r="E301" t="n">
        <v>110</v>
      </c>
      <c r="F301" t="n">
        <v>0</v>
      </c>
      <c r="G301">
        <f>SUMIF(PRISPELO!B:B, A301, PRISPELO!G:G)</f>
        <v/>
      </c>
      <c r="H301">
        <f>SUMIF(ODPIS!B:B, A301, ODPIS!G:G)</f>
        <v/>
      </c>
      <c r="I301" s="2">
        <f>F301 + G301 - H301</f>
        <v/>
      </c>
    </row>
    <row r="302">
      <c r="A302" t="n">
        <v>1701</v>
      </c>
      <c r="B302" t="inlineStr">
        <is>
          <t>GALAXY metalic,pearl white</t>
        </is>
      </c>
      <c r="C302" t="n">
        <v>70</v>
      </c>
      <c r="D302" t="n">
        <v>100</v>
      </c>
      <c r="E302" t="n">
        <v>300</v>
      </c>
      <c r="F302" t="n">
        <v>0</v>
      </c>
      <c r="G302">
        <f>SUMIF(PRISPELO!B:B, A302, PRISPELO!G:G)</f>
        <v/>
      </c>
      <c r="H302">
        <f>SUMIF(ODPIS!B:B, A302, ODPIS!G:G)</f>
        <v/>
      </c>
      <c r="I302" s="2">
        <f>F302 + G302 - H302</f>
        <v/>
      </c>
    </row>
    <row r="303">
      <c r="A303" t="n">
        <v>1705</v>
      </c>
      <c r="B303" t="inlineStr">
        <is>
          <t>GALAXY metalic,space black</t>
        </is>
      </c>
      <c r="C303" t="n">
        <v>70</v>
      </c>
      <c r="D303" t="n">
        <v>100</v>
      </c>
      <c r="E303" t="n">
        <v>250</v>
      </c>
      <c r="F303" t="n">
        <v>0</v>
      </c>
      <c r="G303">
        <f>SUMIF(PRISPELO!B:B, A303, PRISPELO!G:G)</f>
        <v/>
      </c>
      <c r="H303">
        <f>SUMIF(ODPIS!B:B, A303, ODPIS!G:G)</f>
        <v/>
      </c>
      <c r="I303" s="2">
        <f>F303 + G303 - H303</f>
        <v/>
      </c>
    </row>
    <row r="304">
      <c r="A304" t="n">
        <v>1706</v>
      </c>
      <c r="B304" t="inlineStr">
        <is>
          <t>MASTER Print</t>
        </is>
      </c>
      <c r="C304" t="n">
        <v>88</v>
      </c>
      <c r="D304" t="n">
        <v>64</v>
      </c>
      <c r="E304" t="n">
        <v>120</v>
      </c>
      <c r="F304" t="n">
        <v>0</v>
      </c>
      <c r="G304">
        <f>SUMIF(PRISPELO!B:B, A304, PRISPELO!G:G)</f>
        <v/>
      </c>
      <c r="H304">
        <f>SUMIF(ODPIS!B:B, A304, ODPIS!G:G)</f>
        <v/>
      </c>
      <c r="I304" s="2">
        <f>F304 + G304 - H304</f>
        <v/>
      </c>
    </row>
    <row r="305">
      <c r="A305" t="n">
        <v>1707</v>
      </c>
      <c r="B305" t="inlineStr">
        <is>
          <t>Luxline lepenka- rumena1,5 mm</t>
        </is>
      </c>
      <c r="C305" t="n">
        <v>71</v>
      </c>
      <c r="D305" t="n">
        <v>101</v>
      </c>
      <c r="E305" t="n">
        <v>923</v>
      </c>
      <c r="F305" t="n">
        <v>0</v>
      </c>
      <c r="G305">
        <f>SUMIF(PRISPELO!B:B, A305, PRISPELO!G:G)</f>
        <v/>
      </c>
      <c r="H305">
        <f>SUMIF(ODPIS!B:B, A305, ODPIS!G:G)</f>
        <v/>
      </c>
      <c r="I305" s="2">
        <f>F305 + G305 - H305</f>
        <v/>
      </c>
    </row>
    <row r="306">
      <c r="A306" t="n">
        <v>1712</v>
      </c>
      <c r="B306" t="inlineStr">
        <is>
          <t>MASTER Print</t>
        </is>
      </c>
      <c r="C306" t="n">
        <v>70</v>
      </c>
      <c r="D306" t="n">
        <v>100</v>
      </c>
      <c r="E306" t="n">
        <v>300</v>
      </c>
      <c r="F306" t="n">
        <v>0</v>
      </c>
      <c r="G306">
        <f>SUMIF(PRISPELO!B:B, A306, PRISPELO!G:G)</f>
        <v/>
      </c>
      <c r="H306">
        <f>SUMIF(ODPIS!B:B, A306, ODPIS!G:G)</f>
        <v/>
      </c>
      <c r="I306" s="2">
        <f>F306 + G306 - H306</f>
        <v/>
      </c>
    </row>
    <row r="307">
      <c r="A307" t="n">
        <v>1721</v>
      </c>
      <c r="B307" t="inlineStr">
        <is>
          <t>BELPAK</t>
        </is>
      </c>
      <c r="C307" t="n">
        <v>71</v>
      </c>
      <c r="D307" t="n">
        <v>101</v>
      </c>
      <c r="E307" t="n">
        <v>350</v>
      </c>
      <c r="F307" t="n">
        <v>0</v>
      </c>
      <c r="G307">
        <f>SUMIF(PRISPELO!B:B, A307, PRISPELO!G:G)</f>
        <v/>
      </c>
      <c r="H307">
        <f>SUMIF(ODPIS!B:B, A307, ODPIS!G:G)</f>
        <v/>
      </c>
      <c r="I307" s="2">
        <f>F307 + G307 - H307</f>
        <v/>
      </c>
    </row>
    <row r="308">
      <c r="A308" t="n">
        <v>1722</v>
      </c>
      <c r="B308" t="inlineStr">
        <is>
          <t>GRAFOPAK</t>
        </is>
      </c>
      <c r="C308" t="n">
        <v>71</v>
      </c>
      <c r="D308" t="n">
        <v>101</v>
      </c>
      <c r="E308" t="n">
        <v>300</v>
      </c>
      <c r="F308" t="n">
        <v>0</v>
      </c>
      <c r="G308">
        <f>SUMIF(PRISPELO!B:B, A308, PRISPELO!G:G)</f>
        <v/>
      </c>
      <c r="H308">
        <f>SUMIF(ODPIS!B:B, A308, ODPIS!G:G)</f>
        <v/>
      </c>
      <c r="I308" s="2">
        <f>F308 + G308 - H308</f>
        <v/>
      </c>
    </row>
    <row r="309">
      <c r="A309" t="n">
        <v>1726</v>
      </c>
      <c r="B309" t="inlineStr">
        <is>
          <t>ON OFFset</t>
        </is>
      </c>
      <c r="C309" t="n">
        <v>70</v>
      </c>
      <c r="D309" t="n">
        <v>100</v>
      </c>
      <c r="E309" t="n">
        <v>350</v>
      </c>
      <c r="F309" t="n">
        <v>0</v>
      </c>
      <c r="G309">
        <f>SUMIF(PRISPELO!B:B, A309, PRISPELO!G:G)</f>
        <v/>
      </c>
      <c r="H309">
        <f>SUMIF(ODPIS!B:B, A309, ODPIS!G:G)</f>
        <v/>
      </c>
      <c r="I309" s="2">
        <f>F309 + G309 - H309</f>
        <v/>
      </c>
    </row>
    <row r="310">
      <c r="A310" t="n">
        <v>1727</v>
      </c>
      <c r="B310" t="inlineStr">
        <is>
          <t>BOARD ONE PRIME</t>
        </is>
      </c>
      <c r="C310" t="n">
        <v>100</v>
      </c>
      <c r="D310" t="n">
        <v>70</v>
      </c>
      <c r="E310" t="n">
        <v>300</v>
      </c>
      <c r="F310" t="n">
        <v>0</v>
      </c>
      <c r="G310">
        <f>SUMIF(PRISPELO!B:B, A310, PRISPELO!G:G)</f>
        <v/>
      </c>
      <c r="H310">
        <f>SUMIF(ODPIS!B:B, A310, ODPIS!G:G)</f>
        <v/>
      </c>
      <c r="I310" s="2">
        <f>F310 + G310 - H310</f>
        <v/>
      </c>
    </row>
    <row r="311">
      <c r="A311" t="n">
        <v>1732</v>
      </c>
      <c r="B311" t="inlineStr">
        <is>
          <t>Claro silk</t>
        </is>
      </c>
      <c r="C311" t="n">
        <v>63</v>
      </c>
      <c r="D311" t="n">
        <v>88</v>
      </c>
      <c r="E311" t="n">
        <v>90</v>
      </c>
      <c r="F311" t="n">
        <v>0</v>
      </c>
      <c r="G311">
        <f>SUMIF(PRISPELO!B:B, A311, PRISPELO!G:G)</f>
        <v/>
      </c>
      <c r="H311">
        <f>SUMIF(ODPIS!B:B, A311, ODPIS!G:G)</f>
        <v/>
      </c>
      <c r="I311" s="2">
        <f>F311 + G311 - H311</f>
        <v/>
      </c>
    </row>
    <row r="312">
      <c r="A312" t="n">
        <v>1733</v>
      </c>
      <c r="B312" t="inlineStr">
        <is>
          <t>DITO OFSET</t>
        </is>
      </c>
      <c r="C312" t="n">
        <v>45</v>
      </c>
      <c r="D312" t="n">
        <v>64</v>
      </c>
      <c r="E312" t="n">
        <v>150</v>
      </c>
      <c r="F312" t="n">
        <v>0</v>
      </c>
      <c r="G312">
        <f>SUMIF(PRISPELO!B:B, A312, PRISPELO!G:G)</f>
        <v/>
      </c>
      <c r="H312">
        <f>SUMIF(ODPIS!B:B, A312, ODPIS!G:G)</f>
        <v/>
      </c>
      <c r="I312" s="2">
        <f>F312 + G312 - H312</f>
        <v/>
      </c>
    </row>
    <row r="313">
      <c r="A313" t="n">
        <v>1734</v>
      </c>
      <c r="B313" t="inlineStr">
        <is>
          <t>DITO OFSET</t>
        </is>
      </c>
      <c r="C313" t="n">
        <v>64</v>
      </c>
      <c r="D313" t="n">
        <v>90</v>
      </c>
      <c r="E313" t="n">
        <v>190</v>
      </c>
      <c r="F313" t="n">
        <v>0</v>
      </c>
      <c r="G313">
        <f>SUMIF(PRISPELO!B:B, A313, PRISPELO!G:G)</f>
        <v/>
      </c>
      <c r="H313">
        <f>SUMIF(ODPIS!B:B, A313, ODPIS!G:G)</f>
        <v/>
      </c>
      <c r="I313" s="2">
        <f>F313 + G313 - H313</f>
        <v/>
      </c>
    </row>
    <row r="314">
      <c r="A314" t="n">
        <v>1737</v>
      </c>
      <c r="B314" t="inlineStr">
        <is>
          <t>Samolepilna PVC-folija bela Oracal</t>
        </is>
      </c>
      <c r="C314" t="n">
        <v>100</v>
      </c>
      <c r="D314" t="n">
        <v>70</v>
      </c>
      <c r="E314" t="n">
        <v>98</v>
      </c>
      <c r="F314" t="n">
        <v>0</v>
      </c>
      <c r="G314">
        <f>SUMIF(PRISPELO!B:B, A314, PRISPELO!G:G)</f>
        <v/>
      </c>
      <c r="H314">
        <f>SUMIF(ODPIS!B:B, A314, ODPIS!G:G)</f>
        <v/>
      </c>
      <c r="I314" s="2">
        <f>F314 + G314 - H314</f>
        <v/>
      </c>
    </row>
    <row r="315">
      <c r="A315" t="n">
        <v>1741</v>
      </c>
      <c r="B315" t="inlineStr">
        <is>
          <t>FEDRIGONI SIMBOL. F-SATIN</t>
        </is>
      </c>
      <c r="C315" t="n">
        <v>70</v>
      </c>
      <c r="D315" t="n">
        <v>100</v>
      </c>
      <c r="E315" t="n">
        <v>350</v>
      </c>
      <c r="F315" t="n">
        <v>0</v>
      </c>
      <c r="G315">
        <f>SUMIF(PRISPELO!B:B, A315, PRISPELO!G:G)</f>
        <v/>
      </c>
      <c r="H315">
        <f>SUMIF(ODPIS!B:B, A315, ODPIS!G:G)</f>
        <v/>
      </c>
      <c r="I315" s="2">
        <f>F315 + G315 - H315</f>
        <v/>
      </c>
    </row>
    <row r="316">
      <c r="A316" t="n">
        <v>1743</v>
      </c>
      <c r="B316" t="inlineStr">
        <is>
          <t>Munken Elk 1,5 kratni volumen</t>
        </is>
      </c>
      <c r="C316" t="n">
        <v>64</v>
      </c>
      <c r="D316" t="n">
        <v>90</v>
      </c>
      <c r="E316" t="n">
        <v>300</v>
      </c>
      <c r="F316" t="n">
        <v>0</v>
      </c>
      <c r="G316">
        <f>SUMIF(PRISPELO!B:B, A316, PRISPELO!G:G)</f>
        <v/>
      </c>
      <c r="H316">
        <f>SUMIF(ODPIS!B:B, A316, ODPIS!G:G)</f>
        <v/>
      </c>
      <c r="I316" s="2">
        <f>F316 + G316 - H316</f>
        <v/>
      </c>
    </row>
    <row r="317">
      <c r="A317" t="n">
        <v>1746</v>
      </c>
      <c r="B317" t="inlineStr">
        <is>
          <t>munken lynx 1,13x volumen</t>
        </is>
      </c>
      <c r="C317" t="n">
        <v>90</v>
      </c>
      <c r="D317" t="n">
        <v>64</v>
      </c>
      <c r="E317" t="n">
        <v>150</v>
      </c>
      <c r="F317" t="n">
        <v>0</v>
      </c>
      <c r="G317">
        <f>SUMIF(PRISPELO!B:B, A317, PRISPELO!G:G)</f>
        <v/>
      </c>
      <c r="H317">
        <f>SUMIF(ODPIS!B:B, A317, ODPIS!G:G)</f>
        <v/>
      </c>
      <c r="I317" s="2">
        <f>F317 + G317 - H317</f>
        <v/>
      </c>
    </row>
    <row r="318">
      <c r="A318" t="n">
        <v>1747</v>
      </c>
      <c r="B318" t="inlineStr">
        <is>
          <t>Munken Lynx 1,13x volumen</t>
        </is>
      </c>
      <c r="C318" t="n">
        <v>102</v>
      </c>
      <c r="D318" t="n">
        <v>72</v>
      </c>
      <c r="E318" t="n">
        <v>300</v>
      </c>
      <c r="F318" t="n">
        <v>0</v>
      </c>
      <c r="G318">
        <f>SUMIF(PRISPELO!B:B, A318, PRISPELO!G:G)</f>
        <v/>
      </c>
      <c r="H318">
        <f>SUMIF(ODPIS!B:B, A318, ODPIS!G:G)</f>
        <v/>
      </c>
      <c r="I318" s="2">
        <f>F318 + G318 - H318</f>
        <v/>
      </c>
    </row>
    <row r="319">
      <c r="A319" t="n">
        <v>1756</v>
      </c>
      <c r="B319" t="inlineStr">
        <is>
          <t>BOARD ONE PRIMA</t>
        </is>
      </c>
      <c r="C319" t="n">
        <v>70</v>
      </c>
      <c r="D319" t="n">
        <v>100</v>
      </c>
      <c r="E319" t="n">
        <v>300</v>
      </c>
      <c r="F319" t="n">
        <v>0</v>
      </c>
      <c r="G319">
        <f>SUMIF(PRISPELO!B:B, A319, PRISPELO!G:G)</f>
        <v/>
      </c>
      <c r="H319">
        <f>SUMIF(ODPIS!B:B, A319, ODPIS!G:G)</f>
        <v/>
      </c>
      <c r="I319" s="2">
        <f>F319 + G319 - H319</f>
        <v/>
      </c>
    </row>
    <row r="320">
      <c r="A320" t="n">
        <v>1761</v>
      </c>
      <c r="B320" t="inlineStr">
        <is>
          <t>GALARIE ART SILK</t>
        </is>
      </c>
      <c r="C320" t="n">
        <v>90</v>
      </c>
      <c r="D320" t="n">
        <v>64</v>
      </c>
      <c r="E320" t="n">
        <v>200</v>
      </c>
      <c r="F320" t="n">
        <v>0</v>
      </c>
      <c r="G320">
        <f>SUMIF(PRISPELO!B:B, A320, PRISPELO!G:G)</f>
        <v/>
      </c>
      <c r="H320">
        <f>SUMIF(ODPIS!B:B, A320, ODPIS!G:G)</f>
        <v/>
      </c>
      <c r="I320" s="2">
        <f>F320 + G320 - H320</f>
        <v/>
      </c>
    </row>
    <row r="321">
      <c r="A321" t="n">
        <v>1762</v>
      </c>
      <c r="B321" t="inlineStr">
        <is>
          <t>DITO OFSET</t>
        </is>
      </c>
      <c r="C321" t="n">
        <v>90</v>
      </c>
      <c r="D321" t="n">
        <v>64</v>
      </c>
      <c r="E321" t="n">
        <v>150</v>
      </c>
      <c r="F321" t="n">
        <v>0</v>
      </c>
      <c r="G321">
        <f>SUMIF(PRISPELO!B:B, A321, PRISPELO!G:G)</f>
        <v/>
      </c>
      <c r="H321">
        <f>SUMIF(ODPIS!B:B, A321, ODPIS!G:G)</f>
        <v/>
      </c>
      <c r="I321" s="2">
        <f>F321 + G321 - H321</f>
        <v/>
      </c>
    </row>
    <row r="322">
      <c r="A322" t="n">
        <v>1764</v>
      </c>
      <c r="B322" t="inlineStr">
        <is>
          <t>BOARD ONE PRIMA</t>
        </is>
      </c>
      <c r="C322" t="n">
        <v>70</v>
      </c>
      <c r="D322" t="n">
        <v>100</v>
      </c>
      <c r="E322" t="n">
        <v>350</v>
      </c>
      <c r="F322" t="n">
        <v>0</v>
      </c>
      <c r="G322">
        <f>SUMIF(PRISPELO!B:B, A322, PRISPELO!G:G)</f>
        <v/>
      </c>
      <c r="H322">
        <f>SUMIF(ODPIS!B:B, A322, ODPIS!G:G)</f>
        <v/>
      </c>
      <c r="I322" s="2">
        <f>F322 + G322 - H322</f>
        <v/>
      </c>
    </row>
    <row r="323">
      <c r="A323" t="n">
        <v>1770</v>
      </c>
      <c r="B323" t="inlineStr">
        <is>
          <t>Eskaboard FSC lepenka</t>
        </is>
      </c>
      <c r="C323" t="n">
        <v>71</v>
      </c>
      <c r="D323" t="n">
        <v>101</v>
      </c>
      <c r="E323" t="n">
        <v>615</v>
      </c>
      <c r="F323" t="n">
        <v>0</v>
      </c>
      <c r="G323">
        <f>SUMIF(PRISPELO!B:B, A323, PRISPELO!G:G)</f>
        <v/>
      </c>
      <c r="H323">
        <f>SUMIF(ODPIS!B:B, A323, ODPIS!G:G)</f>
        <v/>
      </c>
      <c r="I323" s="2">
        <f>F323 + G323 - H323</f>
        <v/>
      </c>
    </row>
    <row r="324">
      <c r="A324" t="n">
        <v>1782</v>
      </c>
      <c r="B324" t="inlineStr">
        <is>
          <t>STARDREAM 2S SILVER</t>
        </is>
      </c>
      <c r="C324" t="n">
        <v>72</v>
      </c>
      <c r="D324" t="n">
        <v>102</v>
      </c>
      <c r="E324" t="n">
        <v>120</v>
      </c>
      <c r="F324" t="n">
        <v>0</v>
      </c>
      <c r="G324">
        <f>SUMIF(PRISPELO!B:B, A324, PRISPELO!G:G)</f>
        <v/>
      </c>
      <c r="H324">
        <f>SUMIF(ODPIS!B:B, A324, ODPIS!G:G)</f>
        <v/>
      </c>
      <c r="I324" s="2">
        <f>F324 + G324 - H324</f>
        <v/>
      </c>
    </row>
    <row r="325">
      <c r="A325" t="n">
        <v>1784</v>
      </c>
      <c r="B325" t="inlineStr">
        <is>
          <t>Fedrigoni Woodstock Camoscio</t>
        </is>
      </c>
      <c r="C325" t="n">
        <v>70</v>
      </c>
      <c r="D325" t="n">
        <v>100</v>
      </c>
      <c r="E325" t="n">
        <v>285</v>
      </c>
      <c r="F325" t="n">
        <v>0</v>
      </c>
      <c r="G325">
        <f>SUMIF(PRISPELO!B:B, A325, PRISPELO!G:G)</f>
        <v/>
      </c>
      <c r="H325">
        <f>SUMIF(ODPIS!B:B, A325, ODPIS!G:G)</f>
        <v/>
      </c>
      <c r="I325" s="2">
        <f>F325 + G325 - H325</f>
        <v/>
      </c>
    </row>
    <row r="326">
      <c r="A326" t="n">
        <v>1785</v>
      </c>
      <c r="B326" t="inlineStr">
        <is>
          <t>Fedrigoni Woodstock Noce</t>
        </is>
      </c>
      <c r="C326" t="n">
        <v>70</v>
      </c>
      <c r="D326" t="n">
        <v>100</v>
      </c>
      <c r="E326" t="n">
        <v>285</v>
      </c>
      <c r="F326" t="n">
        <v>0</v>
      </c>
      <c r="G326">
        <f>SUMIF(PRISPELO!B:B, A326, PRISPELO!G:G)</f>
        <v/>
      </c>
      <c r="H326">
        <f>SUMIF(ODPIS!B:B, A326, ODPIS!G:G)</f>
        <v/>
      </c>
      <c r="I326" s="2">
        <f>F326 + G326 - H326</f>
        <v/>
      </c>
    </row>
    <row r="327">
      <c r="A327" t="n">
        <v>1791</v>
      </c>
      <c r="B327" t="inlineStr">
        <is>
          <t>Selection SMOOTH</t>
        </is>
      </c>
      <c r="C327" t="n">
        <v>45</v>
      </c>
      <c r="D327" t="n">
        <v>64</v>
      </c>
      <c r="E327" t="n">
        <v>160</v>
      </c>
      <c r="F327" t="n">
        <v>0</v>
      </c>
      <c r="G327">
        <f>SUMIF(PRISPELO!B:B, A327, PRISPELO!G:G)</f>
        <v/>
      </c>
      <c r="H327">
        <f>SUMIF(ODPIS!B:B, A327, ODPIS!G:G)</f>
        <v/>
      </c>
      <c r="I327" s="2">
        <f>F327 + G327 - H327</f>
        <v/>
      </c>
    </row>
    <row r="328">
      <c r="A328" t="n">
        <v>1796</v>
      </c>
      <c r="B328" t="inlineStr">
        <is>
          <t>Rives tradition natural white</t>
        </is>
      </c>
      <c r="C328" t="n">
        <v>70</v>
      </c>
      <c r="D328" t="n">
        <v>100</v>
      </c>
      <c r="E328" t="n">
        <v>250</v>
      </c>
      <c r="F328" t="n">
        <v>0</v>
      </c>
      <c r="G328">
        <f>SUMIF(PRISPELO!B:B, A328, PRISPELO!G:G)</f>
        <v/>
      </c>
      <c r="H328">
        <f>SUMIF(ODPIS!B:B, A328, ODPIS!G:G)</f>
        <v/>
      </c>
      <c r="I328" s="2">
        <f>F328 + G328 - H328</f>
        <v/>
      </c>
    </row>
    <row r="329">
      <c r="A329" t="n">
        <v>1797</v>
      </c>
      <c r="B329" t="inlineStr">
        <is>
          <t>CARTA ELEGA</t>
        </is>
      </c>
      <c r="C329" t="n">
        <v>72</v>
      </c>
      <c r="D329" t="n">
        <v>102</v>
      </c>
      <c r="E329" t="n">
        <v>330</v>
      </c>
      <c r="F329" t="n">
        <v>0</v>
      </c>
      <c r="G329">
        <f>SUMIF(PRISPELO!B:B, A329, PRISPELO!G:G)</f>
        <v/>
      </c>
      <c r="H329">
        <f>SUMIF(ODPIS!B:B, A329, ODPIS!G:G)</f>
        <v/>
      </c>
      <c r="I329" s="2">
        <f>F329 + G329 - H329</f>
        <v/>
      </c>
    </row>
    <row r="330">
      <c r="A330" t="n">
        <v>1798</v>
      </c>
      <c r="B330" t="inlineStr">
        <is>
          <t>EKOPAP</t>
        </is>
      </c>
      <c r="C330" t="n">
        <v>70</v>
      </c>
      <c r="D330" t="n">
        <v>100</v>
      </c>
      <c r="E330" t="n">
        <v>80</v>
      </c>
      <c r="F330" t="n">
        <v>0</v>
      </c>
      <c r="G330">
        <f>SUMIF(PRISPELO!B:B, A330, PRISPELO!G:G)</f>
        <v/>
      </c>
      <c r="H330">
        <f>SUMIF(ODPIS!B:B, A330, ODPIS!G:G)</f>
        <v/>
      </c>
      <c r="I330" s="2">
        <f>F330 + G330 - H330</f>
        <v/>
      </c>
    </row>
    <row r="331">
      <c r="A331" t="n">
        <v>1803</v>
      </c>
      <c r="B331" t="inlineStr">
        <is>
          <t>MASTER Print</t>
        </is>
      </c>
      <c r="C331" t="n">
        <v>70</v>
      </c>
      <c r="D331" t="n">
        <v>100</v>
      </c>
      <c r="E331" t="n">
        <v>190</v>
      </c>
      <c r="F331" t="n">
        <v>0</v>
      </c>
      <c r="G331">
        <f>SUMIF(PRISPELO!B:B, A331, PRISPELO!G:G)</f>
        <v/>
      </c>
      <c r="H331">
        <f>SUMIF(ODPIS!B:B, A331, ODPIS!G:G)</f>
        <v/>
      </c>
      <c r="I331" s="2">
        <f>F331 + G331 - H331</f>
        <v/>
      </c>
    </row>
    <row r="332">
      <c r="A332" t="n">
        <v>2624</v>
      </c>
      <c r="B332" t="inlineStr">
        <is>
          <t>kuverte E4</t>
        </is>
      </c>
      <c r="C332" t="n">
        <v>28</v>
      </c>
      <c r="D332" t="n">
        <v>40</v>
      </c>
      <c r="E332" t="n">
        <v>100</v>
      </c>
      <c r="F332" t="n">
        <v>0</v>
      </c>
      <c r="G332">
        <f>SUMIF(PRISPELO!B:B, A332, PRISPELO!G:G)</f>
        <v/>
      </c>
      <c r="H332">
        <f>SUMIF(ODPIS!B:B, A332, ODPIS!G:G)</f>
        <v/>
      </c>
      <c r="I332" s="2">
        <f>F332 + G332 - H332</f>
        <v/>
      </c>
    </row>
    <row r="333">
      <c r="A333" t="n">
        <v>1810</v>
      </c>
      <c r="B333" t="inlineStr">
        <is>
          <t>LEPENKA Luxline 2,0 mm</t>
        </is>
      </c>
      <c r="C333" t="n">
        <v>71</v>
      </c>
      <c r="D333" t="n">
        <v>101</v>
      </c>
      <c r="E333" t="n">
        <v>1230</v>
      </c>
      <c r="F333" t="n">
        <v>0</v>
      </c>
      <c r="G333">
        <f>SUMIF(PRISPELO!B:B, A333, PRISPELO!G:G)</f>
        <v/>
      </c>
      <c r="H333">
        <f>SUMIF(ODPIS!B:B, A333, ODPIS!G:G)</f>
        <v/>
      </c>
      <c r="I333" s="2">
        <f>F333 + G333 - H333</f>
        <v/>
      </c>
    </row>
    <row r="334">
      <c r="A334" t="n">
        <v>1814</v>
      </c>
      <c r="B334" t="inlineStr">
        <is>
          <t>MASTER Print</t>
        </is>
      </c>
      <c r="C334" t="n">
        <v>70</v>
      </c>
      <c r="D334" t="n">
        <v>100</v>
      </c>
      <c r="E334" t="n">
        <v>140</v>
      </c>
      <c r="F334" t="n">
        <v>0</v>
      </c>
      <c r="G334">
        <f>SUMIF(PRISPELO!B:B, A334, PRISPELO!G:G)</f>
        <v/>
      </c>
      <c r="H334">
        <f>SUMIF(ODPIS!B:B, A334, ODPIS!G:G)</f>
        <v/>
      </c>
      <c r="I334" s="2">
        <f>F334 + G334 - H334</f>
        <v/>
      </c>
    </row>
    <row r="335">
      <c r="A335" t="n">
        <v>1816</v>
      </c>
      <c r="B335" t="inlineStr">
        <is>
          <t>MASTER Print</t>
        </is>
      </c>
      <c r="C335" t="n">
        <v>90</v>
      </c>
      <c r="D335" t="n">
        <v>64</v>
      </c>
      <c r="E335" t="n">
        <v>100</v>
      </c>
      <c r="F335" t="n">
        <v>0</v>
      </c>
      <c r="G335">
        <f>SUMIF(PRISPELO!B:B, A335, PRISPELO!G:G)</f>
        <v/>
      </c>
      <c r="H335">
        <f>SUMIF(ODPIS!B:B, A335, ODPIS!G:G)</f>
        <v/>
      </c>
      <c r="I335" s="2">
        <f>F335 + G335 - H335</f>
        <v/>
      </c>
    </row>
    <row r="336">
      <c r="A336" t="n">
        <v>1817</v>
      </c>
      <c r="B336" t="inlineStr">
        <is>
          <t>INVERCOTE</t>
        </is>
      </c>
      <c r="C336" t="n">
        <v>72</v>
      </c>
      <c r="D336" t="n">
        <v>102</v>
      </c>
      <c r="E336" t="n">
        <v>350</v>
      </c>
      <c r="F336" t="n">
        <v>0</v>
      </c>
      <c r="G336">
        <f>SUMIF(PRISPELO!B:B, A336, PRISPELO!G:G)</f>
        <v/>
      </c>
      <c r="H336">
        <f>SUMIF(ODPIS!B:B, A336, ODPIS!G:G)</f>
        <v/>
      </c>
      <c r="I336" s="2">
        <f>F336 + G336 - H336</f>
        <v/>
      </c>
    </row>
    <row r="337">
      <c r="A337" t="n">
        <v>1819</v>
      </c>
      <c r="B337" t="inlineStr">
        <is>
          <t>IDEM SUPERIOR - CFB rumen</t>
        </is>
      </c>
      <c r="C337" t="n">
        <v>45</v>
      </c>
      <c r="D337" t="n">
        <v>64</v>
      </c>
      <c r="E337" t="n">
        <v>60</v>
      </c>
      <c r="F337" t="n">
        <v>0</v>
      </c>
      <c r="G337">
        <f>SUMIF(PRISPELO!B:B, A337, PRISPELO!G:G)</f>
        <v/>
      </c>
      <c r="H337">
        <f>SUMIF(ODPIS!B:B, A337, ODPIS!G:G)</f>
        <v/>
      </c>
      <c r="I337" s="2">
        <f>F337 + G337 - H337</f>
        <v/>
      </c>
    </row>
    <row r="338">
      <c r="A338" t="n">
        <v>1830</v>
      </c>
      <c r="B338" t="inlineStr">
        <is>
          <t>ECOCOAT gloss</t>
        </is>
      </c>
      <c r="C338" t="n">
        <v>90</v>
      </c>
      <c r="D338" t="n">
        <v>64</v>
      </c>
      <c r="E338" t="n">
        <v>115</v>
      </c>
      <c r="F338" t="n">
        <v>0</v>
      </c>
      <c r="G338">
        <f>SUMIF(PRISPELO!B:B, A338, PRISPELO!G:G)</f>
        <v/>
      </c>
      <c r="H338">
        <f>SUMIF(ODPIS!B:B, A338, ODPIS!G:G)</f>
        <v/>
      </c>
      <c r="I338" s="2">
        <f>F338 + G338 - H338</f>
        <v/>
      </c>
    </row>
    <row r="339">
      <c r="A339" t="n">
        <v>2615</v>
      </c>
      <c r="B339" t="inlineStr">
        <is>
          <t>Kuverte iq color oyster grey</t>
        </is>
      </c>
      <c r="C339" t="n">
        <v>11</v>
      </c>
      <c r="D339" t="n">
        <v>22</v>
      </c>
      <c r="E339" t="n">
        <v>120</v>
      </c>
      <c r="F339" t="n">
        <v>0</v>
      </c>
      <c r="G339">
        <f>SUMIF(PRISPELO!B:B, A339, PRISPELO!G:G)</f>
        <v/>
      </c>
      <c r="H339">
        <f>SUMIF(ODPIS!B:B, A339, ODPIS!G:G)</f>
        <v/>
      </c>
      <c r="I339" s="2">
        <f>F339 + G339 - H339</f>
        <v/>
      </c>
    </row>
    <row r="340">
      <c r="A340" t="n">
        <v>1831</v>
      </c>
      <c r="B340" t="inlineStr">
        <is>
          <t>MASTER Print</t>
        </is>
      </c>
      <c r="C340" t="n">
        <v>64.09999999999999</v>
      </c>
      <c r="D340" t="n">
        <v>89.90000000000001</v>
      </c>
      <c r="E340" t="n">
        <v>60</v>
      </c>
      <c r="F340" t="n">
        <v>0</v>
      </c>
      <c r="G340">
        <f>SUMIF(PRISPELO!B:B, A340, PRISPELO!G:G)</f>
        <v/>
      </c>
      <c r="H340">
        <f>SUMIF(ODPIS!B:B, A340, ODPIS!G:G)</f>
        <v/>
      </c>
      <c r="I340" s="2">
        <f>F340 + G340 - H340</f>
        <v/>
      </c>
    </row>
    <row r="341">
      <c r="A341" t="n">
        <v>1833</v>
      </c>
      <c r="B341" t="inlineStr">
        <is>
          <t>ECOCOAT gloss</t>
        </is>
      </c>
      <c r="C341" t="n">
        <v>64</v>
      </c>
      <c r="D341" t="n">
        <v>90</v>
      </c>
      <c r="E341" t="n">
        <v>250</v>
      </c>
      <c r="F341" t="n">
        <v>0</v>
      </c>
      <c r="G341">
        <f>SUMIF(PRISPELO!B:B, A341, PRISPELO!G:G)</f>
        <v/>
      </c>
      <c r="H341">
        <f>SUMIF(ODPIS!B:B, A341, ODPIS!G:G)</f>
        <v/>
      </c>
      <c r="I341" s="2">
        <f>F341 + G341 - H341</f>
        <v/>
      </c>
    </row>
    <row r="342">
      <c r="A342" t="n">
        <v>1836</v>
      </c>
      <c r="B342" t="inlineStr">
        <is>
          <t>MASTER Print</t>
        </is>
      </c>
      <c r="C342" t="n">
        <v>90</v>
      </c>
      <c r="D342" t="n">
        <v>64</v>
      </c>
      <c r="E342" t="n">
        <v>80</v>
      </c>
      <c r="F342" t="n">
        <v>0</v>
      </c>
      <c r="G342">
        <f>SUMIF(PRISPELO!B:B, A342, PRISPELO!G:G)</f>
        <v/>
      </c>
      <c r="H342">
        <f>SUMIF(ODPIS!B:B, A342, ODPIS!G:G)</f>
        <v/>
      </c>
      <c r="I342" s="2">
        <f>F342 + G342 - H342</f>
        <v/>
      </c>
    </row>
    <row r="343">
      <c r="A343" t="n">
        <v>1844</v>
      </c>
      <c r="B343" t="inlineStr">
        <is>
          <t>ECOCOAT-gloss</t>
        </is>
      </c>
      <c r="C343" t="n">
        <v>64</v>
      </c>
      <c r="D343" t="n">
        <v>90</v>
      </c>
      <c r="E343" t="n">
        <v>130</v>
      </c>
      <c r="F343" t="n">
        <v>0</v>
      </c>
      <c r="G343">
        <f>SUMIF(PRISPELO!B:B, A343, PRISPELO!G:G)</f>
        <v/>
      </c>
      <c r="H343">
        <f>SUMIF(ODPIS!B:B, A343, ODPIS!G:G)</f>
        <v/>
      </c>
      <c r="I343" s="2">
        <f>F343 + G343 - H343</f>
        <v/>
      </c>
    </row>
    <row r="344">
      <c r="A344" t="n">
        <v>1850</v>
      </c>
      <c r="B344" t="inlineStr">
        <is>
          <t>CYCLUS OFFSET</t>
        </is>
      </c>
      <c r="C344" t="n">
        <v>45</v>
      </c>
      <c r="D344" t="n">
        <v>64</v>
      </c>
      <c r="E344" t="n">
        <v>80</v>
      </c>
      <c r="F344" t="n">
        <v>0</v>
      </c>
      <c r="G344">
        <f>SUMIF(PRISPELO!B:B, A344, PRISPELO!G:G)</f>
        <v/>
      </c>
      <c r="H344">
        <f>SUMIF(ODPIS!B:B, A344, ODPIS!G:G)</f>
        <v/>
      </c>
      <c r="I344" s="2">
        <f>F344 + G344 - H344</f>
        <v/>
      </c>
    </row>
    <row r="345">
      <c r="A345" t="n">
        <v>2000</v>
      </c>
      <c r="B345" t="inlineStr">
        <is>
          <t>Kuverta Munken Pure</t>
        </is>
      </c>
      <c r="C345" t="n">
        <v>11.4</v>
      </c>
      <c r="D345" t="n">
        <v>22.9</v>
      </c>
      <c r="E345" t="n">
        <v>80</v>
      </c>
      <c r="F345" t="n">
        <v>0</v>
      </c>
      <c r="G345">
        <f>SUMIF(PRISPELO!B:B, A345, PRISPELO!G:G)</f>
        <v/>
      </c>
      <c r="H345">
        <f>SUMIF(ODPIS!B:B, A345, ODPIS!G:G)</f>
        <v/>
      </c>
      <c r="I345" s="2">
        <f>F345 + G345 - H345</f>
        <v/>
      </c>
    </row>
    <row r="346">
      <c r="A346" t="n">
        <v>1857</v>
      </c>
      <c r="B346" t="inlineStr">
        <is>
          <t>Maestro Print</t>
        </is>
      </c>
      <c r="C346" t="n">
        <v>64</v>
      </c>
      <c r="D346" t="n">
        <v>88</v>
      </c>
      <c r="E346" t="n">
        <v>140</v>
      </c>
      <c r="F346" t="n">
        <v>0</v>
      </c>
      <c r="G346">
        <f>SUMIF(PRISPELO!B:B, A346, PRISPELO!G:G)</f>
        <v/>
      </c>
      <c r="H346">
        <f>SUMIF(ODPIS!B:B, A346, ODPIS!G:G)</f>
        <v/>
      </c>
      <c r="I346" s="2">
        <f>F346 + G346 - H346</f>
        <v/>
      </c>
    </row>
    <row r="347">
      <c r="A347" t="n">
        <v>1860</v>
      </c>
      <c r="B347" t="inlineStr">
        <is>
          <t>ECOCOAT GLOSS</t>
        </is>
      </c>
      <c r="C347" t="n">
        <v>100</v>
      </c>
      <c r="D347" t="n">
        <v>70</v>
      </c>
      <c r="E347" t="n">
        <v>150</v>
      </c>
      <c r="F347" t="n">
        <v>0</v>
      </c>
      <c r="G347">
        <f>SUMIF(PRISPELO!B:B, A347, PRISPELO!G:G)</f>
        <v/>
      </c>
      <c r="H347">
        <f>SUMIF(ODPIS!B:B, A347, ODPIS!G:G)</f>
        <v/>
      </c>
      <c r="I347" s="2">
        <f>F347 + G347 - H347</f>
        <v/>
      </c>
    </row>
    <row r="348">
      <c r="A348" t="n">
        <v>1862</v>
      </c>
      <c r="B348" t="inlineStr">
        <is>
          <t>OLIN ofset</t>
        </is>
      </c>
      <c r="C348" t="n">
        <v>92</v>
      </c>
      <c r="D348" t="n">
        <v>65</v>
      </c>
      <c r="E348" t="n">
        <v>90</v>
      </c>
      <c r="F348" t="n">
        <v>0</v>
      </c>
      <c r="G348">
        <f>SUMIF(PRISPELO!B:B, A348, PRISPELO!G:G)</f>
        <v/>
      </c>
      <c r="H348">
        <f>SUMIF(ODPIS!B:B, A348, ODPIS!G:G)</f>
        <v/>
      </c>
      <c r="I348" s="2">
        <f>F348 + G348 - H348</f>
        <v/>
      </c>
    </row>
    <row r="349">
      <c r="A349" t="n">
        <v>1870</v>
      </c>
      <c r="B349" t="inlineStr">
        <is>
          <t>MASTER Print</t>
        </is>
      </c>
      <c r="C349" t="n">
        <v>43</v>
      </c>
      <c r="D349" t="n">
        <v>73</v>
      </c>
      <c r="E349" t="n">
        <v>80</v>
      </c>
      <c r="F349" t="n">
        <v>0</v>
      </c>
      <c r="G349">
        <f>SUMIF(PRISPELO!B:B, A349, PRISPELO!G:G)</f>
        <v/>
      </c>
      <c r="H349">
        <f>SUMIF(ODPIS!B:B, A349, ODPIS!G:G)</f>
        <v/>
      </c>
      <c r="I349" s="2">
        <f>F349 + G349 - H349</f>
        <v/>
      </c>
    </row>
    <row r="350">
      <c r="A350" t="n">
        <v>1872</v>
      </c>
      <c r="B350" t="inlineStr">
        <is>
          <t>Prelude matt</t>
        </is>
      </c>
      <c r="C350" t="n">
        <v>90</v>
      </c>
      <c r="D350" t="n">
        <v>64</v>
      </c>
      <c r="E350" t="n">
        <v>250</v>
      </c>
      <c r="F350" t="n">
        <v>0</v>
      </c>
      <c r="G350">
        <f>SUMIF(PRISPELO!B:B, A350, PRISPELO!G:G)</f>
        <v/>
      </c>
      <c r="H350">
        <f>SUMIF(ODPIS!B:B, A350, ODPIS!G:G)</f>
        <v/>
      </c>
      <c r="I350" s="2">
        <f>F350 + G350 - H350</f>
        <v/>
      </c>
    </row>
    <row r="351">
      <c r="A351" t="n">
        <v>1874</v>
      </c>
      <c r="B351" t="inlineStr">
        <is>
          <t>ECOCOAT gloss</t>
        </is>
      </c>
      <c r="C351" t="n">
        <v>100</v>
      </c>
      <c r="D351" t="n">
        <v>70</v>
      </c>
      <c r="E351" t="n">
        <v>200</v>
      </c>
      <c r="F351" t="n">
        <v>0</v>
      </c>
      <c r="G351">
        <f>SUMIF(PRISPELO!B:B, A351, PRISPELO!G:G)</f>
        <v/>
      </c>
      <c r="H351">
        <f>SUMIF(ODPIS!B:B, A351, ODPIS!G:G)</f>
        <v/>
      </c>
      <c r="I351" s="2">
        <f>F351 + G351 - H351</f>
        <v/>
      </c>
    </row>
    <row r="352">
      <c r="A352" t="n">
        <v>1877</v>
      </c>
      <c r="B352" t="inlineStr">
        <is>
          <t>INVERCOTE CREATO</t>
        </is>
      </c>
      <c r="C352" t="n">
        <v>72</v>
      </c>
      <c r="D352" t="n">
        <v>102</v>
      </c>
      <c r="E352" t="n">
        <v>300</v>
      </c>
      <c r="F352" t="n">
        <v>0</v>
      </c>
      <c r="G352">
        <f>SUMIF(PRISPELO!B:B, A352, PRISPELO!G:G)</f>
        <v/>
      </c>
      <c r="H352">
        <f>SUMIF(ODPIS!B:B, A352, ODPIS!G:G)</f>
        <v/>
      </c>
      <c r="I352" s="2">
        <f>F352 + G352 - H352</f>
        <v/>
      </c>
    </row>
    <row r="353">
      <c r="A353" t="n">
        <v>1878</v>
      </c>
      <c r="B353" t="inlineStr">
        <is>
          <t>INVERCOTE</t>
        </is>
      </c>
      <c r="C353" t="n">
        <v>100</v>
      </c>
      <c r="D353" t="n">
        <v>70</v>
      </c>
      <c r="E353" t="n">
        <v>280</v>
      </c>
      <c r="F353" t="n">
        <v>0</v>
      </c>
      <c r="G353">
        <f>SUMIF(PRISPELO!B:B, A353, PRISPELO!G:G)</f>
        <v/>
      </c>
      <c r="H353">
        <f>SUMIF(ODPIS!B:B, A353, ODPIS!G:G)</f>
        <v/>
      </c>
      <c r="I353" s="2">
        <f>F353 + G353 - H353</f>
        <v/>
      </c>
    </row>
    <row r="354">
      <c r="A354" t="n">
        <v>1881</v>
      </c>
      <c r="B354" t="inlineStr">
        <is>
          <t>ECOCOAT-silk</t>
        </is>
      </c>
      <c r="C354" t="n">
        <v>90</v>
      </c>
      <c r="D354" t="n">
        <v>64</v>
      </c>
      <c r="E354" t="n">
        <v>130</v>
      </c>
      <c r="F354" t="n">
        <v>0</v>
      </c>
      <c r="G354">
        <f>SUMIF(PRISPELO!B:B, A354, PRISPELO!G:G)</f>
        <v/>
      </c>
      <c r="H354">
        <f>SUMIF(ODPIS!B:B, A354, ODPIS!G:G)</f>
        <v/>
      </c>
      <c r="I354" s="2">
        <f>F354 + G354 - H354</f>
        <v/>
      </c>
    </row>
    <row r="355">
      <c r="A355" t="n">
        <v>1882</v>
      </c>
      <c r="B355" t="inlineStr">
        <is>
          <t>ECOCOAT GLOSS</t>
        </is>
      </c>
      <c r="C355" t="n">
        <v>70</v>
      </c>
      <c r="D355" t="n">
        <v>100</v>
      </c>
      <c r="E355" t="n">
        <v>150</v>
      </c>
      <c r="F355" t="n">
        <v>0</v>
      </c>
      <c r="G355">
        <f>SUMIF(PRISPELO!B:B, A355, PRISPELO!G:G)</f>
        <v/>
      </c>
      <c r="H355">
        <f>SUMIF(ODPIS!B:B, A355, ODPIS!G:G)</f>
        <v/>
      </c>
      <c r="I355" s="2">
        <f>F355 + G355 - H355</f>
        <v/>
      </c>
    </row>
    <row r="356">
      <c r="A356" t="n">
        <v>1884</v>
      </c>
      <c r="B356" t="inlineStr">
        <is>
          <t>ECOCOAT-gloss</t>
        </is>
      </c>
      <c r="C356" t="n">
        <v>90</v>
      </c>
      <c r="D356" t="n">
        <v>64</v>
      </c>
      <c r="E356" t="n">
        <v>130</v>
      </c>
      <c r="F356" t="n">
        <v>0</v>
      </c>
      <c r="G356">
        <f>SUMIF(PRISPELO!B:B, A356, PRISPELO!G:G)</f>
        <v/>
      </c>
      <c r="H356">
        <f>SUMIF(ODPIS!B:B, A356, ODPIS!G:G)</f>
        <v/>
      </c>
      <c r="I356" s="2">
        <f>F356 + G356 - H356</f>
        <v/>
      </c>
    </row>
    <row r="357">
      <c r="A357" t="n">
        <v>1885</v>
      </c>
      <c r="B357" t="inlineStr">
        <is>
          <t>ECOCOAT gloss</t>
        </is>
      </c>
      <c r="C357" t="n">
        <v>90</v>
      </c>
      <c r="D357" t="n">
        <v>64</v>
      </c>
      <c r="E357" t="n">
        <v>250</v>
      </c>
      <c r="F357" t="n">
        <v>0</v>
      </c>
      <c r="G357">
        <f>SUMIF(PRISPELO!B:B, A357, PRISPELO!G:G)</f>
        <v/>
      </c>
      <c r="H357">
        <f>SUMIF(ODPIS!B:B, A357, ODPIS!G:G)</f>
        <v/>
      </c>
      <c r="I357" s="2">
        <f>F357 + G357 - H357</f>
        <v/>
      </c>
    </row>
    <row r="358">
      <c r="A358" t="n">
        <v>1986</v>
      </c>
      <c r="B358" t="inlineStr">
        <is>
          <t>Kuverta Corde. Chagall Bianco</t>
        </is>
      </c>
      <c r="C358" t="n">
        <v>16</v>
      </c>
      <c r="D358" t="n">
        <v>23</v>
      </c>
      <c r="E358" t="n">
        <v>130</v>
      </c>
      <c r="F358" t="n">
        <v>0</v>
      </c>
      <c r="G358">
        <f>SUMIF(PRISPELO!B:B, A358, PRISPELO!G:G)</f>
        <v/>
      </c>
      <c r="H358">
        <f>SUMIF(ODPIS!B:B, A358, ODPIS!G:G)</f>
        <v/>
      </c>
      <c r="I358" s="2">
        <f>F358 + G358 - H358</f>
        <v/>
      </c>
    </row>
    <row r="359">
      <c r="A359" t="n">
        <v>1886</v>
      </c>
      <c r="B359" t="inlineStr">
        <is>
          <t>ECOCOAT mat</t>
        </is>
      </c>
      <c r="C359" t="n">
        <v>90</v>
      </c>
      <c r="D359" t="n">
        <v>64</v>
      </c>
      <c r="E359" t="n">
        <v>170</v>
      </c>
      <c r="F359" t="n">
        <v>0</v>
      </c>
      <c r="G359">
        <f>SUMIF(PRISPELO!B:B, A359, PRISPELO!G:G)</f>
        <v/>
      </c>
      <c r="H359">
        <f>SUMIF(ODPIS!B:B, A359, ODPIS!G:G)</f>
        <v/>
      </c>
      <c r="I359" s="2">
        <f>F359 + G359 - H359</f>
        <v/>
      </c>
    </row>
    <row r="360">
      <c r="A360" t="n">
        <v>1890</v>
      </c>
      <c r="B360" t="inlineStr">
        <is>
          <t>POP SET-terracott</t>
        </is>
      </c>
      <c r="C360" t="n">
        <v>70</v>
      </c>
      <c r="D360" t="n">
        <v>100</v>
      </c>
      <c r="E360" t="n">
        <v>240</v>
      </c>
      <c r="F360" t="n">
        <v>0</v>
      </c>
      <c r="G360">
        <f>SUMIF(PRISPELO!B:B, A360, PRISPELO!G:G)</f>
        <v/>
      </c>
      <c r="H360">
        <f>SUMIF(ODPIS!B:B, A360, ODPIS!G:G)</f>
        <v/>
      </c>
      <c r="I360" s="2">
        <f>F360 + G360 - H360</f>
        <v/>
      </c>
    </row>
    <row r="361">
      <c r="A361" t="n">
        <v>2734</v>
      </c>
      <c r="B361" t="inlineStr">
        <is>
          <t>IQ color a4 cr20</t>
        </is>
      </c>
      <c r="C361" t="n">
        <v>21</v>
      </c>
      <c r="D361" t="n">
        <v>29.7</v>
      </c>
      <c r="E361" t="n">
        <v>120</v>
      </c>
      <c r="F361" t="n">
        <v>0</v>
      </c>
      <c r="G361">
        <f>SUMIF(PRISPELO!B:B, A361, PRISPELO!G:G)</f>
        <v/>
      </c>
      <c r="H361">
        <f>SUMIF(ODPIS!B:B, A361, ODPIS!G:G)</f>
        <v/>
      </c>
      <c r="I361" s="2">
        <f>F361 + G361 - H361</f>
        <v/>
      </c>
    </row>
    <row r="362">
      <c r="A362" t="n">
        <v>1897</v>
      </c>
      <c r="B362" t="inlineStr">
        <is>
          <t>PRELUDEMATT</t>
        </is>
      </c>
      <c r="C362" t="n">
        <v>90</v>
      </c>
      <c r="D362" t="n">
        <v>64</v>
      </c>
      <c r="E362" t="n">
        <v>130</v>
      </c>
      <c r="F362" t="n">
        <v>0</v>
      </c>
      <c r="G362">
        <f>SUMIF(PRISPELO!B:B, A362, PRISPELO!G:G)</f>
        <v/>
      </c>
      <c r="H362">
        <f>SUMIF(ODPIS!B:B, A362, ODPIS!G:G)</f>
        <v/>
      </c>
      <c r="I362" s="2">
        <f>F362 + G362 - H362</f>
        <v/>
      </c>
    </row>
    <row r="363">
      <c r="A363" t="n">
        <v>1898</v>
      </c>
      <c r="B363" t="inlineStr">
        <is>
          <t>PRELUDE MATT</t>
        </is>
      </c>
      <c r="C363" t="n">
        <v>100</v>
      </c>
      <c r="D363" t="n">
        <v>70</v>
      </c>
      <c r="E363" t="n">
        <v>300</v>
      </c>
      <c r="F363" t="n">
        <v>0</v>
      </c>
      <c r="G363">
        <f>SUMIF(PRISPELO!B:B, A363, PRISPELO!G:G)</f>
        <v/>
      </c>
      <c r="H363">
        <f>SUMIF(ODPIS!B:B, A363, ODPIS!G:G)</f>
        <v/>
      </c>
      <c r="I363" s="2">
        <f>F363 + G363 - H363</f>
        <v/>
      </c>
    </row>
    <row r="364">
      <c r="A364" t="n">
        <v>1899</v>
      </c>
      <c r="B364" t="inlineStr">
        <is>
          <t>OLIN REGULAR ABSOLUTE WHITE</t>
        </is>
      </c>
      <c r="C364" t="n">
        <v>65</v>
      </c>
      <c r="D364" t="n">
        <v>92</v>
      </c>
      <c r="E364" t="n">
        <v>120</v>
      </c>
      <c r="F364" t="n">
        <v>0</v>
      </c>
      <c r="G364">
        <f>SUMIF(PRISPELO!B:B, A364, PRISPELO!G:G)</f>
        <v/>
      </c>
      <c r="H364">
        <f>SUMIF(ODPIS!B:B, A364, ODPIS!G:G)</f>
        <v/>
      </c>
      <c r="I364" s="2">
        <f>F364 + G364 - H364</f>
        <v/>
      </c>
    </row>
    <row r="365">
      <c r="A365" t="n">
        <v>1900</v>
      </c>
      <c r="B365" t="inlineStr">
        <is>
          <t>MASTER Print</t>
        </is>
      </c>
      <c r="C365" t="n">
        <v>64</v>
      </c>
      <c r="D365" t="n">
        <v>90</v>
      </c>
      <c r="E365" t="n">
        <v>90</v>
      </c>
      <c r="F365" t="n">
        <v>0</v>
      </c>
      <c r="G365">
        <f>SUMIF(PRISPELO!B:B, A365, PRISPELO!G:G)</f>
        <v/>
      </c>
      <c r="H365">
        <f>SUMIF(ODPIS!B:B, A365, ODPIS!G:G)</f>
        <v/>
      </c>
      <c r="I365" s="2">
        <f>F365 + G365 - H365</f>
        <v/>
      </c>
    </row>
    <row r="366">
      <c r="A366" t="n">
        <v>1902</v>
      </c>
      <c r="B366" t="inlineStr">
        <is>
          <t>ECOCOAT matt</t>
        </is>
      </c>
      <c r="C366" t="n">
        <v>90</v>
      </c>
      <c r="D366" t="n">
        <v>64</v>
      </c>
      <c r="E366" t="n">
        <v>250</v>
      </c>
      <c r="F366" t="n">
        <v>0</v>
      </c>
      <c r="G366">
        <f>SUMIF(PRISPELO!B:B, A366, PRISPELO!G:G)</f>
        <v/>
      </c>
      <c r="H366">
        <f>SUMIF(ODPIS!B:B, A366, ODPIS!G:G)</f>
        <v/>
      </c>
      <c r="I366" s="2">
        <f>F366 + G366 - H366</f>
        <v/>
      </c>
    </row>
    <row r="367">
      <c r="A367" t="n">
        <v>1904</v>
      </c>
      <c r="B367" t="inlineStr">
        <is>
          <t>Ecocoat gloss</t>
        </is>
      </c>
      <c r="C367" t="n">
        <v>90</v>
      </c>
      <c r="D367" t="n">
        <v>64</v>
      </c>
      <c r="E367" t="n">
        <v>150</v>
      </c>
      <c r="F367" t="n">
        <v>0</v>
      </c>
      <c r="G367">
        <f>SUMIF(PRISPELO!B:B, A367, PRISPELO!G:G)</f>
        <v/>
      </c>
      <c r="H367">
        <f>SUMIF(ODPIS!B:B, A367, ODPIS!G:G)</f>
        <v/>
      </c>
      <c r="I367" s="2">
        <f>F367 + G367 - H367</f>
        <v/>
      </c>
    </row>
    <row r="368">
      <c r="A368" t="n">
        <v>1906</v>
      </c>
      <c r="B368" t="inlineStr">
        <is>
          <t>Maestro Print</t>
        </is>
      </c>
      <c r="C368" t="n">
        <v>70</v>
      </c>
      <c r="D368" t="n">
        <v>100</v>
      </c>
      <c r="E368" t="n">
        <v>300</v>
      </c>
      <c r="F368" t="n">
        <v>0</v>
      </c>
      <c r="G368">
        <f>SUMIF(PRISPELO!B:B, A368, PRISPELO!G:G)</f>
        <v/>
      </c>
      <c r="H368">
        <f>SUMIF(ODPIS!B:B, A368, ODPIS!G:G)</f>
        <v/>
      </c>
      <c r="I368" s="2">
        <f>F368 + G368 - H368</f>
        <v/>
      </c>
    </row>
    <row r="369">
      <c r="A369" t="n">
        <v>1910</v>
      </c>
      <c r="B369" t="inlineStr">
        <is>
          <t>MASTER Print</t>
        </is>
      </c>
      <c r="C369" t="n">
        <v>64</v>
      </c>
      <c r="D369" t="n">
        <v>88</v>
      </c>
      <c r="E369" t="n">
        <v>80</v>
      </c>
      <c r="F369" t="n">
        <v>0</v>
      </c>
      <c r="G369">
        <f>SUMIF(PRISPELO!B:B, A369, PRISPELO!G:G)</f>
        <v/>
      </c>
      <c r="H369">
        <f>SUMIF(ODPIS!B:B, A369, ODPIS!G:G)</f>
        <v/>
      </c>
      <c r="I369" s="2">
        <f>F369 + G369 - H369</f>
        <v/>
      </c>
    </row>
    <row r="370">
      <c r="A370" t="n">
        <v>1915</v>
      </c>
      <c r="B370" t="inlineStr">
        <is>
          <t>CARTA ELEGA</t>
        </is>
      </c>
      <c r="C370" t="n">
        <v>72</v>
      </c>
      <c r="D370" t="n">
        <v>102</v>
      </c>
      <c r="E370" t="n">
        <v>255</v>
      </c>
      <c r="F370" t="n">
        <v>0</v>
      </c>
      <c r="G370">
        <f>SUMIF(PRISPELO!B:B, A370, PRISPELO!G:G)</f>
        <v/>
      </c>
      <c r="H370">
        <f>SUMIF(ODPIS!B:B, A370, ODPIS!G:G)</f>
        <v/>
      </c>
      <c r="I370" s="2">
        <f>F370 + G370 - H370</f>
        <v/>
      </c>
    </row>
    <row r="371">
      <c r="A371" t="n">
        <v>1915</v>
      </c>
      <c r="B371" t="inlineStr">
        <is>
          <t>CARTA ELEGA</t>
        </is>
      </c>
      <c r="C371" t="n">
        <v>72</v>
      </c>
      <c r="D371" t="n">
        <v>102</v>
      </c>
      <c r="E371" t="n">
        <v>255</v>
      </c>
      <c r="F371" t="n">
        <v>0</v>
      </c>
      <c r="G371">
        <f>SUMIF(PRISPELO!B:B, A371, PRISPELO!G:G)</f>
        <v/>
      </c>
      <c r="H371">
        <f>SUMIF(ODPIS!B:B, A371, ODPIS!G:G)</f>
        <v/>
      </c>
      <c r="I371" s="2">
        <f>F371 + G371 - H371</f>
        <v/>
      </c>
    </row>
    <row r="372">
      <c r="A372" t="n">
        <v>1920</v>
      </c>
      <c r="B372" t="inlineStr">
        <is>
          <t>munken lynx</t>
        </is>
      </c>
      <c r="C372" t="n">
        <v>64</v>
      </c>
      <c r="D372" t="n">
        <v>90</v>
      </c>
      <c r="E372" t="n">
        <v>170</v>
      </c>
      <c r="F372" t="n">
        <v>0</v>
      </c>
      <c r="G372">
        <f>SUMIF(PRISPELO!B:B, A372, PRISPELO!G:G)</f>
        <v/>
      </c>
      <c r="H372">
        <f>SUMIF(ODPIS!B:B, A372, ODPIS!G:G)</f>
        <v/>
      </c>
      <c r="I372" s="2">
        <f>F372 + G372 - H372</f>
        <v/>
      </c>
    </row>
    <row r="373">
      <c r="A373" t="n">
        <v>1924</v>
      </c>
      <c r="B373" t="inlineStr">
        <is>
          <t>ECOCOAT gloss</t>
        </is>
      </c>
      <c r="C373" t="n">
        <v>100</v>
      </c>
      <c r="D373" t="n">
        <v>70</v>
      </c>
      <c r="E373" t="n">
        <v>115</v>
      </c>
      <c r="F373" t="n">
        <v>0</v>
      </c>
      <c r="G373">
        <f>SUMIF(PRISPELO!B:B, A373, PRISPELO!G:G)</f>
        <v/>
      </c>
      <c r="H373">
        <f>SUMIF(ODPIS!B:B, A373, ODPIS!G:G)</f>
        <v/>
      </c>
      <c r="I373" s="2">
        <f>F373 + G373 - H373</f>
        <v/>
      </c>
    </row>
    <row r="374">
      <c r="A374" t="n">
        <v>1927</v>
      </c>
      <c r="B374" t="inlineStr">
        <is>
          <t>KROMOPAK</t>
        </is>
      </c>
      <c r="C374" t="n">
        <v>71</v>
      </c>
      <c r="D374" t="n">
        <v>101</v>
      </c>
      <c r="E374" t="n">
        <v>350</v>
      </c>
      <c r="F374" t="n">
        <v>0</v>
      </c>
      <c r="G374">
        <f>SUMIF(PRISPELO!B:B, A374, PRISPELO!G:G)</f>
        <v/>
      </c>
      <c r="H374">
        <f>SUMIF(ODPIS!B:B, A374, ODPIS!G:G)</f>
        <v/>
      </c>
      <c r="I374" s="2">
        <f>F374 + G374 - H374</f>
        <v/>
      </c>
    </row>
    <row r="375">
      <c r="A375" t="n">
        <v>1932</v>
      </c>
      <c r="B375" t="inlineStr">
        <is>
          <t>BOARD ONE PRIMA</t>
        </is>
      </c>
      <c r="C375" t="n">
        <v>100</v>
      </c>
      <c r="D375" t="n">
        <v>70</v>
      </c>
      <c r="E375" t="n">
        <v>250</v>
      </c>
      <c r="F375" t="n">
        <v>0</v>
      </c>
      <c r="G375">
        <f>SUMIF(PRISPELO!B:B, A375, PRISPELO!G:G)</f>
        <v/>
      </c>
      <c r="H375">
        <f>SUMIF(ODPIS!B:B, A375, ODPIS!G:G)</f>
        <v/>
      </c>
      <c r="I375" s="2">
        <f>F375 + G375 - H375</f>
        <v/>
      </c>
    </row>
    <row r="376">
      <c r="A376" t="n">
        <v>1934</v>
      </c>
      <c r="B376" t="inlineStr">
        <is>
          <t>IDEM SUPERIOR - CFB roza</t>
        </is>
      </c>
      <c r="C376" t="n">
        <v>61</v>
      </c>
      <c r="D376" t="n">
        <v>86</v>
      </c>
      <c r="E376" t="n">
        <v>60</v>
      </c>
      <c r="F376" t="n">
        <v>0</v>
      </c>
      <c r="G376">
        <f>SUMIF(PRISPELO!B:B, A376, PRISPELO!G:G)</f>
        <v/>
      </c>
      <c r="H376">
        <f>SUMIF(ODPIS!B:B, A376, ODPIS!G:G)</f>
        <v/>
      </c>
      <c r="I376" s="2">
        <f>F376 + G376 - H376</f>
        <v/>
      </c>
    </row>
    <row r="377">
      <c r="A377" t="n">
        <v>1939</v>
      </c>
      <c r="B377" t="inlineStr">
        <is>
          <t>CLARO BULK</t>
        </is>
      </c>
      <c r="C377" t="n">
        <v>45</v>
      </c>
      <c r="D377" t="n">
        <v>64</v>
      </c>
      <c r="E377" t="n">
        <v>100</v>
      </c>
      <c r="F377" t="n">
        <v>0</v>
      </c>
      <c r="G377">
        <f>SUMIF(PRISPELO!B:B, A377, PRISPELO!G:G)</f>
        <v/>
      </c>
      <c r="H377">
        <f>SUMIF(ODPIS!B:B, A377, ODPIS!G:G)</f>
        <v/>
      </c>
      <c r="I377" s="2">
        <f>F377 + G377 - H377</f>
        <v/>
      </c>
    </row>
    <row r="378">
      <c r="A378" t="n">
        <v>1941</v>
      </c>
      <c r="B378" t="inlineStr">
        <is>
          <t>Fedrigoni Symbol f-gloss</t>
        </is>
      </c>
      <c r="C378" t="n">
        <v>70</v>
      </c>
      <c r="D378" t="n">
        <v>100</v>
      </c>
      <c r="E378" t="n">
        <v>200</v>
      </c>
      <c r="F378" t="n">
        <v>0</v>
      </c>
      <c r="G378">
        <f>SUMIF(PRISPELO!B:B, A378, PRISPELO!G:G)</f>
        <v/>
      </c>
      <c r="H378">
        <f>SUMIF(ODPIS!B:B, A378, ODPIS!G:G)</f>
        <v/>
      </c>
      <c r="I378" s="2">
        <f>F378 + G378 - H378</f>
        <v/>
      </c>
    </row>
    <row r="379">
      <c r="A379" t="n">
        <v>1943</v>
      </c>
      <c r="B379" t="inlineStr">
        <is>
          <t>Claro glos</t>
        </is>
      </c>
      <c r="C379" t="n">
        <v>45</v>
      </c>
      <c r="D379" t="n">
        <v>64</v>
      </c>
      <c r="E379" t="n">
        <v>135</v>
      </c>
      <c r="F379" t="n">
        <v>0</v>
      </c>
      <c r="G379">
        <f>SUMIF(PRISPELO!B:B, A379, PRISPELO!G:G)</f>
        <v/>
      </c>
      <c r="H379">
        <f>SUMIF(ODPIS!B:B, A379, ODPIS!G:G)</f>
        <v/>
      </c>
      <c r="I379" s="2">
        <f>F379 + G379 - H379</f>
        <v/>
      </c>
    </row>
    <row r="380">
      <c r="A380" t="n">
        <v>1945</v>
      </c>
      <c r="B380" t="inlineStr">
        <is>
          <t>Claro glos</t>
        </is>
      </c>
      <c r="C380" t="n">
        <v>45</v>
      </c>
      <c r="D380" t="n">
        <v>64</v>
      </c>
      <c r="E380" t="n">
        <v>90</v>
      </c>
      <c r="F380" t="n">
        <v>0</v>
      </c>
      <c r="G380">
        <f>SUMIF(PRISPELO!B:B, A380, PRISPELO!G:G)</f>
        <v/>
      </c>
      <c r="H380">
        <f>SUMIF(ODPIS!B:B, A380, ODPIS!G:G)</f>
        <v/>
      </c>
      <c r="I380" s="2">
        <f>F380 + G380 - H380</f>
        <v/>
      </c>
    </row>
    <row r="381">
      <c r="A381" t="n">
        <v>1955</v>
      </c>
      <c r="B381" t="inlineStr">
        <is>
          <t>LENSTAR 75 DPI SKID 13</t>
        </is>
      </c>
      <c r="C381" t="n">
        <v>50</v>
      </c>
      <c r="D381" t="n">
        <v>70</v>
      </c>
      <c r="E381" t="n">
        <v>0</v>
      </c>
      <c r="F381" t="n">
        <v>0</v>
      </c>
      <c r="G381">
        <f>SUMIF(PRISPELO!B:B, A381, PRISPELO!G:G)</f>
        <v/>
      </c>
      <c r="H381">
        <f>SUMIF(ODPIS!B:B, A381, ODPIS!G:G)</f>
        <v/>
      </c>
      <c r="I381" s="2">
        <f>F381 + G381 - H381</f>
        <v/>
      </c>
    </row>
    <row r="382">
      <c r="A382" t="n">
        <v>2331</v>
      </c>
      <c r="B382" t="inlineStr">
        <is>
          <t>Kuverta B5 rjava BO</t>
        </is>
      </c>
      <c r="C382" t="n">
        <v>0</v>
      </c>
      <c r="D382" t="n">
        <v>0</v>
      </c>
      <c r="E382" t="n">
        <v>0</v>
      </c>
      <c r="F382" t="n">
        <v>0</v>
      </c>
      <c r="G382">
        <f>SUMIF(PRISPELO!B:B, A382, PRISPELO!G:G)</f>
        <v/>
      </c>
      <c r="H382">
        <f>SUMIF(ODPIS!B:B, A382, ODPIS!G:G)</f>
        <v/>
      </c>
      <c r="I382" s="2">
        <f>F382 + G382 - H382</f>
        <v/>
      </c>
    </row>
    <row r="383">
      <c r="A383" t="n">
        <v>1956</v>
      </c>
      <c r="B383" t="inlineStr">
        <is>
          <t>Multi art silk</t>
        </is>
      </c>
      <c r="C383" t="n">
        <v>64</v>
      </c>
      <c r="D383" t="n">
        <v>90</v>
      </c>
      <c r="E383" t="n">
        <v>100</v>
      </c>
      <c r="F383" t="n">
        <v>0</v>
      </c>
      <c r="G383">
        <f>SUMIF(PRISPELO!B:B, A383, PRISPELO!G:G)</f>
        <v/>
      </c>
      <c r="H383">
        <f>SUMIF(ODPIS!B:B, A383, ODPIS!G:G)</f>
        <v/>
      </c>
      <c r="I383" s="2">
        <f>F383 + G383 - H383</f>
        <v/>
      </c>
    </row>
    <row r="384">
      <c r="A384" t="n">
        <v>1959</v>
      </c>
      <c r="B384" t="inlineStr">
        <is>
          <t>Sam. vellum removable AU</t>
        </is>
      </c>
      <c r="C384" t="n">
        <v>50</v>
      </c>
      <c r="D384" t="n">
        <v>70</v>
      </c>
      <c r="E384" t="n">
        <v>70</v>
      </c>
      <c r="F384" t="n">
        <v>0</v>
      </c>
      <c r="G384">
        <f>SUMIF(PRISPELO!B:B, A384, PRISPELO!G:G)</f>
        <v/>
      </c>
      <c r="H384">
        <f>SUMIF(ODPIS!B:B, A384, ODPIS!G:G)</f>
        <v/>
      </c>
      <c r="I384" s="2">
        <f>F384 + G384 - H384</f>
        <v/>
      </c>
    </row>
    <row r="385">
      <c r="A385" t="n">
        <v>1961</v>
      </c>
      <c r="B385" t="inlineStr">
        <is>
          <t>Claro glos</t>
        </is>
      </c>
      <c r="C385" t="n">
        <v>45</v>
      </c>
      <c r="D385" t="n">
        <v>64</v>
      </c>
      <c r="E385" t="n">
        <v>150</v>
      </c>
      <c r="F385" t="n">
        <v>0</v>
      </c>
      <c r="G385">
        <f>SUMIF(PRISPELO!B:B, A385, PRISPELO!G:G)</f>
        <v/>
      </c>
      <c r="H385">
        <f>SUMIF(ODPIS!B:B, A385, ODPIS!G:G)</f>
        <v/>
      </c>
      <c r="I385" s="2">
        <f>F385 + G385 - H385</f>
        <v/>
      </c>
    </row>
    <row r="386">
      <c r="A386" t="n">
        <v>1962</v>
      </c>
      <c r="B386" t="inlineStr">
        <is>
          <t>Garda matt</t>
        </is>
      </c>
      <c r="C386" t="n">
        <v>73</v>
      </c>
      <c r="D386" t="n">
        <v>49.8</v>
      </c>
      <c r="E386" t="n">
        <v>250</v>
      </c>
      <c r="F386" t="n">
        <v>0</v>
      </c>
      <c r="G386">
        <f>SUMIF(PRISPELO!B:B, A386, PRISPELO!G:G)</f>
        <v/>
      </c>
      <c r="H386">
        <f>SUMIF(ODPIS!B:B, A386, ODPIS!G:G)</f>
        <v/>
      </c>
      <c r="I386" s="2">
        <f>F386 + G386 - H386</f>
        <v/>
      </c>
    </row>
    <row r="387">
      <c r="A387" t="n">
        <v>1974</v>
      </c>
      <c r="B387" t="inlineStr">
        <is>
          <t>Claro glos</t>
        </is>
      </c>
      <c r="C387" t="n">
        <v>63</v>
      </c>
      <c r="D387" t="n">
        <v>88</v>
      </c>
      <c r="E387" t="n">
        <v>115</v>
      </c>
      <c r="F387" t="n">
        <v>0</v>
      </c>
      <c r="G387">
        <f>SUMIF(PRISPELO!B:B, A387, PRISPELO!G:G)</f>
        <v/>
      </c>
      <c r="H387">
        <f>SUMIF(ODPIS!B:B, A387, ODPIS!G:G)</f>
        <v/>
      </c>
      <c r="I387" s="2">
        <f>F387 + G387 - H387</f>
        <v/>
      </c>
    </row>
    <row r="388">
      <c r="A388" t="n">
        <v>1975</v>
      </c>
      <c r="B388" t="inlineStr">
        <is>
          <t>DITO OFSET</t>
        </is>
      </c>
      <c r="C388" t="n">
        <v>88</v>
      </c>
      <c r="D388" t="n">
        <v>63</v>
      </c>
      <c r="E388" t="n">
        <v>90</v>
      </c>
      <c r="F388" t="n">
        <v>0</v>
      </c>
      <c r="G388">
        <f>SUMIF(PRISPELO!B:B, A388, PRISPELO!G:G)</f>
        <v/>
      </c>
      <c r="H388">
        <f>SUMIF(ODPIS!B:B, A388, ODPIS!G:G)</f>
        <v/>
      </c>
      <c r="I388" s="2">
        <f>F388 + G388 - H388</f>
        <v/>
      </c>
    </row>
    <row r="389">
      <c r="A389" t="n">
        <v>1979</v>
      </c>
      <c r="B389" t="inlineStr">
        <is>
          <t>Kuverta  C4 BD SI</t>
        </is>
      </c>
      <c r="C389" t="n">
        <v>32.4</v>
      </c>
      <c r="D389" t="n">
        <v>22.9</v>
      </c>
      <c r="E389" t="n">
        <v>90</v>
      </c>
      <c r="F389" t="n">
        <v>250</v>
      </c>
      <c r="G389">
        <f>SUMIF(PRISPELO!B:B, A389, PRISPELO!G:G)</f>
        <v/>
      </c>
      <c r="H389">
        <f>SUMIF(ODPIS!B:B, A389, ODPIS!G:G)</f>
        <v/>
      </c>
      <c r="I389" s="2">
        <f>F389 + G389 - H389</f>
        <v/>
      </c>
    </row>
    <row r="390" ht="15" customHeight="1">
      <c r="A390" t="n">
        <v>2599</v>
      </c>
      <c r="B390" t="inlineStr">
        <is>
          <t>Kuverta B4 ELCO</t>
        </is>
      </c>
      <c r="C390" t="n">
        <v>35</v>
      </c>
      <c r="D390" t="n">
        <v>25</v>
      </c>
      <c r="E390" t="n">
        <v>120</v>
      </c>
      <c r="F390" t="n">
        <v>0</v>
      </c>
      <c r="G390">
        <f>SUMIF(PRISPELO!B:B, A390, PRISPELO!G:G)</f>
        <v/>
      </c>
      <c r="H390">
        <f>SUMIF(ODPIS!B:B, A390, ODPIS!G:G)</f>
        <v/>
      </c>
      <c r="I390" s="2">
        <f>F390 + G390 - H390</f>
        <v/>
      </c>
    </row>
    <row r="391">
      <c r="A391" t="n">
        <v>2018</v>
      </c>
      <c r="B391" t="inlineStr">
        <is>
          <t>OLIN ofset</t>
        </is>
      </c>
      <c r="C391" t="n">
        <v>72</v>
      </c>
      <c r="D391" t="n">
        <v>102</v>
      </c>
      <c r="E391" t="n">
        <v>90</v>
      </c>
      <c r="F391" t="n">
        <v>0</v>
      </c>
      <c r="G391">
        <f>SUMIF(PRISPELO!B:B, A391, PRISPELO!G:G)</f>
        <v/>
      </c>
      <c r="H391">
        <f>SUMIF(ODPIS!B:B, A391, ODPIS!G:G)</f>
        <v/>
      </c>
      <c r="I391" s="2">
        <f>F391 + G391 - H391</f>
        <v/>
      </c>
    </row>
    <row r="392">
      <c r="A392" t="n">
        <v>2022</v>
      </c>
      <c r="B392" t="inlineStr">
        <is>
          <t>Claro glos</t>
        </is>
      </c>
      <c r="C392" t="n">
        <v>45</v>
      </c>
      <c r="D392" t="n">
        <v>64</v>
      </c>
      <c r="E392" t="n">
        <v>100</v>
      </c>
      <c r="F392" t="n">
        <v>0</v>
      </c>
      <c r="G392">
        <f>SUMIF(PRISPELO!B:B, A392, PRISPELO!G:G)</f>
        <v/>
      </c>
      <c r="H392">
        <f>SUMIF(ODPIS!B:B, A392, ODPIS!G:G)</f>
        <v/>
      </c>
      <c r="I392" s="2">
        <f>F392 + G392 - H392</f>
        <v/>
      </c>
    </row>
    <row r="393">
      <c r="A393" t="n">
        <v>2030</v>
      </c>
      <c r="B393" t="inlineStr">
        <is>
          <t>Claro matt</t>
        </is>
      </c>
      <c r="C393" t="n">
        <v>45</v>
      </c>
      <c r="D393" t="n">
        <v>64</v>
      </c>
      <c r="E393" t="n">
        <v>300</v>
      </c>
      <c r="F393" t="n">
        <v>0</v>
      </c>
      <c r="G393">
        <f>SUMIF(PRISPELO!B:B, A393, PRISPELO!G:G)</f>
        <v/>
      </c>
      <c r="H393">
        <f>SUMIF(ODPIS!B:B, A393, ODPIS!G:G)</f>
        <v/>
      </c>
      <c r="I393" s="2">
        <f>F393 + G393 - H393</f>
        <v/>
      </c>
    </row>
    <row r="394">
      <c r="A394" t="n">
        <v>2031</v>
      </c>
      <c r="B394" t="inlineStr">
        <is>
          <t>MASTERCOAT-gloss</t>
        </is>
      </c>
      <c r="C394" t="n">
        <v>90</v>
      </c>
      <c r="D394" t="n">
        <v>64</v>
      </c>
      <c r="E394" t="n">
        <v>130</v>
      </c>
      <c r="F394" t="n">
        <v>0</v>
      </c>
      <c r="G394">
        <f>SUMIF(PRISPELO!B:B, A394, PRISPELO!G:G)</f>
        <v/>
      </c>
      <c r="H394">
        <f>SUMIF(ODPIS!B:B, A394, ODPIS!G:G)</f>
        <v/>
      </c>
      <c r="I394" s="2">
        <f>F394 + G394 - H394</f>
        <v/>
      </c>
    </row>
    <row r="395">
      <c r="A395" t="n">
        <v>2035</v>
      </c>
      <c r="B395" t="inlineStr">
        <is>
          <t>CLARO BULK</t>
        </is>
      </c>
      <c r="C395" t="n">
        <v>90</v>
      </c>
      <c r="D395" t="n">
        <v>64</v>
      </c>
      <c r="E395" t="n">
        <v>135</v>
      </c>
      <c r="F395" t="n">
        <v>0</v>
      </c>
      <c r="G395">
        <f>SUMIF(PRISPELO!B:B, A395, PRISPELO!G:G)</f>
        <v/>
      </c>
      <c r="H395">
        <f>SUMIF(ODPIS!B:B, A395, ODPIS!G:G)</f>
        <v/>
      </c>
      <c r="I395" s="2">
        <f>F395 + G395 - H395</f>
        <v/>
      </c>
    </row>
    <row r="396">
      <c r="A396" t="n">
        <v>2036</v>
      </c>
      <c r="B396" t="inlineStr">
        <is>
          <t>Claro glos</t>
        </is>
      </c>
      <c r="C396" t="n">
        <v>64</v>
      </c>
      <c r="D396" t="n">
        <v>45</v>
      </c>
      <c r="E396" t="n">
        <v>250</v>
      </c>
      <c r="F396" t="n">
        <v>0</v>
      </c>
      <c r="G396">
        <f>SUMIF(PRISPELO!B:B, A396, PRISPELO!G:G)</f>
        <v/>
      </c>
      <c r="H396">
        <f>SUMIF(ODPIS!B:B, A396, ODPIS!G:G)</f>
        <v/>
      </c>
      <c r="I396" s="2">
        <f>F396 + G396 - H396</f>
        <v/>
      </c>
    </row>
    <row r="397">
      <c r="A397" t="n">
        <v>2037</v>
      </c>
      <c r="B397" t="inlineStr">
        <is>
          <t>Gardapat 13 fsc</t>
        </is>
      </c>
      <c r="C397" t="n">
        <v>64</v>
      </c>
      <c r="D397" t="n">
        <v>90</v>
      </c>
      <c r="E397" t="n">
        <v>150</v>
      </c>
      <c r="F397" t="n">
        <v>0</v>
      </c>
      <c r="G397">
        <f>SUMIF(PRISPELO!B:B, A397, PRISPELO!G:G)</f>
        <v/>
      </c>
      <c r="H397">
        <f>SUMIF(ODPIS!B:B, A397, ODPIS!G:G)</f>
        <v/>
      </c>
      <c r="I397" s="2">
        <f>F397 + G397 - H397</f>
        <v/>
      </c>
    </row>
    <row r="398">
      <c r="A398" t="n">
        <v>2040</v>
      </c>
      <c r="B398" t="inlineStr">
        <is>
          <t>Kuverta C6 BD LO</t>
        </is>
      </c>
      <c r="C398" t="n">
        <v>11.4</v>
      </c>
      <c r="D398" t="n">
        <v>16.2</v>
      </c>
      <c r="E398" t="n">
        <v>90</v>
      </c>
      <c r="F398" t="n">
        <v>1300</v>
      </c>
      <c r="G398">
        <f>SUMIF(PRISPELO!B:B, A398, PRISPELO!G:G)</f>
        <v/>
      </c>
      <c r="H398">
        <f>SUMIF(ODPIS!B:B, A398, ODPIS!G:G)</f>
        <v/>
      </c>
      <c r="I398" s="2">
        <f>F398 + G398 - H398</f>
        <v/>
      </c>
    </row>
    <row r="399">
      <c r="A399" t="n">
        <v>2042</v>
      </c>
      <c r="B399" t="inlineStr">
        <is>
          <t>CYCLUS OFFSET</t>
        </is>
      </c>
      <c r="C399" t="n">
        <v>100</v>
      </c>
      <c r="D399" t="n">
        <v>70</v>
      </c>
      <c r="E399" t="n">
        <v>80</v>
      </c>
      <c r="F399" t="n">
        <v>0</v>
      </c>
      <c r="G399">
        <f>SUMIF(PRISPELO!B:B, A399, PRISPELO!G:G)</f>
        <v/>
      </c>
      <c r="H399">
        <f>SUMIF(ODPIS!B:B, A399, ODPIS!G:G)</f>
        <v/>
      </c>
      <c r="I399" s="2">
        <f>F399 + G399 - H399</f>
        <v/>
      </c>
    </row>
    <row r="400">
      <c r="A400" t="n">
        <v>2045</v>
      </c>
      <c r="B400" t="inlineStr">
        <is>
          <t>olin regular</t>
        </is>
      </c>
      <c r="C400" t="n">
        <v>102</v>
      </c>
      <c r="D400" t="n">
        <v>72</v>
      </c>
      <c r="E400" t="n">
        <v>170</v>
      </c>
      <c r="F400" t="n">
        <v>0</v>
      </c>
      <c r="G400">
        <f>SUMIF(PRISPELO!B:B, A400, PRISPELO!G:G)</f>
        <v/>
      </c>
      <c r="H400">
        <f>SUMIF(ODPIS!B:B, A400, ODPIS!G:G)</f>
        <v/>
      </c>
      <c r="I400" s="2">
        <f>F400 + G400 - H400</f>
        <v/>
      </c>
    </row>
    <row r="401">
      <c r="A401" t="n">
        <v>2049</v>
      </c>
      <c r="B401" t="inlineStr">
        <is>
          <t>regular natural</t>
        </is>
      </c>
      <c r="C401" t="n">
        <v>72</v>
      </c>
      <c r="D401" t="n">
        <v>102</v>
      </c>
      <c r="E401" t="n">
        <v>80</v>
      </c>
      <c r="F401" t="n">
        <v>0</v>
      </c>
      <c r="G401">
        <f>SUMIF(PRISPELO!B:B, A401, PRISPELO!G:G)</f>
        <v/>
      </c>
      <c r="H401">
        <f>SUMIF(ODPIS!B:B, A401, ODPIS!G:G)</f>
        <v/>
      </c>
      <c r="I401" s="2">
        <f>F401 + G401 - H401</f>
        <v/>
      </c>
    </row>
    <row r="402">
      <c r="A402" t="n">
        <v>2064</v>
      </c>
      <c r="B402" t="inlineStr">
        <is>
          <t>DITO OFSET</t>
        </is>
      </c>
      <c r="C402" t="n">
        <v>90</v>
      </c>
      <c r="D402" t="n">
        <v>64</v>
      </c>
      <c r="E402" t="n">
        <v>170</v>
      </c>
      <c r="F402" t="n">
        <v>0</v>
      </c>
      <c r="G402">
        <f>SUMIF(PRISPELO!B:B, A402, PRISPELO!G:G)</f>
        <v/>
      </c>
      <c r="H402">
        <f>SUMIF(ODPIS!B:B, A402, ODPIS!G:G)</f>
        <v/>
      </c>
      <c r="I402" s="2">
        <f>F402 + G402 - H402</f>
        <v/>
      </c>
    </row>
    <row r="403">
      <c r="A403" t="n">
        <v>2067</v>
      </c>
      <c r="B403" t="inlineStr">
        <is>
          <t>Kuverta B5 BD SI BO</t>
        </is>
      </c>
      <c r="C403" t="n">
        <v>25</v>
      </c>
      <c r="D403" t="n">
        <v>17.6</v>
      </c>
      <c r="E403" t="n">
        <v>90</v>
      </c>
      <c r="F403" t="n">
        <v>2000</v>
      </c>
      <c r="G403">
        <f>SUMIF(PRISPELO!B:B, A403, PRISPELO!G:G)</f>
        <v/>
      </c>
      <c r="H403">
        <f>SUMIF(ODPIS!B:B, A403, ODPIS!G:G)</f>
        <v/>
      </c>
      <c r="I403" s="2">
        <f>F403 + G403 - H403</f>
        <v/>
      </c>
    </row>
    <row r="404">
      <c r="A404" t="n">
        <v>2078</v>
      </c>
      <c r="B404" t="inlineStr">
        <is>
          <t>Claro glos</t>
        </is>
      </c>
      <c r="C404" t="n">
        <v>90</v>
      </c>
      <c r="D404" t="n">
        <v>64</v>
      </c>
      <c r="E404" t="n">
        <v>200</v>
      </c>
      <c r="F404" t="n">
        <v>0</v>
      </c>
      <c r="G404">
        <f>SUMIF(PRISPELO!B:B, A404, PRISPELO!G:G)</f>
        <v/>
      </c>
      <c r="H404">
        <f>SUMIF(ODPIS!B:B, A404, ODPIS!G:G)</f>
        <v/>
      </c>
      <c r="I404" s="2">
        <f>F404 + G404 - H404</f>
        <v/>
      </c>
    </row>
    <row r="405">
      <c r="A405" t="n">
        <v>2082</v>
      </c>
      <c r="B405" t="inlineStr">
        <is>
          <t>OLIN rough absolute white</t>
        </is>
      </c>
      <c r="C405" t="n">
        <v>72</v>
      </c>
      <c r="D405" t="n">
        <v>102</v>
      </c>
      <c r="E405" t="n">
        <v>300</v>
      </c>
      <c r="F405" t="n">
        <v>0</v>
      </c>
      <c r="G405">
        <f>SUMIF(PRISPELO!B:B, A405, PRISPELO!G:G)</f>
        <v/>
      </c>
      <c r="H405">
        <f>SUMIF(ODPIS!B:B, A405, ODPIS!G:G)</f>
        <v/>
      </c>
      <c r="I405" s="2">
        <f>F405 + G405 - H405</f>
        <v/>
      </c>
    </row>
    <row r="406">
      <c r="A406" t="n">
        <v>2083</v>
      </c>
      <c r="B406" t="inlineStr">
        <is>
          <t>CLARO BULK</t>
        </is>
      </c>
      <c r="C406" t="n">
        <v>90</v>
      </c>
      <c r="D406" t="n">
        <v>64</v>
      </c>
      <c r="E406" t="n">
        <v>100</v>
      </c>
      <c r="F406" t="n">
        <v>0</v>
      </c>
      <c r="G406">
        <f>SUMIF(PRISPELO!B:B, A406, PRISPELO!G:G)</f>
        <v/>
      </c>
      <c r="H406">
        <f>SUMIF(ODPIS!B:B, A406, ODPIS!G:G)</f>
        <v/>
      </c>
      <c r="I406" s="2">
        <f>F406 + G406 - H406</f>
        <v/>
      </c>
    </row>
    <row r="407">
      <c r="A407" t="n">
        <v>2084</v>
      </c>
      <c r="B407" t="inlineStr">
        <is>
          <t>CLARO BULK</t>
        </is>
      </c>
      <c r="C407" t="n">
        <v>64</v>
      </c>
      <c r="D407" t="n">
        <v>90</v>
      </c>
      <c r="E407" t="n">
        <v>150</v>
      </c>
      <c r="F407" t="n">
        <v>0</v>
      </c>
      <c r="G407">
        <f>SUMIF(PRISPELO!B:B, A407, PRISPELO!G:G)</f>
        <v/>
      </c>
      <c r="H407">
        <f>SUMIF(ODPIS!B:B, A407, ODPIS!G:G)</f>
        <v/>
      </c>
      <c r="I407" s="2">
        <f>F407 + G407 - H407</f>
        <v/>
      </c>
    </row>
    <row r="408">
      <c r="A408" t="n">
        <v>2087</v>
      </c>
      <c r="B408" t="inlineStr">
        <is>
          <t>KUVERTA FSC SRC SIVE</t>
        </is>
      </c>
      <c r="C408" t="n">
        <v>160</v>
      </c>
      <c r="D408" t="n">
        <v>160</v>
      </c>
      <c r="E408" t="n">
        <v>140</v>
      </c>
      <c r="F408" t="n">
        <v>0</v>
      </c>
      <c r="G408">
        <f>SUMIF(PRISPELO!B:B, A408, PRISPELO!G:G)</f>
        <v/>
      </c>
      <c r="H408">
        <f>SUMIF(ODPIS!B:B, A408, ODPIS!G:G)</f>
        <v/>
      </c>
      <c r="I408" s="2">
        <f>F408 + G408 - H408</f>
        <v/>
      </c>
    </row>
    <row r="409">
      <c r="A409" t="n">
        <v>2088</v>
      </c>
      <c r="B409" t="inlineStr">
        <is>
          <t>OLIN rough high white</t>
        </is>
      </c>
      <c r="C409" t="n">
        <v>72</v>
      </c>
      <c r="D409" t="n">
        <v>102</v>
      </c>
      <c r="E409" t="n">
        <v>130</v>
      </c>
      <c r="F409" t="n">
        <v>0</v>
      </c>
      <c r="G409">
        <f>SUMIF(PRISPELO!B:B, A409, PRISPELO!G:G)</f>
        <v/>
      </c>
      <c r="H409">
        <f>SUMIF(ODPIS!B:B, A409, ODPIS!G:G)</f>
        <v/>
      </c>
      <c r="I409" s="2">
        <f>F409 + G409 - H409</f>
        <v/>
      </c>
    </row>
    <row r="410">
      <c r="A410" t="n">
        <v>2090</v>
      </c>
      <c r="B410" t="inlineStr">
        <is>
          <t>BELPAK</t>
        </is>
      </c>
      <c r="C410" t="n">
        <v>101</v>
      </c>
      <c r="D410" t="n">
        <v>50</v>
      </c>
      <c r="E410" t="n">
        <v>350</v>
      </c>
      <c r="F410" t="n">
        <v>0</v>
      </c>
      <c r="G410">
        <f>SUMIF(PRISPELO!B:B, A410, PRISPELO!G:G)</f>
        <v/>
      </c>
      <c r="H410">
        <f>SUMIF(ODPIS!B:B, A410, ODPIS!G:G)</f>
        <v/>
      </c>
      <c r="I410" s="2">
        <f>F410 + G410 - H410</f>
        <v/>
      </c>
    </row>
    <row r="411">
      <c r="A411" t="n">
        <v>2091</v>
      </c>
      <c r="B411" t="inlineStr">
        <is>
          <t>CYCLUS OFFSET</t>
        </is>
      </c>
      <c r="C411" t="n">
        <v>70</v>
      </c>
      <c r="D411" t="n">
        <v>100</v>
      </c>
      <c r="E411" t="n">
        <v>250</v>
      </c>
      <c r="F411" t="n">
        <v>0</v>
      </c>
      <c r="G411">
        <f>SUMIF(PRISPELO!B:B, A411, PRISPELO!G:G)</f>
        <v/>
      </c>
      <c r="H411">
        <f>SUMIF(ODPIS!B:B, A411, ODPIS!G:G)</f>
        <v/>
      </c>
      <c r="I411" s="2">
        <f>F411 + G411 - H411</f>
        <v/>
      </c>
    </row>
    <row r="412">
      <c r="A412" t="n">
        <v>2778</v>
      </c>
      <c r="B412" t="inlineStr">
        <is>
          <t>Novate glos 2C white</t>
        </is>
      </c>
      <c r="C412" t="n">
        <v>70</v>
      </c>
      <c r="D412" t="n">
        <v>10</v>
      </c>
      <c r="E412" t="n">
        <v>300</v>
      </c>
      <c r="F412" t="n">
        <v>0</v>
      </c>
      <c r="G412">
        <f>SUMIF(PRISPELO!B:B, A412, PRISPELO!G:G)</f>
        <v/>
      </c>
      <c r="H412">
        <f>SUMIF(ODPIS!B:B, A412, ODPIS!G:G)</f>
        <v/>
      </c>
      <c r="I412" s="2">
        <f>F412 + G412 - H412</f>
        <v/>
      </c>
    </row>
    <row r="413">
      <c r="A413" t="n">
        <v>2092</v>
      </c>
      <c r="B413" t="inlineStr">
        <is>
          <t>CYCLUS OFFSET</t>
        </is>
      </c>
      <c r="C413" t="n">
        <v>64</v>
      </c>
      <c r="D413" t="n">
        <v>90</v>
      </c>
      <c r="E413" t="n">
        <v>140</v>
      </c>
      <c r="F413" t="n">
        <v>0</v>
      </c>
      <c r="G413">
        <f>SUMIF(PRISPELO!B:B, A413, PRISPELO!G:G)</f>
        <v/>
      </c>
      <c r="H413">
        <f>SUMIF(ODPIS!B:B, A413, ODPIS!G:G)</f>
        <v/>
      </c>
      <c r="I413" s="2">
        <f>F413 + G413 - H413</f>
        <v/>
      </c>
    </row>
    <row r="414">
      <c r="A414" t="n">
        <v>2093</v>
      </c>
      <c r="B414" t="inlineStr">
        <is>
          <t>BELPAK</t>
        </is>
      </c>
      <c r="C414" t="n">
        <v>101</v>
      </c>
      <c r="D414" t="n">
        <v>71</v>
      </c>
      <c r="E414" t="n">
        <v>400</v>
      </c>
      <c r="F414" t="n">
        <v>0</v>
      </c>
      <c r="G414">
        <f>SUMIF(PRISPELO!B:B, A414, PRISPELO!G:G)</f>
        <v/>
      </c>
      <c r="H414">
        <f>SUMIF(ODPIS!B:B, A414, ODPIS!G:G)</f>
        <v/>
      </c>
      <c r="I414" s="2">
        <f>F414 + G414 - H414</f>
        <v/>
      </c>
    </row>
    <row r="415">
      <c r="A415" t="n">
        <v>2094</v>
      </c>
      <c r="B415" t="inlineStr">
        <is>
          <t>BOARD ONE PRIMA</t>
        </is>
      </c>
      <c r="C415" t="n">
        <v>100</v>
      </c>
      <c r="D415" t="n">
        <v>70</v>
      </c>
      <c r="E415" t="n">
        <v>350</v>
      </c>
      <c r="F415" t="n">
        <v>0</v>
      </c>
      <c r="G415">
        <f>SUMIF(PRISPELO!B:B, A415, PRISPELO!G:G)</f>
        <v/>
      </c>
      <c r="H415">
        <f>SUMIF(ODPIS!B:B, A415, ODPIS!G:G)</f>
        <v/>
      </c>
      <c r="I415" s="2">
        <f>F415 + G415 - H415</f>
        <v/>
      </c>
    </row>
    <row r="416">
      <c r="A416" t="n">
        <v>2096</v>
      </c>
      <c r="B416" t="inlineStr">
        <is>
          <t>ARTIKA GC1</t>
        </is>
      </c>
      <c r="C416" t="n">
        <v>102</v>
      </c>
      <c r="D416" t="n">
        <v>72</v>
      </c>
      <c r="E416" t="n">
        <v>300</v>
      </c>
      <c r="F416" t="n">
        <v>0</v>
      </c>
      <c r="G416">
        <f>SUMIF(PRISPELO!B:B, A416, PRISPELO!G:G)</f>
        <v/>
      </c>
      <c r="H416">
        <f>SUMIF(ODPIS!B:B, A416, ODPIS!G:G)</f>
        <v/>
      </c>
      <c r="I416" s="2">
        <f>F416 + G416 - H416</f>
        <v/>
      </c>
    </row>
    <row r="417">
      <c r="A417" t="n">
        <v>2096</v>
      </c>
      <c r="B417" t="inlineStr">
        <is>
          <t>ARTIKA GC1</t>
        </is>
      </c>
      <c r="C417" t="n">
        <v>102</v>
      </c>
      <c r="D417" t="n">
        <v>72</v>
      </c>
      <c r="E417" t="n">
        <v>300</v>
      </c>
      <c r="F417" t="n">
        <v>0</v>
      </c>
      <c r="G417">
        <f>SUMIF(PRISPELO!B:B, A417, PRISPELO!G:G)</f>
        <v/>
      </c>
      <c r="H417">
        <f>SUMIF(ODPIS!B:B, A417, ODPIS!G:G)</f>
        <v/>
      </c>
      <c r="I417" s="2">
        <f>F417 + G417 - H417</f>
        <v/>
      </c>
    </row>
    <row r="418">
      <c r="A418" t="n">
        <v>2098</v>
      </c>
      <c r="B418" t="inlineStr">
        <is>
          <t>Send me laid-high white</t>
        </is>
      </c>
      <c r="C418" t="n">
        <v>70</v>
      </c>
      <c r="D418" t="n">
        <v>100</v>
      </c>
      <c r="E418" t="n">
        <v>300</v>
      </c>
      <c r="F418" t="n">
        <v>0</v>
      </c>
      <c r="G418">
        <f>SUMIF(PRISPELO!B:B, A418, PRISPELO!G:G)</f>
        <v/>
      </c>
      <c r="H418">
        <f>SUMIF(ODPIS!B:B, A418, ODPIS!G:G)</f>
        <v/>
      </c>
      <c r="I418" s="2">
        <f>F418 + G418 - H418</f>
        <v/>
      </c>
    </row>
    <row r="419">
      <c r="A419" t="n">
        <v>2104</v>
      </c>
      <c r="B419" t="inlineStr">
        <is>
          <t>OLIN rough absolute white</t>
        </is>
      </c>
      <c r="C419" t="n">
        <v>72</v>
      </c>
      <c r="D419" t="n">
        <v>102</v>
      </c>
      <c r="E419" t="n">
        <v>250</v>
      </c>
      <c r="F419" t="n">
        <v>0</v>
      </c>
      <c r="G419">
        <f>SUMIF(PRISPELO!B:B, A419, PRISPELO!G:G)</f>
        <v/>
      </c>
      <c r="H419">
        <f>SUMIF(ODPIS!B:B, A419, ODPIS!G:G)</f>
        <v/>
      </c>
      <c r="I419" s="2">
        <f>F419 + G419 - H419</f>
        <v/>
      </c>
    </row>
    <row r="420">
      <c r="A420" t="n">
        <v>2105</v>
      </c>
      <c r="B420" t="inlineStr">
        <is>
          <t>OLIN rough absolute white</t>
        </is>
      </c>
      <c r="C420" t="n">
        <v>72</v>
      </c>
      <c r="D420" t="n">
        <v>102</v>
      </c>
      <c r="E420" t="n">
        <v>120</v>
      </c>
      <c r="F420" t="n">
        <v>0</v>
      </c>
      <c r="G420">
        <f>SUMIF(PRISPELO!B:B, A420, PRISPELO!G:G)</f>
        <v/>
      </c>
      <c r="H420">
        <f>SUMIF(ODPIS!B:B, A420, ODPIS!G:G)</f>
        <v/>
      </c>
      <c r="I420" s="2">
        <f>F420 + G420 - H420</f>
        <v/>
      </c>
    </row>
    <row r="421">
      <c r="A421" t="n">
        <v>2113</v>
      </c>
      <c r="B421" t="inlineStr">
        <is>
          <t>Olin Regular Cream</t>
        </is>
      </c>
      <c r="C421" t="n">
        <v>72</v>
      </c>
      <c r="D421" t="n">
        <v>102</v>
      </c>
      <c r="E421" t="n">
        <v>150</v>
      </c>
      <c r="F421" t="n">
        <v>0</v>
      </c>
      <c r="G421">
        <f>SUMIF(PRISPELO!B:B, A421, PRISPELO!G:G)</f>
        <v/>
      </c>
      <c r="H421">
        <f>SUMIF(ODPIS!B:B, A421, ODPIS!G:G)</f>
        <v/>
      </c>
      <c r="I421" s="2">
        <f>F421 + G421 - H421</f>
        <v/>
      </c>
    </row>
    <row r="422">
      <c r="A422" t="n">
        <v>2114</v>
      </c>
      <c r="B422" t="inlineStr">
        <is>
          <t>Olin Regular Cream</t>
        </is>
      </c>
      <c r="C422" t="n">
        <v>65</v>
      </c>
      <c r="D422" t="n">
        <v>92</v>
      </c>
      <c r="E422" t="n">
        <v>150</v>
      </c>
      <c r="F422" t="n">
        <v>0</v>
      </c>
      <c r="G422">
        <f>SUMIF(PRISPELO!B:B, A422, PRISPELO!G:G)</f>
        <v/>
      </c>
      <c r="H422">
        <f>SUMIF(ODPIS!B:B, A422, ODPIS!G:G)</f>
        <v/>
      </c>
      <c r="I422" s="2">
        <f>F422 + G422 - H422</f>
        <v/>
      </c>
    </row>
    <row r="423">
      <c r="A423" t="n">
        <v>2115</v>
      </c>
      <c r="B423" t="inlineStr">
        <is>
          <t>OLIN rough high white</t>
        </is>
      </c>
      <c r="C423" t="n">
        <v>72</v>
      </c>
      <c r="D423" t="n">
        <v>102</v>
      </c>
      <c r="E423" t="n">
        <v>300</v>
      </c>
      <c r="F423" t="n">
        <v>0</v>
      </c>
      <c r="G423">
        <f>SUMIF(PRISPELO!B:B, A423, PRISPELO!G:G)</f>
        <v/>
      </c>
      <c r="H423">
        <f>SUMIF(ODPIS!B:B, A423, ODPIS!G:G)</f>
        <v/>
      </c>
      <c r="I423" s="2">
        <f>F423 + G423 - H423</f>
        <v/>
      </c>
    </row>
    <row r="424">
      <c r="A424" t="n">
        <v>2117</v>
      </c>
      <c r="B424" t="inlineStr">
        <is>
          <t>MultiArt silk</t>
        </is>
      </c>
      <c r="C424" t="n">
        <v>100</v>
      </c>
      <c r="D424" t="n">
        <v>70</v>
      </c>
      <c r="E424" t="n">
        <v>100</v>
      </c>
      <c r="F424" t="n">
        <v>0</v>
      </c>
      <c r="G424">
        <f>SUMIF(PRISPELO!B:B, A424, PRISPELO!G:G)</f>
        <v/>
      </c>
      <c r="H424">
        <f>SUMIF(ODPIS!B:B, A424, ODPIS!G:G)</f>
        <v/>
      </c>
      <c r="I424" s="2">
        <f>F424 + G424 - H424</f>
        <v/>
      </c>
    </row>
    <row r="425">
      <c r="A425" t="n">
        <v>2118</v>
      </c>
      <c r="B425" t="inlineStr">
        <is>
          <t>Olin Regular absolute white</t>
        </is>
      </c>
      <c r="C425" t="n">
        <v>46</v>
      </c>
      <c r="D425" t="n">
        <v>64</v>
      </c>
      <c r="E425" t="n">
        <v>150</v>
      </c>
      <c r="F425" t="n">
        <v>0</v>
      </c>
      <c r="G425">
        <f>SUMIF(PRISPELO!B:B, A425, PRISPELO!G:G)</f>
        <v/>
      </c>
      <c r="H425">
        <f>SUMIF(ODPIS!B:B, A425, ODPIS!G:G)</f>
        <v/>
      </c>
      <c r="I425" s="2">
        <f>F425 + G425 - H425</f>
        <v/>
      </c>
    </row>
    <row r="426">
      <c r="A426" t="n">
        <v>2119</v>
      </c>
      <c r="B426" t="inlineStr">
        <is>
          <t>OLIN rough absolute white</t>
        </is>
      </c>
      <c r="C426" t="n">
        <v>72</v>
      </c>
      <c r="D426" t="n">
        <v>102</v>
      </c>
      <c r="E426" t="n">
        <v>90</v>
      </c>
      <c r="F426" t="n">
        <v>0</v>
      </c>
      <c r="G426">
        <f>SUMIF(PRISPELO!B:B, A426, PRISPELO!G:G)</f>
        <v/>
      </c>
      <c r="H426">
        <f>SUMIF(ODPIS!B:B, A426, ODPIS!G:G)</f>
        <v/>
      </c>
      <c r="I426" s="2">
        <f>F426 + G426 - H426</f>
        <v/>
      </c>
    </row>
    <row r="427">
      <c r="A427" t="n">
        <v>2121</v>
      </c>
      <c r="B427" t="inlineStr">
        <is>
          <t>ROYAL BOARD EXTRA</t>
        </is>
      </c>
      <c r="C427" t="n">
        <v>102</v>
      </c>
      <c r="D427" t="n">
        <v>72</v>
      </c>
      <c r="E427" t="n">
        <v>325</v>
      </c>
      <c r="F427" t="n">
        <v>0</v>
      </c>
      <c r="G427">
        <f>SUMIF(PRISPELO!B:B, A427, PRISPELO!G:G)</f>
        <v/>
      </c>
      <c r="H427">
        <f>SUMIF(ODPIS!B:B, A427, ODPIS!G:G)</f>
        <v/>
      </c>
      <c r="I427" s="2">
        <f>F427 + G427 - H427</f>
        <v/>
      </c>
    </row>
    <row r="428">
      <c r="A428" t="n">
        <v>2122</v>
      </c>
      <c r="B428" t="inlineStr">
        <is>
          <t>CHORUS LUX SILK</t>
        </is>
      </c>
      <c r="C428" t="n">
        <v>100</v>
      </c>
      <c r="D428" t="n">
        <v>70</v>
      </c>
      <c r="E428" t="n">
        <v>150</v>
      </c>
      <c r="F428" t="n">
        <v>0</v>
      </c>
      <c r="G428">
        <f>SUMIF(PRISPELO!B:B, A428, PRISPELO!G:G)</f>
        <v/>
      </c>
      <c r="H428">
        <f>SUMIF(ODPIS!B:B, A428, ODPIS!G:G)</f>
        <v/>
      </c>
      <c r="I428" s="2">
        <f>F428 + G428 - H428</f>
        <v/>
      </c>
    </row>
    <row r="429">
      <c r="A429" t="n">
        <v>2123</v>
      </c>
      <c r="B429" t="inlineStr">
        <is>
          <t>olin regular high white</t>
        </is>
      </c>
      <c r="C429" t="n">
        <v>45</v>
      </c>
      <c r="D429" t="n">
        <v>64</v>
      </c>
      <c r="E429" t="n">
        <v>120</v>
      </c>
      <c r="F429" t="n">
        <v>0</v>
      </c>
      <c r="G429">
        <f>SUMIF(PRISPELO!B:B, A429, PRISPELO!G:G)</f>
        <v/>
      </c>
      <c r="H429">
        <f>SUMIF(ODPIS!B:B, A429, ODPIS!G:G)</f>
        <v/>
      </c>
      <c r="I429" s="2">
        <f>F429 + G429 - H429</f>
        <v/>
      </c>
    </row>
    <row r="430">
      <c r="A430" t="n">
        <v>2124</v>
      </c>
      <c r="B430" t="inlineStr">
        <is>
          <t>olin regular cream matt</t>
        </is>
      </c>
      <c r="C430" t="n">
        <v>46</v>
      </c>
      <c r="D430" t="n">
        <v>64</v>
      </c>
      <c r="E430" t="n">
        <v>250</v>
      </c>
      <c r="F430" t="n">
        <v>0</v>
      </c>
      <c r="G430">
        <f>SUMIF(PRISPELO!B:B, A430, PRISPELO!G:G)</f>
        <v/>
      </c>
      <c r="H430">
        <f>SUMIF(ODPIS!B:B, A430, ODPIS!G:G)</f>
        <v/>
      </c>
      <c r="I430" s="2">
        <f>F430 + G430 - H430</f>
        <v/>
      </c>
    </row>
    <row r="431">
      <c r="A431" t="n">
        <v>2132</v>
      </c>
      <c r="B431" t="inlineStr">
        <is>
          <t>CYCLUS OFFSET</t>
        </is>
      </c>
      <c r="C431" t="n">
        <v>90</v>
      </c>
      <c r="D431" t="n">
        <v>64</v>
      </c>
      <c r="E431" t="n">
        <v>140</v>
      </c>
      <c r="F431" t="n">
        <v>1110</v>
      </c>
      <c r="G431">
        <f>SUMIF(PRISPELO!B:B, A431, PRISPELO!G:G)</f>
        <v/>
      </c>
      <c r="H431">
        <f>SUMIF(ODPIS!B:B, A431, ODPIS!G:G)</f>
        <v/>
      </c>
      <c r="I431" s="2">
        <f>F431 + G431 - H431</f>
        <v/>
      </c>
    </row>
    <row r="432">
      <c r="A432" t="n">
        <v>2133</v>
      </c>
      <c r="B432" t="inlineStr">
        <is>
          <t>CYCLUS OFFSET</t>
        </is>
      </c>
      <c r="C432" t="n">
        <v>90</v>
      </c>
      <c r="D432" t="n">
        <v>64</v>
      </c>
      <c r="E432" t="n">
        <v>100</v>
      </c>
      <c r="F432" t="n">
        <v>0</v>
      </c>
      <c r="G432">
        <f>SUMIF(PRISPELO!B:B, A432, PRISPELO!G:G)</f>
        <v/>
      </c>
      <c r="H432">
        <f>SUMIF(ODPIS!B:B, A432, ODPIS!G:G)</f>
        <v/>
      </c>
      <c r="I432" s="2">
        <f>F432 + G432 - H432</f>
        <v/>
      </c>
    </row>
    <row r="433">
      <c r="A433" t="n">
        <v>2134</v>
      </c>
      <c r="B433" t="inlineStr">
        <is>
          <t>Gardapat 13 KIARA</t>
        </is>
      </c>
      <c r="C433" t="n">
        <v>100</v>
      </c>
      <c r="D433" t="n">
        <v>70</v>
      </c>
      <c r="E433" t="n">
        <v>250</v>
      </c>
      <c r="F433" t="n">
        <v>0</v>
      </c>
      <c r="G433">
        <f>SUMIF(PRISPELO!B:B, A433, PRISPELO!G:G)</f>
        <v/>
      </c>
      <c r="H433">
        <f>SUMIF(ODPIS!B:B, A433, ODPIS!G:G)</f>
        <v/>
      </c>
      <c r="I433" s="2">
        <f>F433 + G433 - H433</f>
        <v/>
      </c>
    </row>
    <row r="434">
      <c r="A434" t="n">
        <v>2141</v>
      </c>
      <c r="B434" t="inlineStr">
        <is>
          <t>Samolepilna COROLLA BEIGE</t>
        </is>
      </c>
      <c r="C434" t="n">
        <v>50</v>
      </c>
      <c r="D434" t="n">
        <v>70</v>
      </c>
      <c r="E434" t="n">
        <v>186</v>
      </c>
      <c r="F434" t="n">
        <v>0</v>
      </c>
      <c r="G434">
        <f>SUMIF(PRISPELO!B:B, A434, PRISPELO!G:G)</f>
        <v/>
      </c>
      <c r="H434">
        <f>SUMIF(ODPIS!B:B, A434, ODPIS!G:G)</f>
        <v/>
      </c>
      <c r="I434" s="2">
        <f>F434 + G434 - H434</f>
        <v/>
      </c>
    </row>
    <row r="435">
      <c r="A435" t="n">
        <v>2143</v>
      </c>
      <c r="B435" t="inlineStr">
        <is>
          <t>OLIN smooth absolute white</t>
        </is>
      </c>
      <c r="C435" t="n">
        <v>72</v>
      </c>
      <c r="D435" t="n">
        <v>102</v>
      </c>
      <c r="E435" t="n">
        <v>120</v>
      </c>
      <c r="F435" t="n">
        <v>0</v>
      </c>
      <c r="G435">
        <f>SUMIF(PRISPELO!B:B, A435, PRISPELO!G:G)</f>
        <v/>
      </c>
      <c r="H435">
        <f>SUMIF(ODPIS!B:B, A435, ODPIS!G:G)</f>
        <v/>
      </c>
      <c r="I435" s="2">
        <f>F435 + G435 - H435</f>
        <v/>
      </c>
    </row>
    <row r="436">
      <c r="A436" t="n">
        <v>2145</v>
      </c>
      <c r="B436" t="inlineStr">
        <is>
          <t>Claro glos</t>
        </is>
      </c>
      <c r="C436" t="n">
        <v>45</v>
      </c>
      <c r="D436" t="n">
        <v>64</v>
      </c>
      <c r="E436" t="n">
        <v>150</v>
      </c>
      <c r="F436" t="n">
        <v>0</v>
      </c>
      <c r="G436">
        <f>SUMIF(PRISPELO!B:B, A436, PRISPELO!G:G)</f>
        <v/>
      </c>
      <c r="H436">
        <f>SUMIF(ODPIS!B:B, A436, ODPIS!G:G)</f>
        <v/>
      </c>
      <c r="I436" s="2">
        <f>F436 + G436 - H436</f>
        <v/>
      </c>
    </row>
    <row r="437">
      <c r="A437" t="n">
        <v>2146</v>
      </c>
      <c r="B437" t="inlineStr">
        <is>
          <t>Claro silk</t>
        </is>
      </c>
      <c r="C437" t="n">
        <v>63</v>
      </c>
      <c r="D437" t="n">
        <v>88</v>
      </c>
      <c r="E437" t="n">
        <v>100</v>
      </c>
      <c r="F437" t="n">
        <v>0</v>
      </c>
      <c r="G437">
        <f>SUMIF(PRISPELO!B:B, A437, PRISPELO!G:G)</f>
        <v/>
      </c>
      <c r="H437">
        <f>SUMIF(ODPIS!B:B, A437, ODPIS!G:G)</f>
        <v/>
      </c>
      <c r="I437" s="2">
        <f>F437 + G437 - H437</f>
        <v/>
      </c>
    </row>
    <row r="438">
      <c r="A438" t="n">
        <v>2156</v>
      </c>
      <c r="B438" t="inlineStr">
        <is>
          <t>DITO OFSET</t>
        </is>
      </c>
      <c r="C438" t="n">
        <v>100</v>
      </c>
      <c r="D438" t="n">
        <v>70</v>
      </c>
      <c r="E438" t="n">
        <v>300</v>
      </c>
      <c r="F438" t="n">
        <v>0</v>
      </c>
      <c r="G438">
        <f>SUMIF(PRISPELO!B:B, A438, PRISPELO!G:G)</f>
        <v/>
      </c>
      <c r="H438">
        <f>SUMIF(ODPIS!B:B, A438, ODPIS!G:G)</f>
        <v/>
      </c>
      <c r="I438" s="2">
        <f>F438 + G438 - H438</f>
        <v/>
      </c>
    </row>
    <row r="439">
      <c r="A439" t="n">
        <v>2157</v>
      </c>
      <c r="B439" t="inlineStr">
        <is>
          <t>OLIN rough absolute white</t>
        </is>
      </c>
      <c r="C439" t="n">
        <v>72</v>
      </c>
      <c r="D439" t="n">
        <v>102</v>
      </c>
      <c r="E439" t="n">
        <v>400</v>
      </c>
      <c r="F439" t="n">
        <v>0</v>
      </c>
      <c r="G439">
        <f>SUMIF(PRISPELO!B:B, A439, PRISPELO!G:G)</f>
        <v/>
      </c>
      <c r="H439">
        <f>SUMIF(ODPIS!B:B, A439, ODPIS!G:G)</f>
        <v/>
      </c>
      <c r="I439" s="2">
        <f>F439 + G439 - H439</f>
        <v/>
      </c>
    </row>
    <row r="440">
      <c r="A440" t="n">
        <v>2158</v>
      </c>
      <c r="B440" t="inlineStr">
        <is>
          <t>OLIN smooth absolute white</t>
        </is>
      </c>
      <c r="C440" t="n">
        <v>72</v>
      </c>
      <c r="D440" t="n">
        <v>102</v>
      </c>
      <c r="E440" t="n">
        <v>300</v>
      </c>
      <c r="F440" t="n">
        <v>0</v>
      </c>
      <c r="G440">
        <f>SUMIF(PRISPELO!B:B, A440, PRISPELO!G:G)</f>
        <v/>
      </c>
      <c r="H440">
        <f>SUMIF(ODPIS!B:B, A440, ODPIS!G:G)</f>
        <v/>
      </c>
      <c r="I440" s="2">
        <f>F440 + G440 - H440</f>
        <v/>
      </c>
    </row>
    <row r="441">
      <c r="A441" t="n">
        <v>2712</v>
      </c>
      <c r="B441" t="inlineStr">
        <is>
          <t>Kuverte C6/5 BD OL</t>
        </is>
      </c>
      <c r="C441" t="n">
        <v>0</v>
      </c>
      <c r="D441" t="n">
        <v>0</v>
      </c>
      <c r="E441" t="n">
        <v>90</v>
      </c>
      <c r="F441" t="n">
        <v>0</v>
      </c>
      <c r="G441">
        <f>SUMIF(PRISPELO!B:B, A441, PRISPELO!G:G)</f>
        <v/>
      </c>
      <c r="H441">
        <f>SUMIF(ODPIS!B:B, A441, ODPIS!G:G)</f>
        <v/>
      </c>
      <c r="I441" s="2">
        <f>F441 + G441 - H441</f>
        <v/>
      </c>
    </row>
    <row r="442">
      <c r="A442" t="n">
        <v>2161</v>
      </c>
      <c r="B442" t="inlineStr">
        <is>
          <t>Olin Regular absolute white</t>
        </is>
      </c>
      <c r="C442" t="n">
        <v>72</v>
      </c>
      <c r="D442" t="n">
        <v>102</v>
      </c>
      <c r="E442" t="n">
        <v>400</v>
      </c>
      <c r="F442" t="n">
        <v>0</v>
      </c>
      <c r="G442">
        <f>SUMIF(PRISPELO!B:B, A442, PRISPELO!G:G)</f>
        <v/>
      </c>
      <c r="H442">
        <f>SUMIF(ODPIS!B:B, A442, ODPIS!G:G)</f>
        <v/>
      </c>
      <c r="I442" s="2">
        <f>F442 + G442 - H442</f>
        <v/>
      </c>
    </row>
    <row r="443">
      <c r="A443" t="n">
        <v>2164</v>
      </c>
      <c r="B443" t="inlineStr">
        <is>
          <t>OLIN REGULAR absolute white</t>
        </is>
      </c>
      <c r="C443" t="n">
        <v>72</v>
      </c>
      <c r="D443" t="n">
        <v>102</v>
      </c>
      <c r="E443" t="n">
        <v>300</v>
      </c>
      <c r="F443" t="n">
        <v>0</v>
      </c>
      <c r="G443">
        <f>SUMIF(PRISPELO!B:B, A443, PRISPELO!G:G)</f>
        <v/>
      </c>
      <c r="H443">
        <f>SUMIF(ODPIS!B:B, A443, ODPIS!G:G)</f>
        <v/>
      </c>
      <c r="I443" s="2">
        <f>F443 + G443 - H443</f>
        <v/>
      </c>
    </row>
    <row r="444">
      <c r="A444" t="n">
        <v>2165</v>
      </c>
      <c r="B444" t="inlineStr">
        <is>
          <t>Fedrigoni SYMBOL CARD 2SC</t>
        </is>
      </c>
      <c r="C444" t="n">
        <v>100</v>
      </c>
      <c r="D444" t="n">
        <v>70</v>
      </c>
      <c r="E444" t="n">
        <v>270</v>
      </c>
      <c r="F444" t="n">
        <v>0</v>
      </c>
      <c r="G444">
        <f>SUMIF(PRISPELO!B:B, A444, PRISPELO!G:G)</f>
        <v/>
      </c>
      <c r="H444">
        <f>SUMIF(ODPIS!B:B, A444, ODPIS!G:G)</f>
        <v/>
      </c>
      <c r="I444" s="2">
        <f>F444 + G444 - H444</f>
        <v/>
      </c>
    </row>
    <row r="445">
      <c r="A445" t="n">
        <v>2167</v>
      </c>
      <c r="B445" t="inlineStr">
        <is>
          <t>Claro glos</t>
        </is>
      </c>
      <c r="C445" t="n">
        <v>70</v>
      </c>
      <c r="D445" t="n">
        <v>100</v>
      </c>
      <c r="E445" t="n">
        <v>115</v>
      </c>
      <c r="F445" t="n">
        <v>0</v>
      </c>
      <c r="G445">
        <f>SUMIF(PRISPELO!B:B, A445, PRISPELO!G:G)</f>
        <v/>
      </c>
      <c r="H445">
        <f>SUMIF(ODPIS!B:B, A445, ODPIS!G:G)</f>
        <v/>
      </c>
      <c r="I445" s="2">
        <f>F445 + G445 - H445</f>
        <v/>
      </c>
    </row>
    <row r="446">
      <c r="A446" t="n">
        <v>2168</v>
      </c>
      <c r="B446" t="inlineStr">
        <is>
          <t>Fedrigoni Sirio black</t>
        </is>
      </c>
      <c r="C446" t="n">
        <v>70</v>
      </c>
      <c r="D446" t="n">
        <v>100</v>
      </c>
      <c r="E446" t="n">
        <v>380</v>
      </c>
      <c r="F446" t="n">
        <v>0</v>
      </c>
      <c r="G446">
        <f>SUMIF(PRISPELO!B:B, A446, PRISPELO!G:G)</f>
        <v/>
      </c>
      <c r="H446">
        <f>SUMIF(ODPIS!B:B, A446, ODPIS!G:G)</f>
        <v/>
      </c>
      <c r="I446" s="2">
        <f>F446 + G446 - H446</f>
        <v/>
      </c>
    </row>
    <row r="447">
      <c r="A447" t="n">
        <v>2169</v>
      </c>
      <c r="B447" t="inlineStr">
        <is>
          <t>CYCLUS OFFSET</t>
        </is>
      </c>
      <c r="C447" t="n">
        <v>70</v>
      </c>
      <c r="D447" t="n">
        <v>100</v>
      </c>
      <c r="E447" t="n">
        <v>100</v>
      </c>
      <c r="F447" t="n">
        <v>0</v>
      </c>
      <c r="G447">
        <f>SUMIF(PRISPELO!B:B, A447, PRISPELO!G:G)</f>
        <v/>
      </c>
      <c r="H447">
        <f>SUMIF(ODPIS!B:B, A447, ODPIS!G:G)</f>
        <v/>
      </c>
      <c r="I447" s="2">
        <f>F447 + G447 - H447</f>
        <v/>
      </c>
    </row>
    <row r="448">
      <c r="A448" t="n">
        <v>2171</v>
      </c>
      <c r="B448" t="inlineStr">
        <is>
          <t>biomatt</t>
        </is>
      </c>
      <c r="C448" t="n">
        <v>70</v>
      </c>
      <c r="D448" t="n">
        <v>100</v>
      </c>
      <c r="E448" t="n">
        <v>90</v>
      </c>
      <c r="F448" t="n">
        <v>0</v>
      </c>
      <c r="G448">
        <f>SUMIF(PRISPELO!B:B, A448, PRISPELO!G:G)</f>
        <v/>
      </c>
      <c r="H448">
        <f>SUMIF(ODPIS!B:B, A448, ODPIS!G:G)</f>
        <v/>
      </c>
      <c r="I448" s="2">
        <f>F448 + G448 - H448</f>
        <v/>
      </c>
    </row>
    <row r="449">
      <c r="A449" t="n">
        <v>2172</v>
      </c>
      <c r="B449" t="inlineStr">
        <is>
          <t>biogloss</t>
        </is>
      </c>
      <c r="C449" t="n">
        <v>70</v>
      </c>
      <c r="D449" t="n">
        <v>100</v>
      </c>
      <c r="E449" t="n">
        <v>115</v>
      </c>
      <c r="F449" t="n">
        <v>0</v>
      </c>
      <c r="G449">
        <f>SUMIF(PRISPELO!B:B, A449, PRISPELO!G:G)</f>
        <v/>
      </c>
      <c r="H449">
        <f>SUMIF(ODPIS!B:B, A449, ODPIS!G:G)</f>
        <v/>
      </c>
      <c r="I449" s="2">
        <f>F449 + G449 - H449</f>
        <v/>
      </c>
    </row>
    <row r="450">
      <c r="A450" t="n">
        <v>2175</v>
      </c>
      <c r="B450" t="inlineStr">
        <is>
          <t>CYCLUS OFFSET</t>
        </is>
      </c>
      <c r="C450" t="n">
        <v>45</v>
      </c>
      <c r="D450" t="n">
        <v>64</v>
      </c>
      <c r="E450" t="n">
        <v>100</v>
      </c>
      <c r="F450" t="n">
        <v>0</v>
      </c>
      <c r="G450">
        <f>SUMIF(PRISPELO!B:B, A450, PRISPELO!G:G)</f>
        <v/>
      </c>
      <c r="H450">
        <f>SUMIF(ODPIS!B:B, A450, ODPIS!G:G)</f>
        <v/>
      </c>
      <c r="I450" s="2">
        <f>F450 + G450 - H450</f>
        <v/>
      </c>
    </row>
    <row r="451">
      <c r="A451" t="n">
        <v>2178</v>
      </c>
      <c r="B451" t="inlineStr">
        <is>
          <t>OLIN rough high white</t>
        </is>
      </c>
      <c r="C451" t="n">
        <v>72</v>
      </c>
      <c r="D451" t="n">
        <v>102</v>
      </c>
      <c r="E451" t="n">
        <v>200</v>
      </c>
      <c r="F451" t="n">
        <v>0</v>
      </c>
      <c r="G451">
        <f>SUMIF(PRISPELO!B:B, A451, PRISPELO!G:G)</f>
        <v/>
      </c>
      <c r="H451">
        <f>SUMIF(ODPIS!B:B, A451, ODPIS!G:G)</f>
        <v/>
      </c>
      <c r="I451" s="2">
        <f>F451 + G451 - H451</f>
        <v/>
      </c>
    </row>
    <row r="452">
      <c r="A452" t="n">
        <v>2179</v>
      </c>
      <c r="B452" t="inlineStr">
        <is>
          <t>CLARO BULK</t>
        </is>
      </c>
      <c r="C452" t="n">
        <v>88</v>
      </c>
      <c r="D452" t="n">
        <v>63</v>
      </c>
      <c r="E452" t="n">
        <v>90</v>
      </c>
      <c r="F452" t="n">
        <v>0</v>
      </c>
      <c r="G452">
        <f>SUMIF(PRISPELO!B:B, A452, PRISPELO!G:G)</f>
        <v/>
      </c>
      <c r="H452">
        <f>SUMIF(ODPIS!B:B, A452, ODPIS!G:G)</f>
        <v/>
      </c>
      <c r="I452" s="2">
        <f>F452 + G452 - H452</f>
        <v/>
      </c>
    </row>
    <row r="453">
      <c r="A453" t="n">
        <v>2181</v>
      </c>
      <c r="B453" t="inlineStr">
        <is>
          <t>Claro silk</t>
        </is>
      </c>
      <c r="C453" t="n">
        <v>52</v>
      </c>
      <c r="D453" t="n">
        <v>65</v>
      </c>
      <c r="E453" t="n">
        <v>100</v>
      </c>
      <c r="F453" t="n">
        <v>0</v>
      </c>
      <c r="G453">
        <f>SUMIF(PRISPELO!B:B, A453, PRISPELO!G:G)</f>
        <v/>
      </c>
      <c r="H453">
        <f>SUMIF(ODPIS!B:B, A453, ODPIS!G:G)</f>
        <v/>
      </c>
      <c r="I453" s="2">
        <f>F453 + G453 - H453</f>
        <v/>
      </c>
    </row>
    <row r="454">
      <c r="A454" t="n">
        <v>2189</v>
      </c>
      <c r="B454" t="inlineStr">
        <is>
          <t>biogloss</t>
        </is>
      </c>
      <c r="C454" t="n">
        <v>64</v>
      </c>
      <c r="D454" t="n">
        <v>88</v>
      </c>
      <c r="E454" t="n">
        <v>115</v>
      </c>
      <c r="F454" t="n">
        <v>0</v>
      </c>
      <c r="G454">
        <f>SUMIF(PRISPELO!B:B, A454, PRISPELO!G:G)</f>
        <v/>
      </c>
      <c r="H454">
        <f>SUMIF(ODPIS!B:B, A454, ODPIS!G:G)</f>
        <v/>
      </c>
      <c r="I454" s="2">
        <f>F454 + G454 - H454</f>
        <v/>
      </c>
    </row>
    <row r="455">
      <c r="A455" t="n">
        <v>2190</v>
      </c>
      <c r="B455" t="inlineStr">
        <is>
          <t>Planoart</t>
        </is>
      </c>
      <c r="C455" t="n">
        <v>70</v>
      </c>
      <c r="D455" t="n">
        <v>100</v>
      </c>
      <c r="E455" t="n">
        <v>300</v>
      </c>
      <c r="F455" t="n">
        <v>0</v>
      </c>
      <c r="G455">
        <f>SUMIF(PRISPELO!B:B, A455, PRISPELO!G:G)</f>
        <v/>
      </c>
      <c r="H455">
        <f>SUMIF(ODPIS!B:B, A455, ODPIS!G:G)</f>
        <v/>
      </c>
      <c r="I455" s="2">
        <f>F455 + G455 - H455</f>
        <v/>
      </c>
    </row>
    <row r="456">
      <c r="A456" t="n">
        <v>2195</v>
      </c>
      <c r="B456" t="inlineStr">
        <is>
          <t>Claro glos</t>
        </is>
      </c>
      <c r="C456" t="n">
        <v>63</v>
      </c>
      <c r="D456" t="n">
        <v>88</v>
      </c>
      <c r="E456" t="n">
        <v>250</v>
      </c>
      <c r="F456" t="n">
        <v>0</v>
      </c>
      <c r="G456">
        <f>SUMIF(PRISPELO!B:B, A456, PRISPELO!G:G)</f>
        <v/>
      </c>
      <c r="H456">
        <f>SUMIF(ODPIS!B:B, A456, ODPIS!G:G)</f>
        <v/>
      </c>
      <c r="I456" s="2">
        <f>F456 + G456 - H456</f>
        <v/>
      </c>
    </row>
    <row r="457">
      <c r="A457" t="n">
        <v>2197</v>
      </c>
      <c r="B457" t="inlineStr">
        <is>
          <t>ON offset</t>
        </is>
      </c>
      <c r="C457" t="n">
        <v>70</v>
      </c>
      <c r="D457" t="n">
        <v>100</v>
      </c>
      <c r="E457" t="n">
        <v>90</v>
      </c>
      <c r="F457" t="n">
        <v>0</v>
      </c>
      <c r="G457">
        <f>SUMIF(PRISPELO!B:B, A457, PRISPELO!G:G)</f>
        <v/>
      </c>
      <c r="H457">
        <f>SUMIF(ODPIS!B:B, A457, ODPIS!G:G)</f>
        <v/>
      </c>
      <c r="I457" s="2">
        <f>F457 + G457 - H457</f>
        <v/>
      </c>
    </row>
    <row r="458">
      <c r="A458" t="n">
        <v>2201</v>
      </c>
      <c r="B458" t="inlineStr">
        <is>
          <t>Biogloss</t>
        </is>
      </c>
      <c r="C458" t="n">
        <v>88</v>
      </c>
      <c r="D458" t="n">
        <v>64</v>
      </c>
      <c r="E458" t="n">
        <v>115</v>
      </c>
      <c r="F458" t="n">
        <v>0</v>
      </c>
      <c r="G458">
        <f>SUMIF(PRISPELO!B:B, A458, PRISPELO!G:G)</f>
        <v/>
      </c>
      <c r="H458">
        <f>SUMIF(ODPIS!B:B, A458, ODPIS!G:G)</f>
        <v/>
      </c>
      <c r="I458" s="2">
        <f>F458 + G458 - H458</f>
        <v/>
      </c>
    </row>
    <row r="459">
      <c r="A459" t="n">
        <v>2204</v>
      </c>
      <c r="B459" t="inlineStr">
        <is>
          <t>Bio Top 3 natural white</t>
        </is>
      </c>
      <c r="C459" t="n">
        <v>90</v>
      </c>
      <c r="D459" t="n">
        <v>64</v>
      </c>
      <c r="E459" t="n">
        <v>250</v>
      </c>
      <c r="F459" t="n">
        <v>0</v>
      </c>
      <c r="G459">
        <f>SUMIF(PRISPELO!B:B, A459, PRISPELO!G:G)</f>
        <v/>
      </c>
      <c r="H459">
        <f>SUMIF(ODPIS!B:B, A459, ODPIS!G:G)</f>
        <v/>
      </c>
      <c r="I459" s="2">
        <f>F459 + G459 - H459</f>
        <v/>
      </c>
    </row>
    <row r="460">
      <c r="A460" t="n">
        <v>2868</v>
      </c>
      <c r="B460" t="inlineStr">
        <is>
          <t>Garda matt</t>
        </is>
      </c>
      <c r="C460" t="n">
        <v>31.8</v>
      </c>
      <c r="D460" t="n">
        <v>44.8</v>
      </c>
      <c r="E460" t="n">
        <v>250</v>
      </c>
      <c r="F460" t="n">
        <v>0</v>
      </c>
      <c r="G460">
        <f>SUMIF(PRISPELO!B:B, A460, PRISPELO!G:G)</f>
        <v/>
      </c>
      <c r="H460">
        <f>SUMIF(ODPIS!B:B, A460, ODPIS!G:G)</f>
        <v/>
      </c>
      <c r="I460" s="2">
        <f>F460 + G460 - H460</f>
        <v/>
      </c>
    </row>
    <row r="461">
      <c r="A461" t="n">
        <v>2205</v>
      </c>
      <c r="B461" t="inlineStr">
        <is>
          <t>Kuverta B5 BD SI</t>
        </is>
      </c>
      <c r="C461" t="n">
        <v>125</v>
      </c>
      <c r="D461" t="n">
        <v>176</v>
      </c>
      <c r="E461" t="n">
        <v>0</v>
      </c>
      <c r="F461" t="n">
        <v>0</v>
      </c>
      <c r="G461">
        <f>SUMIF(PRISPELO!B:B, A461, PRISPELO!G:G)</f>
        <v/>
      </c>
      <c r="H461">
        <f>SUMIF(ODPIS!B:B, A461, ODPIS!G:G)</f>
        <v/>
      </c>
      <c r="I461" s="2">
        <f>F461 + G461 - H461</f>
        <v/>
      </c>
    </row>
    <row r="462">
      <c r="A462" t="n">
        <v>2206</v>
      </c>
      <c r="B462" t="inlineStr">
        <is>
          <t>BELPAK</t>
        </is>
      </c>
      <c r="C462" t="n">
        <v>71</v>
      </c>
      <c r="D462" t="n">
        <v>101</v>
      </c>
      <c r="E462" t="n">
        <v>320</v>
      </c>
      <c r="F462" t="n">
        <v>0</v>
      </c>
      <c r="G462">
        <f>SUMIF(PRISPELO!B:B, A462, PRISPELO!G:G)</f>
        <v/>
      </c>
      <c r="H462">
        <f>SUMIF(ODPIS!B:B, A462, ODPIS!G:G)</f>
        <v/>
      </c>
      <c r="I462" s="2">
        <f>F462 + G462 - H462</f>
        <v/>
      </c>
    </row>
    <row r="463">
      <c r="A463" t="n">
        <v>1987</v>
      </c>
      <c r="B463" t="inlineStr">
        <is>
          <t>Kuverta Bd Si</t>
        </is>
      </c>
      <c r="C463" t="n">
        <v>16.2</v>
      </c>
      <c r="D463" t="n">
        <v>16.2</v>
      </c>
      <c r="E463" t="n">
        <v>90</v>
      </c>
      <c r="F463" t="n">
        <v>0</v>
      </c>
      <c r="G463">
        <f>SUMIF(PRISPELO!B:B, A463, PRISPELO!G:G)</f>
        <v/>
      </c>
      <c r="H463">
        <f>SUMIF(ODPIS!B:B, A463, ODPIS!G:G)</f>
        <v/>
      </c>
      <c r="I463" s="2">
        <f>F463 + G463 - H463</f>
        <v/>
      </c>
    </row>
    <row r="464">
      <c r="A464" t="n">
        <v>2209</v>
      </c>
      <c r="B464" t="inlineStr">
        <is>
          <t>Masterprint</t>
        </is>
      </c>
      <c r="C464" t="n">
        <v>61</v>
      </c>
      <c r="D464" t="n">
        <v>86</v>
      </c>
      <c r="E464" t="n">
        <v>60</v>
      </c>
      <c r="F464" t="n">
        <v>0</v>
      </c>
      <c r="G464">
        <f>SUMIF(PRISPELO!B:B, A464, PRISPELO!G:G)</f>
        <v/>
      </c>
      <c r="H464">
        <f>SUMIF(ODPIS!B:B, A464, ODPIS!G:G)</f>
        <v/>
      </c>
      <c r="I464" s="2">
        <f>F464 + G464 - H464</f>
        <v/>
      </c>
    </row>
    <row r="465">
      <c r="A465" t="n">
        <v>2215</v>
      </c>
      <c r="B465" t="inlineStr">
        <is>
          <t>Claro silk</t>
        </is>
      </c>
      <c r="C465" t="n">
        <v>52</v>
      </c>
      <c r="D465" t="n">
        <v>65</v>
      </c>
      <c r="E465" t="n">
        <v>100</v>
      </c>
      <c r="F465" t="n">
        <v>0</v>
      </c>
      <c r="G465">
        <f>SUMIF(PRISPELO!B:B, A465, PRISPELO!G:G)</f>
        <v/>
      </c>
      <c r="H465">
        <f>SUMIF(ODPIS!B:B, A465, ODPIS!G:G)</f>
        <v/>
      </c>
      <c r="I465" s="2">
        <f>F465 + G465 - H465</f>
        <v/>
      </c>
    </row>
    <row r="466">
      <c r="A466" t="n">
        <v>2218</v>
      </c>
      <c r="B466" t="inlineStr">
        <is>
          <t>Arctic Volume White</t>
        </is>
      </c>
      <c r="C466" t="n">
        <v>64</v>
      </c>
      <c r="D466" t="n">
        <v>90</v>
      </c>
      <c r="E466" t="n">
        <v>100</v>
      </c>
      <c r="F466" t="n">
        <v>0</v>
      </c>
      <c r="G466">
        <f>SUMIF(PRISPELO!B:B, A466, PRISPELO!G:G)</f>
        <v/>
      </c>
      <c r="H466">
        <f>SUMIF(ODPIS!B:B, A466, ODPIS!G:G)</f>
        <v/>
      </c>
      <c r="I466" s="2">
        <f>F466 + G466 - H466</f>
        <v/>
      </c>
    </row>
    <row r="467">
      <c r="A467" t="n">
        <v>2219</v>
      </c>
      <c r="B467" t="inlineStr">
        <is>
          <t>Arctic volumen white</t>
        </is>
      </c>
      <c r="C467" t="n">
        <v>64</v>
      </c>
      <c r="D467" t="n">
        <v>90</v>
      </c>
      <c r="E467" t="n">
        <v>130</v>
      </c>
      <c r="F467" t="n">
        <v>0</v>
      </c>
      <c r="G467">
        <f>SUMIF(PRISPELO!B:B, A467, PRISPELO!G:G)</f>
        <v/>
      </c>
      <c r="H467">
        <f>SUMIF(ODPIS!B:B, A467, ODPIS!G:G)</f>
        <v/>
      </c>
      <c r="I467" s="2">
        <f>F467 + G467 - H467</f>
        <v/>
      </c>
    </row>
    <row r="468">
      <c r="A468" t="n">
        <v>2220</v>
      </c>
      <c r="B468" t="inlineStr">
        <is>
          <t>GRAFOPAK</t>
        </is>
      </c>
      <c r="C468" t="n">
        <v>70</v>
      </c>
      <c r="D468" t="n">
        <v>100</v>
      </c>
      <c r="E468" t="n">
        <v>350</v>
      </c>
      <c r="F468" t="n">
        <v>0</v>
      </c>
      <c r="G468">
        <f>SUMIF(PRISPELO!B:B, A468, PRISPELO!G:G)</f>
        <v/>
      </c>
      <c r="H468">
        <f>SUMIF(ODPIS!B:B, A468, ODPIS!G:G)</f>
        <v/>
      </c>
      <c r="I468" s="2">
        <f>F468 + G468 - H468</f>
        <v/>
      </c>
    </row>
    <row r="469">
      <c r="A469" t="n">
        <v>2221</v>
      </c>
      <c r="B469" t="inlineStr">
        <is>
          <t>Biomatt</t>
        </is>
      </c>
      <c r="C469" t="n">
        <v>64</v>
      </c>
      <c r="D469" t="n">
        <v>88</v>
      </c>
      <c r="E469" t="n">
        <v>135</v>
      </c>
      <c r="F469" t="n">
        <v>0</v>
      </c>
      <c r="G469">
        <f>SUMIF(PRISPELO!B:B, A469, PRISPELO!G:G)</f>
        <v/>
      </c>
      <c r="H469">
        <f>SUMIF(ODPIS!B:B, A469, ODPIS!G:G)</f>
        <v/>
      </c>
      <c r="I469" s="2">
        <f>F469 + G469 - H469</f>
        <v/>
      </c>
    </row>
    <row r="470">
      <c r="A470" t="n">
        <v>2382</v>
      </c>
      <c r="B470" t="inlineStr">
        <is>
          <t>Kuverta C5 cent.sirio pearl platin</t>
        </is>
      </c>
      <c r="C470" t="n">
        <v>16.2</v>
      </c>
      <c r="D470" t="n">
        <v>22.9</v>
      </c>
      <c r="E470" t="n">
        <v>125</v>
      </c>
      <c r="F470" t="n">
        <v>0</v>
      </c>
      <c r="G470">
        <f>SUMIF(PRISPELO!B:B, A470, PRISPELO!G:G)</f>
        <v/>
      </c>
      <c r="H470">
        <f>SUMIF(ODPIS!B:B, A470, ODPIS!G:G)</f>
        <v/>
      </c>
      <c r="I470" s="2">
        <f>F470 + G470 - H470</f>
        <v/>
      </c>
    </row>
    <row r="471">
      <c r="A471" t="n">
        <v>2222</v>
      </c>
      <c r="B471" t="inlineStr">
        <is>
          <t>Garda matt</t>
        </is>
      </c>
      <c r="C471" t="n">
        <v>100</v>
      </c>
      <c r="D471" t="n">
        <v>70</v>
      </c>
      <c r="E471" t="n">
        <v>100</v>
      </c>
      <c r="F471" t="n">
        <v>0</v>
      </c>
      <c r="G471">
        <f>SUMIF(PRISPELO!B:B, A471, PRISPELO!G:G)</f>
        <v/>
      </c>
      <c r="H471">
        <f>SUMIF(ODPIS!B:B, A471, ODPIS!G:G)</f>
        <v/>
      </c>
      <c r="I471" s="2">
        <f>F471 + G471 - H471</f>
        <v/>
      </c>
    </row>
    <row r="472">
      <c r="A472" t="n">
        <v>2224</v>
      </c>
      <c r="B472" t="inlineStr">
        <is>
          <t>Rives Tradition pale cream</t>
        </is>
      </c>
      <c r="C472" t="n">
        <v>70</v>
      </c>
      <c r="D472" t="n">
        <v>100</v>
      </c>
      <c r="E472" t="n">
        <v>250</v>
      </c>
      <c r="F472" t="n">
        <v>0</v>
      </c>
      <c r="G472">
        <f>SUMIF(PRISPELO!B:B, A472, PRISPELO!G:G)</f>
        <v/>
      </c>
      <c r="H472">
        <f>SUMIF(ODPIS!B:B, A472, ODPIS!G:G)</f>
        <v/>
      </c>
      <c r="I472" s="2">
        <f>F472 + G472 - H472</f>
        <v/>
      </c>
    </row>
    <row r="473">
      <c r="A473" t="n">
        <v>2225</v>
      </c>
      <c r="B473" t="inlineStr">
        <is>
          <t>Master Print</t>
        </is>
      </c>
      <c r="C473" t="n">
        <v>64</v>
      </c>
      <c r="D473" t="n">
        <v>90</v>
      </c>
      <c r="E473" t="n">
        <v>70</v>
      </c>
      <c r="F473" t="n">
        <v>0</v>
      </c>
      <c r="G473">
        <f>SUMIF(PRISPELO!B:B, A473, PRISPELO!G:G)</f>
        <v/>
      </c>
      <c r="H473">
        <f>SUMIF(ODPIS!B:B, A473, ODPIS!G:G)</f>
        <v/>
      </c>
      <c r="I473" s="2">
        <f>F473 + G473 - H473</f>
        <v/>
      </c>
    </row>
    <row r="474">
      <c r="A474" t="n">
        <v>2226</v>
      </c>
      <c r="B474" t="inlineStr">
        <is>
          <t>Claro glos</t>
        </is>
      </c>
      <c r="C474" t="n">
        <v>68</v>
      </c>
      <c r="D474" t="n">
        <v>52</v>
      </c>
      <c r="E474" t="n">
        <v>135</v>
      </c>
      <c r="F474" t="n">
        <v>0</v>
      </c>
      <c r="G474">
        <f>SUMIF(PRISPELO!B:B, A474, PRISPELO!G:G)</f>
        <v/>
      </c>
      <c r="H474">
        <f>SUMIF(ODPIS!B:B, A474, ODPIS!G:G)</f>
        <v/>
      </c>
      <c r="I474" s="2">
        <f>F474 + G474 - H474</f>
        <v/>
      </c>
    </row>
    <row r="475">
      <c r="A475" t="n">
        <v>2228</v>
      </c>
      <c r="B475" t="inlineStr">
        <is>
          <t>Olin regular absolute white</t>
        </is>
      </c>
      <c r="C475" t="n">
        <v>46</v>
      </c>
      <c r="D475" t="n">
        <v>64</v>
      </c>
      <c r="E475" t="n">
        <v>200</v>
      </c>
      <c r="F475" t="n">
        <v>0</v>
      </c>
      <c r="G475">
        <f>SUMIF(PRISPELO!B:B, A475, PRISPELO!G:G)</f>
        <v/>
      </c>
      <c r="H475">
        <f>SUMIF(ODPIS!B:B, A475, ODPIS!G:G)</f>
        <v/>
      </c>
      <c r="I475" s="2">
        <f>F475 + G475 - H475</f>
        <v/>
      </c>
    </row>
    <row r="476">
      <c r="A476" t="n">
        <v>2229</v>
      </c>
      <c r="B476" t="inlineStr">
        <is>
          <t>Olin regular absoluthe white</t>
        </is>
      </c>
      <c r="C476" t="n">
        <v>65</v>
      </c>
      <c r="D476" t="n">
        <v>92</v>
      </c>
      <c r="E476" t="n">
        <v>100</v>
      </c>
      <c r="F476" t="n">
        <v>0</v>
      </c>
      <c r="G476">
        <f>SUMIF(PRISPELO!B:B, A476, PRISPELO!G:G)</f>
        <v/>
      </c>
      <c r="H476">
        <f>SUMIF(ODPIS!B:B, A476, ODPIS!G:G)</f>
        <v/>
      </c>
      <c r="I476" s="2">
        <f>F476 + G476 - H476</f>
        <v/>
      </c>
    </row>
    <row r="477">
      <c r="A477" t="n">
        <v>2230</v>
      </c>
      <c r="B477" t="inlineStr">
        <is>
          <t>Olin Regular absolute white</t>
        </is>
      </c>
      <c r="C477" t="n">
        <v>72</v>
      </c>
      <c r="D477" t="n">
        <v>102</v>
      </c>
      <c r="E477" t="n">
        <v>200</v>
      </c>
      <c r="F477" t="n">
        <v>0</v>
      </c>
      <c r="G477">
        <f>SUMIF(PRISPELO!B:B, A477, PRISPELO!G:G)</f>
        <v/>
      </c>
      <c r="H477">
        <f>SUMIF(ODPIS!B:B, A477, ODPIS!G:G)</f>
        <v/>
      </c>
      <c r="I477" s="2">
        <f>F477 + G477 - H477</f>
        <v/>
      </c>
    </row>
    <row r="478">
      <c r="A478" t="n">
        <v>2231</v>
      </c>
      <c r="B478" t="inlineStr">
        <is>
          <t>Garda gloss</t>
        </is>
      </c>
      <c r="C478" t="n">
        <v>90</v>
      </c>
      <c r="D478" t="n">
        <v>64</v>
      </c>
      <c r="E478" t="n">
        <v>135</v>
      </c>
      <c r="F478" t="n">
        <v>0</v>
      </c>
      <c r="G478">
        <f>SUMIF(PRISPELO!B:B, A478, PRISPELO!G:G)</f>
        <v/>
      </c>
      <c r="H478">
        <f>SUMIF(ODPIS!B:B, A478, ODPIS!G:G)</f>
        <v/>
      </c>
      <c r="I478" s="2">
        <f>F478 + G478 - H478</f>
        <v/>
      </c>
    </row>
    <row r="479">
      <c r="A479" t="n">
        <v>2232</v>
      </c>
      <c r="B479" t="inlineStr">
        <is>
          <t>Gardagloss art</t>
        </is>
      </c>
      <c r="C479" t="n">
        <v>90</v>
      </c>
      <c r="D479" t="n">
        <v>64</v>
      </c>
      <c r="E479" t="n">
        <v>135</v>
      </c>
      <c r="F479" t="n">
        <v>0</v>
      </c>
      <c r="G479">
        <f>SUMIF(PRISPELO!B:B, A479, PRISPELO!G:G)</f>
        <v/>
      </c>
      <c r="H479">
        <f>SUMIF(ODPIS!B:B, A479, ODPIS!G:G)</f>
        <v/>
      </c>
      <c r="I479" s="2">
        <f>F479 + G479 - H479</f>
        <v/>
      </c>
    </row>
    <row r="480">
      <c r="A480" t="n">
        <v>2233</v>
      </c>
      <c r="B480" t="inlineStr">
        <is>
          <t>Gardagloss art</t>
        </is>
      </c>
      <c r="C480" t="n">
        <v>90</v>
      </c>
      <c r="D480" t="n">
        <v>64</v>
      </c>
      <c r="E480" t="n">
        <v>250</v>
      </c>
      <c r="F480" t="n">
        <v>0</v>
      </c>
      <c r="G480">
        <f>SUMIF(PRISPELO!B:B, A480, PRISPELO!G:G)</f>
        <v/>
      </c>
      <c r="H480">
        <f>SUMIF(ODPIS!B:B, A480, ODPIS!G:G)</f>
        <v/>
      </c>
      <c r="I480" s="2">
        <f>F480 + G480 - H480</f>
        <v/>
      </c>
    </row>
    <row r="481">
      <c r="A481" t="n">
        <v>2234</v>
      </c>
      <c r="B481" t="inlineStr">
        <is>
          <t>Gardagloss art</t>
        </is>
      </c>
      <c r="C481" t="n">
        <v>64</v>
      </c>
      <c r="D481" t="n">
        <v>90</v>
      </c>
      <c r="E481" t="n">
        <v>250</v>
      </c>
      <c r="F481" t="n">
        <v>0</v>
      </c>
      <c r="G481">
        <f>SUMIF(PRISPELO!B:B, A481, PRISPELO!G:G)</f>
        <v/>
      </c>
      <c r="H481">
        <f>SUMIF(ODPIS!B:B, A481, ODPIS!G:G)</f>
        <v/>
      </c>
      <c r="I481" s="2">
        <f>F481 + G481 - H481</f>
        <v/>
      </c>
    </row>
    <row r="482">
      <c r="A482" t="n">
        <v>2235</v>
      </c>
      <c r="B482" t="inlineStr">
        <is>
          <t>Gardagloss art</t>
        </is>
      </c>
      <c r="C482" t="n">
        <v>64</v>
      </c>
      <c r="D482" t="n">
        <v>90</v>
      </c>
      <c r="E482" t="n">
        <v>135</v>
      </c>
      <c r="F482" t="n">
        <v>0</v>
      </c>
      <c r="G482">
        <f>SUMIF(PRISPELO!B:B, A482, PRISPELO!G:G)</f>
        <v/>
      </c>
      <c r="H482">
        <f>SUMIF(ODPIS!B:B, A482, ODPIS!G:G)</f>
        <v/>
      </c>
      <c r="I482" s="2">
        <f>F482 + G482 - H482</f>
        <v/>
      </c>
    </row>
    <row r="483">
      <c r="A483" t="n">
        <v>2194</v>
      </c>
      <c r="B483" t="inlineStr">
        <is>
          <t>Kuverta curious metallics BO si</t>
        </is>
      </c>
      <c r="C483" t="n">
        <v>17</v>
      </c>
      <c r="D483" t="n">
        <v>17</v>
      </c>
      <c r="E483" t="n">
        <v>120</v>
      </c>
      <c r="F483" t="n">
        <v>0</v>
      </c>
      <c r="G483">
        <f>SUMIF(PRISPELO!B:B, A483, PRISPELO!G:G)</f>
        <v/>
      </c>
      <c r="H483">
        <f>SUMIF(ODPIS!B:B, A483, ODPIS!G:G)</f>
        <v/>
      </c>
      <c r="I483" s="2">
        <f>F483 + G483 - H483</f>
        <v/>
      </c>
    </row>
    <row r="484">
      <c r="A484" t="n">
        <v>2236</v>
      </c>
      <c r="B484" t="inlineStr">
        <is>
          <t>Fedrigoni SYMBOL CARD PW</t>
        </is>
      </c>
      <c r="C484" t="n">
        <v>102</v>
      </c>
      <c r="D484" t="n">
        <v>72</v>
      </c>
      <c r="E484" t="n">
        <v>270</v>
      </c>
      <c r="F484" t="n">
        <v>0</v>
      </c>
      <c r="G484">
        <f>SUMIF(PRISPELO!B:B, A484, PRISPELO!G:G)</f>
        <v/>
      </c>
      <c r="H484">
        <f>SUMIF(ODPIS!B:B, A484, ODPIS!G:G)</f>
        <v/>
      </c>
      <c r="I484" s="2">
        <f>F484 + G484 - H484</f>
        <v/>
      </c>
    </row>
    <row r="485">
      <c r="A485" t="n">
        <v>2237</v>
      </c>
      <c r="B485" t="inlineStr">
        <is>
          <t>Garda gloss</t>
        </is>
      </c>
      <c r="C485" t="n">
        <v>90</v>
      </c>
      <c r="D485" t="n">
        <v>64</v>
      </c>
      <c r="E485" t="n">
        <v>115</v>
      </c>
      <c r="F485" t="n">
        <v>0</v>
      </c>
      <c r="G485">
        <f>SUMIF(PRISPELO!B:B, A485, PRISPELO!G:G)</f>
        <v/>
      </c>
      <c r="H485">
        <f>SUMIF(ODPIS!B:B, A485, ODPIS!G:G)</f>
        <v/>
      </c>
      <c r="I485" s="2">
        <f>F485 + G485 - H485</f>
        <v/>
      </c>
    </row>
    <row r="486">
      <c r="A486" t="n">
        <v>2239</v>
      </c>
      <c r="B486" t="inlineStr">
        <is>
          <t>CARTA ELEGA</t>
        </is>
      </c>
      <c r="C486" t="n">
        <v>72</v>
      </c>
      <c r="D486" t="n">
        <v>102</v>
      </c>
      <c r="E486" t="n">
        <v>210</v>
      </c>
      <c r="F486" t="n">
        <v>0</v>
      </c>
      <c r="G486">
        <f>SUMIF(PRISPELO!B:B, A486, PRISPELO!G:G)</f>
        <v/>
      </c>
      <c r="H486">
        <f>SUMIF(ODPIS!B:B, A486, ODPIS!G:G)</f>
        <v/>
      </c>
      <c r="I486" s="2">
        <f>F486 + G486 - H486</f>
        <v/>
      </c>
    </row>
    <row r="487">
      <c r="A487" t="n">
        <v>2240</v>
      </c>
      <c r="B487" t="inlineStr">
        <is>
          <t>Claro silk</t>
        </is>
      </c>
      <c r="C487" t="n">
        <v>88</v>
      </c>
      <c r="D487" t="n">
        <v>63</v>
      </c>
      <c r="E487" t="n">
        <v>135</v>
      </c>
      <c r="F487" t="n">
        <v>0</v>
      </c>
      <c r="G487">
        <f>SUMIF(PRISPELO!B:B, A487, PRISPELO!G:G)</f>
        <v/>
      </c>
      <c r="H487">
        <f>SUMIF(ODPIS!B:B, A487, ODPIS!G:G)</f>
        <v/>
      </c>
      <c r="I487" s="2">
        <f>F487 + G487 - H487</f>
        <v/>
      </c>
    </row>
    <row r="488">
      <c r="A488" t="n">
        <v>2241</v>
      </c>
      <c r="B488" t="inlineStr">
        <is>
          <t>Garda gloss</t>
        </is>
      </c>
      <c r="C488" t="n">
        <v>90</v>
      </c>
      <c r="D488" t="n">
        <v>64</v>
      </c>
      <c r="E488" t="n">
        <v>130</v>
      </c>
      <c r="F488" t="n">
        <v>575</v>
      </c>
      <c r="G488">
        <f>SUMIF(PRISPELO!B:B, A488, PRISPELO!G:G)</f>
        <v/>
      </c>
      <c r="H488">
        <f>SUMIF(ODPIS!B:B, A488, ODPIS!G:G)</f>
        <v/>
      </c>
      <c r="I488" s="2">
        <f>F488 + G488 - H488</f>
        <v/>
      </c>
    </row>
    <row r="489">
      <c r="A489" t="n">
        <v>2245</v>
      </c>
      <c r="B489" t="inlineStr">
        <is>
          <t>FEDRIGONI SYMBOL CARD</t>
        </is>
      </c>
      <c r="C489" t="n">
        <v>102</v>
      </c>
      <c r="D489" t="n">
        <v>72</v>
      </c>
      <c r="E489" t="n">
        <v>300</v>
      </c>
      <c r="F489" t="n">
        <v>400</v>
      </c>
      <c r="G489">
        <f>SUMIF(PRISPELO!B:B, A489, PRISPELO!G:G)</f>
        <v/>
      </c>
      <c r="H489">
        <f>SUMIF(ODPIS!B:B, A489, ODPIS!G:G)</f>
        <v/>
      </c>
      <c r="I489" s="2">
        <f>F489 + G489 - H489</f>
        <v/>
      </c>
    </row>
    <row r="490">
      <c r="A490" t="n">
        <v>2249</v>
      </c>
      <c r="B490" t="inlineStr">
        <is>
          <t>Condat gloss</t>
        </is>
      </c>
      <c r="C490" t="n">
        <v>64</v>
      </c>
      <c r="D490" t="n">
        <v>88</v>
      </c>
      <c r="E490" t="n">
        <v>115</v>
      </c>
      <c r="F490" t="n">
        <v>0</v>
      </c>
      <c r="G490">
        <f>SUMIF(PRISPELO!B:B, A490, PRISPELO!G:G)</f>
        <v/>
      </c>
      <c r="H490">
        <f>SUMIF(ODPIS!B:B, A490, ODPIS!G:G)</f>
        <v/>
      </c>
      <c r="I490" s="2">
        <f>F490 + G490 - H490</f>
        <v/>
      </c>
    </row>
    <row r="491">
      <c r="A491" t="n">
        <v>2250</v>
      </c>
      <c r="B491" t="inlineStr">
        <is>
          <t>Multicolor BELVEDERE</t>
        </is>
      </c>
      <c r="C491" t="n">
        <v>70</v>
      </c>
      <c r="D491" t="n">
        <v>100</v>
      </c>
      <c r="E491" t="n">
        <v>250</v>
      </c>
      <c r="F491" t="n">
        <v>790</v>
      </c>
      <c r="G491">
        <f>SUMIF(PRISPELO!B:B, A491, PRISPELO!G:G)</f>
        <v/>
      </c>
      <c r="H491">
        <f>SUMIF(ODPIS!B:B, A491, ODPIS!G:G)</f>
        <v/>
      </c>
      <c r="I491" s="2">
        <f>F491 + G491 - H491</f>
        <v/>
      </c>
    </row>
    <row r="492">
      <c r="A492" t="n">
        <v>2252</v>
      </c>
      <c r="B492" t="inlineStr">
        <is>
          <t>Garda gloss</t>
        </is>
      </c>
      <c r="C492" t="n">
        <v>64</v>
      </c>
      <c r="D492" t="n">
        <v>90</v>
      </c>
      <c r="E492" t="n">
        <v>100</v>
      </c>
      <c r="F492" t="n">
        <v>0</v>
      </c>
      <c r="G492">
        <f>SUMIF(PRISPELO!B:B, A492, PRISPELO!G:G)</f>
        <v/>
      </c>
      <c r="H492">
        <f>SUMIF(ODPIS!B:B, A492, ODPIS!G:G)</f>
        <v/>
      </c>
      <c r="I492" s="2">
        <f>F492 + G492 - H492</f>
        <v/>
      </c>
    </row>
    <row r="493">
      <c r="A493" t="n">
        <v>2257</v>
      </c>
      <c r="B493" t="inlineStr">
        <is>
          <t>Garda gloss</t>
        </is>
      </c>
      <c r="C493" t="n">
        <v>64</v>
      </c>
      <c r="D493" t="n">
        <v>90</v>
      </c>
      <c r="E493" t="n">
        <v>130</v>
      </c>
      <c r="F493" t="n">
        <v>0</v>
      </c>
      <c r="G493">
        <f>SUMIF(PRISPELO!B:B, A493, PRISPELO!G:G)</f>
        <v/>
      </c>
      <c r="H493">
        <f>SUMIF(ODPIS!B:B, A493, ODPIS!G:G)</f>
        <v/>
      </c>
      <c r="I493" s="2">
        <f>F493 + G493 - H493</f>
        <v/>
      </c>
    </row>
    <row r="494">
      <c r="A494" t="n">
        <v>2258</v>
      </c>
      <c r="B494" t="inlineStr">
        <is>
          <t>Garda matt</t>
        </is>
      </c>
      <c r="C494" t="n">
        <v>100</v>
      </c>
      <c r="D494" t="n">
        <v>70</v>
      </c>
      <c r="E494" t="n">
        <v>300</v>
      </c>
      <c r="F494" t="n">
        <v>170</v>
      </c>
      <c r="G494">
        <f>SUMIF(PRISPELO!B:B, A494, PRISPELO!G:G)</f>
        <v/>
      </c>
      <c r="H494">
        <f>SUMIF(ODPIS!B:B, A494, ODPIS!G:G)</f>
        <v/>
      </c>
      <c r="I494" s="2">
        <f>F494 + G494 - H494</f>
        <v/>
      </c>
    </row>
    <row r="495">
      <c r="A495" t="n">
        <v>2259</v>
      </c>
      <c r="B495" t="inlineStr">
        <is>
          <t>Garda matt</t>
        </is>
      </c>
      <c r="C495" t="n">
        <v>100</v>
      </c>
      <c r="D495" t="n">
        <v>70</v>
      </c>
      <c r="E495" t="n">
        <v>170</v>
      </c>
      <c r="F495" t="n">
        <v>0</v>
      </c>
      <c r="G495">
        <f>SUMIF(PRISPELO!B:B, A495, PRISPELO!G:G)</f>
        <v/>
      </c>
      <c r="H495">
        <f>SUMIF(ODPIS!B:B, A495, ODPIS!G:G)</f>
        <v/>
      </c>
      <c r="I495" s="2">
        <f>F495 + G495 - H495</f>
        <v/>
      </c>
    </row>
    <row r="496">
      <c r="A496" t="n">
        <v>2260</v>
      </c>
      <c r="B496" t="inlineStr">
        <is>
          <t>Garda matt</t>
        </is>
      </c>
      <c r="C496" t="n">
        <v>64</v>
      </c>
      <c r="D496" t="n">
        <v>90</v>
      </c>
      <c r="E496" t="n">
        <v>250</v>
      </c>
      <c r="F496" t="n">
        <v>180</v>
      </c>
      <c r="G496">
        <f>SUMIF(PRISPELO!B:B, A496, PRISPELO!G:G)</f>
        <v/>
      </c>
      <c r="H496">
        <f>SUMIF(ODPIS!B:B, A496, ODPIS!G:G)</f>
        <v/>
      </c>
      <c r="I496" s="2">
        <f>F496 + G496 - H496</f>
        <v/>
      </c>
    </row>
    <row r="497">
      <c r="A497" t="n">
        <v>2261</v>
      </c>
      <c r="B497" t="inlineStr">
        <is>
          <t>Garda gloss</t>
        </is>
      </c>
      <c r="C497" t="n">
        <v>70</v>
      </c>
      <c r="D497" t="n">
        <v>100</v>
      </c>
      <c r="E497" t="n">
        <v>100</v>
      </c>
      <c r="F497" t="n">
        <v>0</v>
      </c>
      <c r="G497">
        <f>SUMIF(PRISPELO!B:B, A497, PRISPELO!G:G)</f>
        <v/>
      </c>
      <c r="H497">
        <f>SUMIF(ODPIS!B:B, A497, ODPIS!G:G)</f>
        <v/>
      </c>
      <c r="I497" s="2">
        <f>F497 + G497 - H497</f>
        <v/>
      </c>
    </row>
    <row r="498">
      <c r="A498" t="n">
        <v>2262</v>
      </c>
      <c r="B498" t="inlineStr">
        <is>
          <t>Claro silk</t>
        </is>
      </c>
      <c r="C498" t="n">
        <v>45</v>
      </c>
      <c r="D498" t="n">
        <v>64</v>
      </c>
      <c r="E498" t="n">
        <v>135</v>
      </c>
      <c r="F498" t="n">
        <v>0</v>
      </c>
      <c r="G498">
        <f>SUMIF(PRISPELO!B:B, A498, PRISPELO!G:G)</f>
        <v/>
      </c>
      <c r="H498">
        <f>SUMIF(ODPIS!B:B, A498, ODPIS!G:G)</f>
        <v/>
      </c>
      <c r="I498" s="2">
        <f>F498 + G498 - H498</f>
        <v/>
      </c>
    </row>
    <row r="499">
      <c r="A499" t="n">
        <v>2912</v>
      </c>
      <c r="B499" t="inlineStr">
        <is>
          <t>kuverte  C4 iq selection smooth</t>
        </is>
      </c>
      <c r="C499" t="n">
        <v>22.9</v>
      </c>
      <c r="D499" t="n">
        <v>32.4</v>
      </c>
      <c r="E499" t="n">
        <v>120</v>
      </c>
      <c r="F499" t="n">
        <v>0</v>
      </c>
      <c r="G499">
        <f>SUMIF(PRISPELO!B:B, A499, PRISPELO!G:G)</f>
        <v/>
      </c>
      <c r="H499">
        <f>SUMIF(ODPIS!B:B, A499, ODPIS!G:G)</f>
        <v/>
      </c>
      <c r="I499" s="2">
        <f>F499 + G499 - H499</f>
        <v/>
      </c>
    </row>
    <row r="500">
      <c r="A500" t="n">
        <v>2913</v>
      </c>
      <c r="B500" t="inlineStr">
        <is>
          <t>kuverte iq C5 srlection smooth</t>
        </is>
      </c>
      <c r="C500" t="n">
        <v>16.2</v>
      </c>
      <c r="D500" t="n">
        <v>22.9</v>
      </c>
      <c r="E500" t="n">
        <v>120</v>
      </c>
      <c r="F500" t="n">
        <v>0</v>
      </c>
      <c r="G500">
        <f>SUMIF(PRISPELO!B:B, A500, PRISPELO!G:G)</f>
        <v/>
      </c>
      <c r="H500">
        <f>SUMIF(ODPIS!B:B, A500, ODPIS!G:G)</f>
        <v/>
      </c>
      <c r="I500" s="2">
        <f>F500 + G500 - H500</f>
        <v/>
      </c>
    </row>
    <row r="501">
      <c r="A501" t="n">
        <v>2914</v>
      </c>
      <c r="B501" t="inlineStr">
        <is>
          <t>kuverte iq amerikanka c6 sel.smooth</t>
        </is>
      </c>
      <c r="C501" t="n">
        <v>11</v>
      </c>
      <c r="D501" t="n">
        <v>220</v>
      </c>
      <c r="E501" t="n">
        <v>120</v>
      </c>
      <c r="F501" t="n">
        <v>0</v>
      </c>
      <c r="G501">
        <f>SUMIF(PRISPELO!B:B, A501, PRISPELO!G:G)</f>
        <v/>
      </c>
      <c r="H501">
        <f>SUMIF(ODPIS!B:B, A501, ODPIS!G:G)</f>
        <v/>
      </c>
      <c r="I501" s="2">
        <f>F501 + G501 - H501</f>
        <v/>
      </c>
    </row>
    <row r="502">
      <c r="A502" t="n">
        <v>2263</v>
      </c>
      <c r="B502" t="inlineStr">
        <is>
          <t>MASTERCOAT silk</t>
        </is>
      </c>
      <c r="C502" t="n">
        <v>70</v>
      </c>
      <c r="D502" t="n">
        <v>100</v>
      </c>
      <c r="E502" t="n">
        <v>130</v>
      </c>
      <c r="F502" t="n">
        <v>0</v>
      </c>
      <c r="G502">
        <f>SUMIF(PRISPELO!B:B, A502, PRISPELO!G:G)</f>
        <v/>
      </c>
      <c r="H502">
        <f>SUMIF(ODPIS!B:B, A502, ODPIS!G:G)</f>
        <v/>
      </c>
      <c r="I502" s="2">
        <f>F502 + G502 - H502</f>
        <v/>
      </c>
    </row>
    <row r="503">
      <c r="A503" t="n">
        <v>2264</v>
      </c>
      <c r="B503" t="inlineStr">
        <is>
          <t>Garda gloss</t>
        </is>
      </c>
      <c r="C503" t="n">
        <v>100</v>
      </c>
      <c r="D503" t="n">
        <v>70</v>
      </c>
      <c r="E503" t="n">
        <v>150</v>
      </c>
      <c r="F503" t="n">
        <v>0</v>
      </c>
      <c r="G503">
        <f>SUMIF(PRISPELO!B:B, A503, PRISPELO!G:G)</f>
        <v/>
      </c>
      <c r="H503">
        <f>SUMIF(ODPIS!B:B, A503, ODPIS!G:G)</f>
        <v/>
      </c>
      <c r="I503" s="2">
        <f>F503 + G503 - H503</f>
        <v/>
      </c>
    </row>
    <row r="504">
      <c r="A504" t="n">
        <v>2265</v>
      </c>
      <c r="B504" t="inlineStr">
        <is>
          <t>Garda gloss</t>
        </is>
      </c>
      <c r="C504" t="n">
        <v>70</v>
      </c>
      <c r="D504" t="n">
        <v>100</v>
      </c>
      <c r="E504" t="n">
        <v>150</v>
      </c>
      <c r="F504" t="n">
        <v>350</v>
      </c>
      <c r="G504">
        <f>SUMIF(PRISPELO!B:B, A504, PRISPELO!G:G)</f>
        <v/>
      </c>
      <c r="H504">
        <f>SUMIF(ODPIS!B:B, A504, ODPIS!G:G)</f>
        <v/>
      </c>
      <c r="I504" s="2">
        <f>F504 + G504 - H504</f>
        <v/>
      </c>
    </row>
    <row r="505">
      <c r="A505" t="n">
        <v>2266</v>
      </c>
      <c r="B505" t="inlineStr">
        <is>
          <t>Niclaselect</t>
        </is>
      </c>
      <c r="C505" t="n">
        <v>59</v>
      </c>
      <c r="D505" t="n">
        <v>87</v>
      </c>
      <c r="E505" t="n">
        <v>80</v>
      </c>
      <c r="F505" t="n">
        <v>2500</v>
      </c>
      <c r="G505">
        <f>SUMIF(PRISPELO!B:B, A505, PRISPELO!G:G)</f>
        <v/>
      </c>
      <c r="H505">
        <f>SUMIF(ODPIS!B:B, A505, ODPIS!G:G)</f>
        <v/>
      </c>
      <c r="I505" s="2">
        <f>F505 + G505 - H505</f>
        <v/>
      </c>
    </row>
    <row r="506">
      <c r="A506" t="n">
        <v>2267</v>
      </c>
      <c r="B506" t="inlineStr">
        <is>
          <t>Rives Design bright white</t>
        </is>
      </c>
      <c r="C506" t="n">
        <v>70</v>
      </c>
      <c r="D506" t="n">
        <v>100</v>
      </c>
      <c r="E506" t="n">
        <v>250</v>
      </c>
      <c r="F506" t="n">
        <v>0</v>
      </c>
      <c r="G506">
        <f>SUMIF(PRISPELO!B:B, A506, PRISPELO!G:G)</f>
        <v/>
      </c>
      <c r="H506">
        <f>SUMIF(ODPIS!B:B, A506, ODPIS!G:G)</f>
        <v/>
      </c>
      <c r="I506" s="2">
        <f>F506 + G506 - H506</f>
        <v/>
      </c>
    </row>
    <row r="507">
      <c r="A507" t="n">
        <v>2268</v>
      </c>
      <c r="B507" t="inlineStr">
        <is>
          <t>Garda matt</t>
        </is>
      </c>
      <c r="C507" t="n">
        <v>88</v>
      </c>
      <c r="D507" t="n">
        <v>64</v>
      </c>
      <c r="E507" t="n">
        <v>135</v>
      </c>
      <c r="F507" t="n">
        <v>0</v>
      </c>
      <c r="G507">
        <f>SUMIF(PRISPELO!B:B, A507, PRISPELO!G:G)</f>
        <v/>
      </c>
      <c r="H507">
        <f>SUMIF(ODPIS!B:B, A507, ODPIS!G:G)</f>
        <v/>
      </c>
      <c r="I507" s="2">
        <f>F507 + G507 - H507</f>
        <v/>
      </c>
    </row>
    <row r="508">
      <c r="A508" t="n">
        <v>2269</v>
      </c>
      <c r="B508" t="inlineStr">
        <is>
          <t>Garda matt</t>
        </is>
      </c>
      <c r="C508" t="n">
        <v>70</v>
      </c>
      <c r="D508" t="n">
        <v>100</v>
      </c>
      <c r="E508" t="n">
        <v>300</v>
      </c>
      <c r="F508" t="n">
        <v>100</v>
      </c>
      <c r="G508">
        <f>SUMIF(PRISPELO!B:B, A508, PRISPELO!G:G)</f>
        <v/>
      </c>
      <c r="H508">
        <f>SUMIF(ODPIS!B:B, A508, ODPIS!G:G)</f>
        <v/>
      </c>
      <c r="I508" s="2">
        <f>F508 + G508 - H508</f>
        <v/>
      </c>
    </row>
    <row r="509">
      <c r="A509" t="n">
        <v>2270</v>
      </c>
      <c r="B509" t="inlineStr">
        <is>
          <t>Master print</t>
        </is>
      </c>
      <c r="C509" t="n">
        <v>90</v>
      </c>
      <c r="D509" t="n">
        <v>64</v>
      </c>
      <c r="E509" t="n">
        <v>120</v>
      </c>
      <c r="F509" t="n">
        <v>0</v>
      </c>
      <c r="G509">
        <f>SUMIF(PRISPELO!B:B, A509, PRISPELO!G:G)</f>
        <v/>
      </c>
      <c r="H509">
        <f>SUMIF(ODPIS!B:B, A509, ODPIS!G:G)</f>
        <v/>
      </c>
      <c r="I509" s="2">
        <f>F509 + G509 - H509</f>
        <v/>
      </c>
    </row>
    <row r="510">
      <c r="A510" t="n">
        <v>2271</v>
      </c>
      <c r="B510" t="inlineStr">
        <is>
          <t>AMBER PREPRINT OCR</t>
        </is>
      </c>
      <c r="C510" t="n">
        <v>45</v>
      </c>
      <c r="D510" t="n">
        <v>64</v>
      </c>
      <c r="E510" t="n">
        <v>90</v>
      </c>
      <c r="F510" t="n">
        <v>0</v>
      </c>
      <c r="G510">
        <f>SUMIF(PRISPELO!B:B, A510, PRISPELO!G:G)</f>
        <v/>
      </c>
      <c r="H510">
        <f>SUMIF(ODPIS!B:B, A510, ODPIS!G:G)</f>
        <v/>
      </c>
      <c r="I510" s="2">
        <f>F510 + G510 - H510</f>
        <v/>
      </c>
    </row>
    <row r="511">
      <c r="A511" t="n">
        <v>2932</v>
      </c>
      <c r="B511" t="inlineStr">
        <is>
          <t>IDEM GIROFORM CFB DIGI RUMEN</t>
        </is>
      </c>
      <c r="C511" t="n">
        <v>32</v>
      </c>
      <c r="D511" t="n">
        <v>45</v>
      </c>
      <c r="E511" t="n">
        <v>80</v>
      </c>
      <c r="F511" t="n">
        <v>0</v>
      </c>
      <c r="G511">
        <f>SUMIF(PRISPELO!B:B, A511, PRISPELO!G:G)</f>
        <v/>
      </c>
      <c r="H511">
        <f>SUMIF(ODPIS!B:B, A511, ODPIS!G:G)</f>
        <v/>
      </c>
      <c r="I511" s="2">
        <f>F511 + G511 - H511</f>
        <v/>
      </c>
    </row>
    <row r="512">
      <c r="A512" t="n">
        <v>2272</v>
      </c>
      <c r="B512" t="inlineStr">
        <is>
          <t>OLIN Regular cream matt</t>
        </is>
      </c>
      <c r="C512" t="n">
        <v>720</v>
      </c>
      <c r="D512" t="n">
        <v>102</v>
      </c>
      <c r="E512" t="n">
        <v>300</v>
      </c>
      <c r="F512" t="n">
        <v>0</v>
      </c>
      <c r="G512">
        <f>SUMIF(PRISPELO!B:B, A512, PRISPELO!G:G)</f>
        <v/>
      </c>
      <c r="H512">
        <f>SUMIF(ODPIS!B:B, A512, ODPIS!G:G)</f>
        <v/>
      </c>
      <c r="I512" s="2">
        <f>F512 + G512 - H512</f>
        <v/>
      </c>
    </row>
    <row r="513">
      <c r="A513" t="n">
        <v>2273</v>
      </c>
      <c r="B513" t="inlineStr">
        <is>
          <t>Rives Tradition Le noir</t>
        </is>
      </c>
      <c r="C513" t="n">
        <v>70</v>
      </c>
      <c r="D513" t="n">
        <v>100</v>
      </c>
      <c r="E513" t="n">
        <v>250</v>
      </c>
      <c r="F513" t="n">
        <v>0</v>
      </c>
      <c r="G513">
        <f>SUMIF(PRISPELO!B:B, A513, PRISPELO!G:G)</f>
        <v/>
      </c>
      <c r="H513">
        <f>SUMIF(ODPIS!B:B, A513, ODPIS!G:G)</f>
        <v/>
      </c>
      <c r="I513" s="2">
        <f>F513 + G513 - H513</f>
        <v/>
      </c>
    </row>
    <row r="514">
      <c r="A514" t="n">
        <v>2276</v>
      </c>
      <c r="B514" t="inlineStr">
        <is>
          <t>Olin Regular High White</t>
        </is>
      </c>
      <c r="C514" t="n">
        <v>45</v>
      </c>
      <c r="D514" t="n">
        <v>64</v>
      </c>
      <c r="E514" t="n">
        <v>90</v>
      </c>
      <c r="F514" t="n">
        <v>0</v>
      </c>
      <c r="G514">
        <f>SUMIF(PRISPELO!B:B, A514, PRISPELO!G:G)</f>
        <v/>
      </c>
      <c r="H514">
        <f>SUMIF(ODPIS!B:B, A514, ODPIS!G:G)</f>
        <v/>
      </c>
      <c r="I514" s="2">
        <f>F514 + G514 - H514</f>
        <v/>
      </c>
    </row>
    <row r="515">
      <c r="A515" t="n">
        <v>2277</v>
      </c>
      <c r="B515" t="inlineStr">
        <is>
          <t>Maestro Print</t>
        </is>
      </c>
      <c r="C515" t="n">
        <v>64</v>
      </c>
      <c r="D515" t="n">
        <v>90</v>
      </c>
      <c r="E515" t="n">
        <v>140</v>
      </c>
      <c r="F515" t="n">
        <v>0</v>
      </c>
      <c r="G515">
        <f>SUMIF(PRISPELO!B:B, A515, PRISPELO!G:G)</f>
        <v/>
      </c>
      <c r="H515">
        <f>SUMIF(ODPIS!B:B, A515, ODPIS!G:G)</f>
        <v/>
      </c>
      <c r="I515" s="2">
        <f>F515 + G515 - H515</f>
        <v/>
      </c>
    </row>
    <row r="516">
      <c r="A516" t="n">
        <v>2278</v>
      </c>
      <c r="B516" t="inlineStr">
        <is>
          <t>Master Print</t>
        </is>
      </c>
      <c r="C516" t="n">
        <v>70</v>
      </c>
      <c r="D516" t="n">
        <v>100</v>
      </c>
      <c r="E516" t="n">
        <v>70</v>
      </c>
      <c r="F516" t="n">
        <v>0</v>
      </c>
      <c r="G516">
        <f>SUMIF(PRISPELO!B:B, A516, PRISPELO!G:G)</f>
        <v/>
      </c>
      <c r="H516">
        <f>SUMIF(ODPIS!B:B, A516, ODPIS!G:G)</f>
        <v/>
      </c>
      <c r="I516" s="2">
        <f>F516 + G516 - H516</f>
        <v/>
      </c>
    </row>
    <row r="517">
      <c r="A517" t="n">
        <v>2280</v>
      </c>
      <c r="B517" t="inlineStr">
        <is>
          <t>Garda matt</t>
        </is>
      </c>
      <c r="C517" t="n">
        <v>64</v>
      </c>
      <c r="D517" t="n">
        <v>90</v>
      </c>
      <c r="E517" t="n">
        <v>170</v>
      </c>
      <c r="F517" t="n">
        <v>400</v>
      </c>
      <c r="G517">
        <f>SUMIF(PRISPELO!B:B, A517, PRISPELO!G:G)</f>
        <v/>
      </c>
      <c r="H517">
        <f>SUMIF(ODPIS!B:B, A517, ODPIS!G:G)</f>
        <v/>
      </c>
      <c r="I517" s="2">
        <f>F517 + G517 - H517</f>
        <v/>
      </c>
    </row>
    <row r="518">
      <c r="A518" t="n">
        <v>2285</v>
      </c>
      <c r="B518" t="inlineStr">
        <is>
          <t>Garda matt</t>
        </is>
      </c>
      <c r="C518" t="n">
        <v>64</v>
      </c>
      <c r="D518" t="n">
        <v>90</v>
      </c>
      <c r="E518" t="n">
        <v>300</v>
      </c>
      <c r="F518" t="n">
        <v>0</v>
      </c>
      <c r="G518">
        <f>SUMIF(PRISPELO!B:B, A518, PRISPELO!G:G)</f>
        <v/>
      </c>
      <c r="H518">
        <f>SUMIF(ODPIS!B:B, A518, ODPIS!G:G)</f>
        <v/>
      </c>
      <c r="I518" s="2">
        <f>F518 + G518 - H518</f>
        <v/>
      </c>
    </row>
    <row r="519">
      <c r="A519" t="n">
        <v>2287</v>
      </c>
      <c r="B519" t="inlineStr">
        <is>
          <t>Garda gloss</t>
        </is>
      </c>
      <c r="C519" t="n">
        <v>64</v>
      </c>
      <c r="D519" t="n">
        <v>90</v>
      </c>
      <c r="E519" t="n">
        <v>115</v>
      </c>
      <c r="F519" t="n">
        <v>200</v>
      </c>
      <c r="G519">
        <f>SUMIF(PRISPELO!B:B, A519, PRISPELO!G:G)</f>
        <v/>
      </c>
      <c r="H519">
        <f>SUMIF(ODPIS!B:B, A519, ODPIS!G:G)</f>
        <v/>
      </c>
      <c r="I519" s="2">
        <f>F519 + G519 - H519</f>
        <v/>
      </c>
    </row>
    <row r="520">
      <c r="A520" t="n">
        <v>2288</v>
      </c>
      <c r="B520" t="inlineStr">
        <is>
          <t>Garda gloss</t>
        </is>
      </c>
      <c r="C520" t="n">
        <v>100</v>
      </c>
      <c r="D520" t="n">
        <v>70</v>
      </c>
      <c r="E520" t="n">
        <v>250</v>
      </c>
      <c r="F520" t="n">
        <v>0</v>
      </c>
      <c r="G520">
        <f>SUMIF(PRISPELO!B:B, A520, PRISPELO!G:G)</f>
        <v/>
      </c>
      <c r="H520">
        <f>SUMIF(ODPIS!B:B, A520, ODPIS!G:G)</f>
        <v/>
      </c>
      <c r="I520" s="2">
        <f>F520 + G520 - H520</f>
        <v/>
      </c>
    </row>
    <row r="521">
      <c r="A521" t="n">
        <v>2290</v>
      </c>
      <c r="B521" t="inlineStr">
        <is>
          <t>Garda gloss</t>
        </is>
      </c>
      <c r="C521" t="n">
        <v>64</v>
      </c>
      <c r="D521" t="n">
        <v>90</v>
      </c>
      <c r="E521" t="n">
        <v>300</v>
      </c>
      <c r="F521" t="n">
        <v>0</v>
      </c>
      <c r="G521">
        <f>SUMIF(PRISPELO!B:B, A521, PRISPELO!G:G)</f>
        <v/>
      </c>
      <c r="H521">
        <f>SUMIF(ODPIS!B:B, A521, ODPIS!G:G)</f>
        <v/>
      </c>
      <c r="I521" s="2">
        <f>F521 + G521 - H521</f>
        <v/>
      </c>
    </row>
    <row r="522">
      <c r="A522" t="n">
        <v>2291</v>
      </c>
      <c r="B522" t="inlineStr">
        <is>
          <t>Garda matt</t>
        </is>
      </c>
      <c r="C522" t="n">
        <v>90</v>
      </c>
      <c r="D522" t="n">
        <v>64</v>
      </c>
      <c r="E522" t="n">
        <v>100</v>
      </c>
      <c r="F522" t="n">
        <v>0</v>
      </c>
      <c r="G522">
        <f>SUMIF(PRISPELO!B:B, A522, PRISPELO!G:G)</f>
        <v/>
      </c>
      <c r="H522">
        <f>SUMIF(ODPIS!B:B, A522, ODPIS!G:G)</f>
        <v/>
      </c>
      <c r="I522" s="2">
        <f>F522 + G522 - H522</f>
        <v/>
      </c>
    </row>
    <row r="523">
      <c r="A523" t="n">
        <v>2292</v>
      </c>
      <c r="B523" t="inlineStr">
        <is>
          <t>Garda matt</t>
        </is>
      </c>
      <c r="C523" t="n">
        <v>90</v>
      </c>
      <c r="D523" t="n">
        <v>64</v>
      </c>
      <c r="E523" t="n">
        <v>170</v>
      </c>
      <c r="F523" t="n">
        <v>80</v>
      </c>
      <c r="G523">
        <f>SUMIF(PRISPELO!B:B, A523, PRISPELO!G:G)</f>
        <v/>
      </c>
      <c r="H523">
        <f>SUMIF(ODPIS!B:B, A523, ODPIS!G:G)</f>
        <v/>
      </c>
      <c r="I523" s="2">
        <f>F523 + G523 - H523</f>
        <v/>
      </c>
    </row>
    <row r="524">
      <c r="A524" t="n">
        <v>2293</v>
      </c>
      <c r="B524" t="inlineStr">
        <is>
          <t>Garda gloss</t>
        </is>
      </c>
      <c r="C524" t="n">
        <v>100</v>
      </c>
      <c r="D524" t="n">
        <v>70</v>
      </c>
      <c r="E524" t="n">
        <v>130</v>
      </c>
      <c r="F524" t="n">
        <v>300</v>
      </c>
      <c r="G524">
        <f>SUMIF(PRISPELO!B:B, A524, PRISPELO!G:G)</f>
        <v/>
      </c>
      <c r="H524">
        <f>SUMIF(ODPIS!B:B, A524, ODPIS!G:G)</f>
        <v/>
      </c>
      <c r="I524" s="2">
        <f>F524 + G524 - H524</f>
        <v/>
      </c>
    </row>
    <row r="525">
      <c r="A525" t="n">
        <v>2294</v>
      </c>
      <c r="B525" t="inlineStr">
        <is>
          <t>Garda matt</t>
        </is>
      </c>
      <c r="C525" t="n">
        <v>70</v>
      </c>
      <c r="D525" t="n">
        <v>100</v>
      </c>
      <c r="E525" t="n">
        <v>200</v>
      </c>
      <c r="F525" t="n">
        <v>550</v>
      </c>
      <c r="G525">
        <f>SUMIF(PRISPELO!B:B, A525, PRISPELO!G:G)</f>
        <v/>
      </c>
      <c r="H525">
        <f>SUMIF(ODPIS!B:B, A525, ODPIS!G:G)</f>
        <v/>
      </c>
      <c r="I525" s="2">
        <f>F525 + G525 - H525</f>
        <v/>
      </c>
    </row>
    <row r="526">
      <c r="A526" t="n">
        <v>2295</v>
      </c>
      <c r="B526" t="inlineStr">
        <is>
          <t>Garda matt</t>
        </is>
      </c>
      <c r="C526" t="n">
        <v>70</v>
      </c>
      <c r="D526" t="n">
        <v>100</v>
      </c>
      <c r="E526" t="n">
        <v>250</v>
      </c>
      <c r="F526" t="n">
        <v>0</v>
      </c>
      <c r="G526">
        <f>SUMIF(PRISPELO!B:B, A526, PRISPELO!G:G)</f>
        <v/>
      </c>
      <c r="H526">
        <f>SUMIF(ODPIS!B:B, A526, ODPIS!G:G)</f>
        <v/>
      </c>
      <c r="I526" s="2">
        <f>F526 + G526 - H526</f>
        <v/>
      </c>
    </row>
    <row r="527">
      <c r="A527" t="n">
        <v>2296</v>
      </c>
      <c r="B527" t="inlineStr">
        <is>
          <t>Claro silk</t>
        </is>
      </c>
      <c r="C527" t="n">
        <v>45</v>
      </c>
      <c r="D527" t="n">
        <v>64</v>
      </c>
      <c r="E527" t="n">
        <v>170</v>
      </c>
      <c r="F527" t="n">
        <v>0</v>
      </c>
      <c r="G527">
        <f>SUMIF(PRISPELO!B:B, A527, PRISPELO!G:G)</f>
        <v/>
      </c>
      <c r="H527">
        <f>SUMIF(ODPIS!B:B, A527, ODPIS!G:G)</f>
        <v/>
      </c>
      <c r="I527" s="2">
        <f>F527 + G527 - H527</f>
        <v/>
      </c>
    </row>
    <row r="528">
      <c r="A528" t="n">
        <v>2297</v>
      </c>
      <c r="B528" t="inlineStr">
        <is>
          <t>Garda matt</t>
        </is>
      </c>
      <c r="C528" t="n">
        <v>100</v>
      </c>
      <c r="D528" t="n">
        <v>130</v>
      </c>
      <c r="E528" t="n">
        <v>70</v>
      </c>
      <c r="F528" t="n">
        <v>0</v>
      </c>
      <c r="G528">
        <f>SUMIF(PRISPELO!B:B, A528, PRISPELO!G:G)</f>
        <v/>
      </c>
      <c r="H528">
        <f>SUMIF(ODPIS!B:B, A528, ODPIS!G:G)</f>
        <v/>
      </c>
      <c r="I528" s="2">
        <f>F528 + G528 - H528</f>
        <v/>
      </c>
    </row>
    <row r="529">
      <c r="A529" t="n">
        <v>2298</v>
      </c>
      <c r="B529" t="inlineStr">
        <is>
          <t>Garda matt</t>
        </is>
      </c>
      <c r="C529" t="n">
        <v>70</v>
      </c>
      <c r="D529" t="n">
        <v>100</v>
      </c>
      <c r="E529" t="n">
        <v>130</v>
      </c>
      <c r="F529" t="n">
        <v>500</v>
      </c>
      <c r="G529">
        <f>SUMIF(PRISPELO!B:B, A529, PRISPELO!G:G)</f>
        <v/>
      </c>
      <c r="H529">
        <f>SUMIF(ODPIS!B:B, A529, ODPIS!G:G)</f>
        <v/>
      </c>
      <c r="I529" s="2">
        <f>F529 + G529 - H529</f>
        <v/>
      </c>
    </row>
    <row r="530">
      <c r="A530" t="n">
        <v>2299</v>
      </c>
      <c r="B530" t="inlineStr">
        <is>
          <t>Master print</t>
        </is>
      </c>
      <c r="C530" t="n">
        <v>64</v>
      </c>
      <c r="D530" t="n">
        <v>90</v>
      </c>
      <c r="E530" t="n">
        <v>100</v>
      </c>
      <c r="F530" t="n">
        <v>0</v>
      </c>
      <c r="G530">
        <f>SUMIF(PRISPELO!B:B, A530, PRISPELO!G:G)</f>
        <v/>
      </c>
      <c r="H530">
        <f>SUMIF(ODPIS!B:B, A530, ODPIS!G:G)</f>
        <v/>
      </c>
      <c r="I530" s="2">
        <f>F530 + G530 - H530</f>
        <v/>
      </c>
    </row>
    <row r="531">
      <c r="A531" t="n">
        <v>2300</v>
      </c>
      <c r="B531" t="inlineStr">
        <is>
          <t>Garda matt</t>
        </is>
      </c>
      <c r="C531" t="n">
        <v>90</v>
      </c>
      <c r="D531" t="n">
        <v>64</v>
      </c>
      <c r="E531" t="n">
        <v>200</v>
      </c>
      <c r="F531" t="n">
        <v>50</v>
      </c>
      <c r="G531">
        <f>SUMIF(PRISPELO!B:B, A531, PRISPELO!G:G)</f>
        <v/>
      </c>
      <c r="H531">
        <f>SUMIF(ODPIS!B:B, A531, ODPIS!G:G)</f>
        <v/>
      </c>
      <c r="I531" s="2">
        <f>F531 + G531 - H531</f>
        <v/>
      </c>
    </row>
    <row r="532">
      <c r="A532" t="n">
        <v>2301</v>
      </c>
      <c r="B532" t="inlineStr">
        <is>
          <t>Garda gloss</t>
        </is>
      </c>
      <c r="C532" t="n">
        <v>90</v>
      </c>
      <c r="D532" t="n">
        <v>64</v>
      </c>
      <c r="E532" t="n">
        <v>200</v>
      </c>
      <c r="F532" t="n">
        <v>0</v>
      </c>
      <c r="G532">
        <f>SUMIF(PRISPELO!B:B, A532, PRISPELO!G:G)</f>
        <v/>
      </c>
      <c r="H532">
        <f>SUMIF(ODPIS!B:B, A532, ODPIS!G:G)</f>
        <v/>
      </c>
      <c r="I532" s="2">
        <f>F532 + G532 - H532</f>
        <v/>
      </c>
    </row>
    <row r="533">
      <c r="A533" t="n">
        <v>2302</v>
      </c>
      <c r="B533" t="inlineStr">
        <is>
          <t>Garda matt</t>
        </is>
      </c>
      <c r="C533" t="n">
        <v>70</v>
      </c>
      <c r="D533" t="n">
        <v>100</v>
      </c>
      <c r="E533" t="n">
        <v>170</v>
      </c>
      <c r="F533" t="n">
        <v>150</v>
      </c>
      <c r="G533">
        <f>SUMIF(PRISPELO!B:B, A533, PRISPELO!G:G)</f>
        <v/>
      </c>
      <c r="H533">
        <f>SUMIF(ODPIS!B:B, A533, ODPIS!G:G)</f>
        <v/>
      </c>
      <c r="I533" s="2">
        <f>F533 + G533 - H533</f>
        <v/>
      </c>
    </row>
    <row r="534">
      <c r="A534" t="n">
        <v>2303</v>
      </c>
      <c r="B534" t="inlineStr">
        <is>
          <t>Garda matt</t>
        </is>
      </c>
      <c r="C534" t="n">
        <v>72</v>
      </c>
      <c r="D534" t="n">
        <v>102</v>
      </c>
      <c r="E534" t="n">
        <v>90</v>
      </c>
      <c r="F534" t="n">
        <v>0</v>
      </c>
      <c r="G534">
        <f>SUMIF(PRISPELO!B:B, A534, PRISPELO!G:G)</f>
        <v/>
      </c>
      <c r="H534">
        <f>SUMIF(ODPIS!B:B, A534, ODPIS!G:G)</f>
        <v/>
      </c>
      <c r="I534" s="2">
        <f>F534 + G534 - H534</f>
        <v/>
      </c>
    </row>
    <row r="535">
      <c r="A535" t="n">
        <v>2304</v>
      </c>
      <c r="B535" t="inlineStr">
        <is>
          <t>Garda matt</t>
        </is>
      </c>
      <c r="C535" t="n">
        <v>90</v>
      </c>
      <c r="D535" t="n">
        <v>64</v>
      </c>
      <c r="E535" t="n">
        <v>250</v>
      </c>
      <c r="F535" t="n">
        <v>200</v>
      </c>
      <c r="G535">
        <f>SUMIF(PRISPELO!B:B, A535, PRISPELO!G:G)</f>
        <v/>
      </c>
      <c r="H535">
        <f>SUMIF(ODPIS!B:B, A535, ODPIS!G:G)</f>
        <v/>
      </c>
      <c r="I535" s="2">
        <f>F535 + G535 - H535</f>
        <v/>
      </c>
    </row>
    <row r="536">
      <c r="A536" t="n">
        <v>2305</v>
      </c>
      <c r="B536" t="inlineStr">
        <is>
          <t>Pioneer</t>
        </is>
      </c>
      <c r="C536" t="n">
        <v>45</v>
      </c>
      <c r="D536" t="n">
        <v>64</v>
      </c>
      <c r="E536" t="n">
        <v>80</v>
      </c>
      <c r="F536" t="n">
        <v>0</v>
      </c>
      <c r="G536">
        <f>SUMIF(PRISPELO!B:B, A536, PRISPELO!G:G)</f>
        <v/>
      </c>
      <c r="H536">
        <f>SUMIF(ODPIS!B:B, A536, ODPIS!G:G)</f>
        <v/>
      </c>
      <c r="I536" s="2">
        <f>F536 + G536 - H536</f>
        <v/>
      </c>
    </row>
    <row r="537">
      <c r="A537" t="n">
        <v>2307</v>
      </c>
      <c r="B537" t="inlineStr">
        <is>
          <t>Garda matt</t>
        </is>
      </c>
      <c r="C537" t="n">
        <v>100</v>
      </c>
      <c r="D537" t="n">
        <v>70</v>
      </c>
      <c r="E537" t="n">
        <v>130</v>
      </c>
      <c r="F537" t="n">
        <v>0</v>
      </c>
      <c r="G537">
        <f>SUMIF(PRISPELO!B:B, A537, PRISPELO!G:G)</f>
        <v/>
      </c>
      <c r="H537">
        <f>SUMIF(ODPIS!B:B, A537, ODPIS!G:G)</f>
        <v/>
      </c>
      <c r="I537" s="2">
        <f>F537 + G537 - H537</f>
        <v/>
      </c>
    </row>
    <row r="538">
      <c r="A538" t="n">
        <v>2310</v>
      </c>
      <c r="B538" t="inlineStr">
        <is>
          <t>Garda gloss</t>
        </is>
      </c>
      <c r="C538" t="n">
        <v>72</v>
      </c>
      <c r="D538" t="n">
        <v>102</v>
      </c>
      <c r="E538" t="n">
        <v>90</v>
      </c>
      <c r="F538" t="n">
        <v>0</v>
      </c>
      <c r="G538">
        <f>SUMIF(PRISPELO!B:B, A538, PRISPELO!G:G)</f>
        <v/>
      </c>
      <c r="H538">
        <f>SUMIF(ODPIS!B:B, A538, ODPIS!G:G)</f>
        <v/>
      </c>
      <c r="I538" s="2">
        <f>F538 + G538 - H538</f>
        <v/>
      </c>
    </row>
    <row r="539">
      <c r="A539" t="n">
        <v>2946</v>
      </c>
      <c r="B539" t="inlineStr">
        <is>
          <t>kuverte conqeror wove pearl C5 BO</t>
        </is>
      </c>
      <c r="C539" t="n">
        <v>22</v>
      </c>
      <c r="D539" t="n">
        <v>11</v>
      </c>
      <c r="E539" t="n">
        <v>120</v>
      </c>
      <c r="F539" t="n">
        <v>0</v>
      </c>
      <c r="G539">
        <f>SUMIF(PRISPELO!B:B, A539, PRISPELO!G:G)</f>
        <v/>
      </c>
      <c r="H539">
        <f>SUMIF(ODPIS!B:B, A539, ODPIS!G:G)</f>
        <v/>
      </c>
      <c r="I539" s="2">
        <f>F539 + G539 - H539</f>
        <v/>
      </c>
    </row>
    <row r="540">
      <c r="A540" t="n">
        <v>2311</v>
      </c>
      <c r="B540" t="inlineStr">
        <is>
          <t>Garda gloss</t>
        </is>
      </c>
      <c r="C540" t="n">
        <v>70</v>
      </c>
      <c r="D540" t="n">
        <v>100</v>
      </c>
      <c r="E540" t="n">
        <v>170</v>
      </c>
      <c r="F540" t="n">
        <v>0</v>
      </c>
      <c r="G540">
        <f>SUMIF(PRISPELO!B:B, A540, PRISPELO!G:G)</f>
        <v/>
      </c>
      <c r="H540">
        <f>SUMIF(ODPIS!B:B, A540, ODPIS!G:G)</f>
        <v/>
      </c>
      <c r="I540" s="2">
        <f>F540 + G540 - H540</f>
        <v/>
      </c>
    </row>
    <row r="541">
      <c r="A541" t="n">
        <v>2312</v>
      </c>
      <c r="B541" t="inlineStr">
        <is>
          <t>Claro silk</t>
        </is>
      </c>
      <c r="C541" t="n">
        <v>70</v>
      </c>
      <c r="D541" t="n">
        <v>50</v>
      </c>
      <c r="E541" t="n">
        <v>135</v>
      </c>
      <c r="F541" t="n">
        <v>0</v>
      </c>
      <c r="G541">
        <f>SUMIF(PRISPELO!B:B, A541, PRISPELO!G:G)</f>
        <v/>
      </c>
      <c r="H541">
        <f>SUMIF(ODPIS!B:B, A541, ODPIS!G:G)</f>
        <v/>
      </c>
      <c r="I541" s="2">
        <f>F541 + G541 - H541</f>
        <v/>
      </c>
    </row>
    <row r="542">
      <c r="A542" t="n">
        <v>2313</v>
      </c>
      <c r="B542" t="inlineStr">
        <is>
          <t>Master print</t>
        </is>
      </c>
      <c r="C542" t="n">
        <v>90</v>
      </c>
      <c r="D542" t="n">
        <v>64</v>
      </c>
      <c r="E542" t="n">
        <v>70</v>
      </c>
      <c r="F542" t="n">
        <v>0</v>
      </c>
      <c r="G542">
        <f>SUMIF(PRISPELO!B:B, A542, PRISPELO!G:G)</f>
        <v/>
      </c>
      <c r="H542">
        <f>SUMIF(ODPIS!B:B, A542, ODPIS!G:G)</f>
        <v/>
      </c>
      <c r="I542" s="2">
        <f>F542 + G542 - H542</f>
        <v/>
      </c>
    </row>
    <row r="543">
      <c r="A543" t="n">
        <v>2314</v>
      </c>
      <c r="B543" t="inlineStr">
        <is>
          <t>MASTER print</t>
        </is>
      </c>
      <c r="C543" t="n">
        <v>100</v>
      </c>
      <c r="D543" t="n">
        <v>70</v>
      </c>
      <c r="E543" t="n">
        <v>70</v>
      </c>
      <c r="F543" t="n">
        <v>0</v>
      </c>
      <c r="G543">
        <f>SUMIF(PRISPELO!B:B, A543, PRISPELO!G:G)</f>
        <v/>
      </c>
      <c r="H543">
        <f>SUMIF(ODPIS!B:B, A543, ODPIS!G:G)</f>
        <v/>
      </c>
      <c r="I543" s="2">
        <f>F543 + G543 - H543</f>
        <v/>
      </c>
    </row>
    <row r="544">
      <c r="A544" t="n">
        <v>2315</v>
      </c>
      <c r="B544" t="inlineStr">
        <is>
          <t>Garda matt</t>
        </is>
      </c>
      <c r="C544" t="n">
        <v>100</v>
      </c>
      <c r="D544" t="n">
        <v>70</v>
      </c>
      <c r="E544" t="n">
        <v>150</v>
      </c>
      <c r="F544" t="n">
        <v>150</v>
      </c>
      <c r="G544">
        <f>SUMIF(PRISPELO!B:B, A544, PRISPELO!G:G)</f>
        <v/>
      </c>
      <c r="H544">
        <f>SUMIF(ODPIS!B:B, A544, ODPIS!G:G)</f>
        <v/>
      </c>
      <c r="I544" s="2">
        <f>F544 + G544 - H544</f>
        <v/>
      </c>
    </row>
    <row r="545">
      <c r="A545" t="n">
        <v>2316</v>
      </c>
      <c r="B545" t="inlineStr">
        <is>
          <t>Garda gloss</t>
        </is>
      </c>
      <c r="C545" t="n">
        <v>100</v>
      </c>
      <c r="D545" t="n">
        <v>70</v>
      </c>
      <c r="E545" t="n">
        <v>300</v>
      </c>
      <c r="F545" t="n">
        <v>0</v>
      </c>
      <c r="G545">
        <f>SUMIF(PRISPELO!B:B, A545, PRISPELO!G:G)</f>
        <v/>
      </c>
      <c r="H545">
        <f>SUMIF(ODPIS!B:B, A545, ODPIS!G:G)</f>
        <v/>
      </c>
      <c r="I545" s="2">
        <f>F545 + G545 - H545</f>
        <v/>
      </c>
    </row>
    <row r="546">
      <c r="A546" t="n">
        <v>2317</v>
      </c>
      <c r="B546" t="inlineStr">
        <is>
          <t>Olin regular high white</t>
        </is>
      </c>
      <c r="C546" t="n">
        <v>46</v>
      </c>
      <c r="D546" t="n">
        <v>64</v>
      </c>
      <c r="E546" t="n">
        <v>150</v>
      </c>
      <c r="F546" t="n">
        <v>0</v>
      </c>
      <c r="G546">
        <f>SUMIF(PRISPELO!B:B, A546, PRISPELO!G:G)</f>
        <v/>
      </c>
      <c r="H546">
        <f>SUMIF(ODPIS!B:B, A546, ODPIS!G:G)</f>
        <v/>
      </c>
      <c r="I546" s="2">
        <f>F546 + G546 - H546</f>
        <v/>
      </c>
    </row>
    <row r="547">
      <c r="A547" t="n">
        <v>2318</v>
      </c>
      <c r="B547" t="inlineStr">
        <is>
          <t>Olin regular high white</t>
        </is>
      </c>
      <c r="C547" t="n">
        <v>72</v>
      </c>
      <c r="D547" t="n">
        <v>102</v>
      </c>
      <c r="E547" t="n">
        <v>300</v>
      </c>
      <c r="F547" t="n">
        <v>0</v>
      </c>
      <c r="G547">
        <f>SUMIF(PRISPELO!B:B, A547, PRISPELO!G:G)</f>
        <v/>
      </c>
      <c r="H547">
        <f>SUMIF(ODPIS!B:B, A547, ODPIS!G:G)</f>
        <v/>
      </c>
      <c r="I547" s="2">
        <f>F547 + G547 - H547</f>
        <v/>
      </c>
    </row>
    <row r="548">
      <c r="A548" t="n">
        <v>2321</v>
      </c>
      <c r="B548" t="inlineStr">
        <is>
          <t>Garda matt</t>
        </is>
      </c>
      <c r="C548" t="n">
        <v>64</v>
      </c>
      <c r="D548" t="n">
        <v>90</v>
      </c>
      <c r="E548" t="n">
        <v>150</v>
      </c>
      <c r="F548" t="n">
        <v>0</v>
      </c>
      <c r="G548">
        <f>SUMIF(PRISPELO!B:B, A548, PRISPELO!G:G)</f>
        <v/>
      </c>
      <c r="H548">
        <f>SUMIF(ODPIS!B:B, A548, ODPIS!G:G)</f>
        <v/>
      </c>
      <c r="I548" s="2">
        <f>F548 + G548 - H548</f>
        <v/>
      </c>
    </row>
    <row r="549">
      <c r="A549" t="n">
        <v>2322</v>
      </c>
      <c r="B549" t="inlineStr">
        <is>
          <t>Garda gloss</t>
        </is>
      </c>
      <c r="C549" t="n">
        <v>64</v>
      </c>
      <c r="D549" t="n">
        <v>90</v>
      </c>
      <c r="E549" t="n">
        <v>200</v>
      </c>
      <c r="F549" t="n">
        <v>0</v>
      </c>
      <c r="G549">
        <f>SUMIF(PRISPELO!B:B, A549, PRISPELO!G:G)</f>
        <v/>
      </c>
      <c r="H549">
        <f>SUMIF(ODPIS!B:B, A549, ODPIS!G:G)</f>
        <v/>
      </c>
      <c r="I549" s="2">
        <f>F549 + G549 - H549</f>
        <v/>
      </c>
    </row>
    <row r="550">
      <c r="A550" t="n">
        <v>2323</v>
      </c>
      <c r="B550" t="inlineStr">
        <is>
          <t>STARKRAFT BELI NATRON</t>
        </is>
      </c>
      <c r="C550" t="n">
        <v>90</v>
      </c>
      <c r="D550" t="n">
        <v>126</v>
      </c>
      <c r="E550" t="n">
        <v>90</v>
      </c>
      <c r="F550" t="n">
        <v>0</v>
      </c>
      <c r="G550">
        <f>SUMIF(PRISPELO!B:B, A550, PRISPELO!G:G)</f>
        <v/>
      </c>
      <c r="H550">
        <f>SUMIF(ODPIS!B:B, A550, ODPIS!G:G)</f>
        <v/>
      </c>
      <c r="I550" s="2">
        <f>F550 + G550 - H550</f>
        <v/>
      </c>
    </row>
    <row r="551">
      <c r="A551" t="n">
        <v>2324</v>
      </c>
      <c r="B551" t="inlineStr">
        <is>
          <t>Garda gloss</t>
        </is>
      </c>
      <c r="C551" t="n">
        <v>90</v>
      </c>
      <c r="D551" t="n">
        <v>64</v>
      </c>
      <c r="E551" t="n">
        <v>300</v>
      </c>
      <c r="F551" t="n">
        <v>0</v>
      </c>
      <c r="G551">
        <f>SUMIF(PRISPELO!B:B, A551, PRISPELO!G:G)</f>
        <v/>
      </c>
      <c r="H551">
        <f>SUMIF(ODPIS!B:B, A551, ODPIS!G:G)</f>
        <v/>
      </c>
      <c r="I551" s="2">
        <f>F551 + G551 - H551</f>
        <v/>
      </c>
    </row>
    <row r="552">
      <c r="A552" t="n">
        <v>2325</v>
      </c>
      <c r="B552" t="inlineStr">
        <is>
          <t>Garda matt</t>
        </is>
      </c>
      <c r="C552" t="n">
        <v>64</v>
      </c>
      <c r="D552" t="n">
        <v>90</v>
      </c>
      <c r="E552" t="n">
        <v>130</v>
      </c>
      <c r="F552" t="n">
        <v>0</v>
      </c>
      <c r="G552">
        <f>SUMIF(PRISPELO!B:B, A552, PRISPELO!G:G)</f>
        <v/>
      </c>
      <c r="H552">
        <f>SUMIF(ODPIS!B:B, A552, ODPIS!G:G)</f>
        <v/>
      </c>
      <c r="I552" s="2">
        <f>F552 + G552 - H552</f>
        <v/>
      </c>
    </row>
    <row r="553">
      <c r="A553" t="n">
        <v>2935</v>
      </c>
      <c r="B553" t="inlineStr">
        <is>
          <t>Kuverte GALAXY METALIC</t>
        </is>
      </c>
      <c r="C553" t="n">
        <v>16.2</v>
      </c>
      <c r="D553" t="n">
        <v>22.9</v>
      </c>
      <c r="E553" t="n">
        <v>110</v>
      </c>
      <c r="F553" t="n">
        <v>0</v>
      </c>
      <c r="G553">
        <f>SUMIF(PRISPELO!B:B, A553, PRISPELO!G:G)</f>
        <v/>
      </c>
      <c r="H553">
        <f>SUMIF(ODPIS!B:B, A553, ODPIS!G:G)</f>
        <v/>
      </c>
      <c r="I553" s="2">
        <f>F553 + G553 - H553</f>
        <v/>
      </c>
    </row>
    <row r="554">
      <c r="A554" t="n">
        <v>2326</v>
      </c>
      <c r="B554" t="inlineStr">
        <is>
          <t>Claro silk</t>
        </is>
      </c>
      <c r="C554" t="n">
        <v>64</v>
      </c>
      <c r="D554" t="n">
        <v>45</v>
      </c>
      <c r="E554" t="n">
        <v>100</v>
      </c>
      <c r="F554" t="n">
        <v>0</v>
      </c>
      <c r="G554">
        <f>SUMIF(PRISPELO!B:B, A554, PRISPELO!G:G)</f>
        <v/>
      </c>
      <c r="H554">
        <f>SUMIF(ODPIS!B:B, A554, ODPIS!G:G)</f>
        <v/>
      </c>
      <c r="I554" s="2">
        <f>F554 + G554 - H554</f>
        <v/>
      </c>
    </row>
    <row r="555">
      <c r="A555" t="n">
        <v>2327</v>
      </c>
      <c r="B555" t="inlineStr">
        <is>
          <t>Biogloss</t>
        </is>
      </c>
      <c r="C555" t="n">
        <v>64</v>
      </c>
      <c r="D555" t="n">
        <v>88</v>
      </c>
      <c r="E555" t="n">
        <v>130</v>
      </c>
      <c r="F555" t="n">
        <v>0</v>
      </c>
      <c r="G555">
        <f>SUMIF(PRISPELO!B:B, A555, PRISPELO!G:G)</f>
        <v/>
      </c>
      <c r="H555">
        <f>SUMIF(ODPIS!B:B, A555, ODPIS!G:G)</f>
        <v/>
      </c>
      <c r="I555" s="2">
        <f>F555 + G555 - H555</f>
        <v/>
      </c>
    </row>
    <row r="556">
      <c r="A556" t="n">
        <v>2330</v>
      </c>
      <c r="B556" t="inlineStr">
        <is>
          <t>CLARO BULK</t>
        </is>
      </c>
      <c r="C556" t="n">
        <v>100</v>
      </c>
      <c r="D556" t="n">
        <v>70</v>
      </c>
      <c r="E556" t="n">
        <v>135</v>
      </c>
      <c r="F556" t="n">
        <v>0</v>
      </c>
      <c r="G556">
        <f>SUMIF(PRISPELO!B:B, A556, PRISPELO!G:G)</f>
        <v/>
      </c>
      <c r="H556">
        <f>SUMIF(ODPIS!B:B, A556, ODPIS!G:G)</f>
        <v/>
      </c>
      <c r="I556" s="2">
        <f>F556 + G556 - H556</f>
        <v/>
      </c>
    </row>
    <row r="557">
      <c r="A557" t="n">
        <v>2489</v>
      </c>
      <c r="B557" t="inlineStr">
        <is>
          <t>kuverta B4 PREMIUM BO SI</t>
        </is>
      </c>
      <c r="C557" t="n">
        <v>25</v>
      </c>
      <c r="D557" t="n">
        <v>35</v>
      </c>
      <c r="E557" t="n">
        <v>120</v>
      </c>
      <c r="F557" t="n">
        <v>0</v>
      </c>
      <c r="G557">
        <f>SUMIF(PRISPELO!B:B, A557, PRISPELO!G:G)</f>
        <v/>
      </c>
      <c r="H557">
        <f>SUMIF(ODPIS!B:B, A557, ODPIS!G:G)</f>
        <v/>
      </c>
      <c r="I557" s="2">
        <f>F557 + G557 - H557</f>
        <v/>
      </c>
    </row>
    <row r="558">
      <c r="A558" t="n">
        <v>2332</v>
      </c>
      <c r="B558" t="inlineStr">
        <is>
          <t>Garda gloss</t>
        </is>
      </c>
      <c r="C558" t="n">
        <v>64</v>
      </c>
      <c r="D558" t="n">
        <v>90</v>
      </c>
      <c r="E558" t="n">
        <v>150</v>
      </c>
      <c r="F558" t="n">
        <v>0</v>
      </c>
      <c r="G558">
        <f>SUMIF(PRISPELO!B:B, A558, PRISPELO!G:G)</f>
        <v/>
      </c>
      <c r="H558">
        <f>SUMIF(ODPIS!B:B, A558, ODPIS!G:G)</f>
        <v/>
      </c>
      <c r="I558" s="2">
        <f>F558 + G558 - H558</f>
        <v/>
      </c>
    </row>
    <row r="559">
      <c r="A559" t="n">
        <v>2333</v>
      </c>
      <c r="B559" t="inlineStr">
        <is>
          <t>Garda gloss</t>
        </is>
      </c>
      <c r="C559" t="n">
        <v>70</v>
      </c>
      <c r="D559" t="n">
        <v>100</v>
      </c>
      <c r="E559" t="n">
        <v>130</v>
      </c>
      <c r="F559" t="n">
        <v>300</v>
      </c>
      <c r="G559">
        <f>SUMIF(PRISPELO!B:B, A559, PRISPELO!G:G)</f>
        <v/>
      </c>
      <c r="H559">
        <f>SUMIF(ODPIS!B:B, A559, ODPIS!G:G)</f>
        <v/>
      </c>
      <c r="I559" s="2">
        <f>F559 + G559 - H559</f>
        <v/>
      </c>
    </row>
    <row r="560">
      <c r="A560" t="n">
        <v>2334</v>
      </c>
      <c r="B560" t="inlineStr">
        <is>
          <t>Garda gloss</t>
        </is>
      </c>
      <c r="C560" t="n">
        <v>70</v>
      </c>
      <c r="D560" t="n">
        <v>100</v>
      </c>
      <c r="E560" t="n">
        <v>90</v>
      </c>
      <c r="F560" t="n">
        <v>10000</v>
      </c>
      <c r="G560">
        <f>SUMIF(PRISPELO!B:B, A560, PRISPELO!G:G)</f>
        <v/>
      </c>
      <c r="H560">
        <f>SUMIF(ODPIS!B:B, A560, ODPIS!G:G)</f>
        <v/>
      </c>
      <c r="I560" s="2">
        <f>F560 + G560 - H560</f>
        <v/>
      </c>
    </row>
    <row r="561">
      <c r="A561" t="n">
        <v>2335</v>
      </c>
      <c r="B561" t="inlineStr">
        <is>
          <t>CYCLUS OFFSET</t>
        </is>
      </c>
      <c r="C561" t="n">
        <v>64</v>
      </c>
      <c r="D561" t="n">
        <v>90</v>
      </c>
      <c r="E561" t="n">
        <v>115</v>
      </c>
      <c r="F561" t="n">
        <v>0</v>
      </c>
      <c r="G561">
        <f>SUMIF(PRISPELO!B:B, A561, PRISPELO!G:G)</f>
        <v/>
      </c>
      <c r="H561">
        <f>SUMIF(ODPIS!B:B, A561, ODPIS!G:G)</f>
        <v/>
      </c>
      <c r="I561" s="2">
        <f>F561 + G561 - H561</f>
        <v/>
      </c>
    </row>
    <row r="562">
      <c r="A562" t="n">
        <v>2336</v>
      </c>
      <c r="B562" t="inlineStr">
        <is>
          <t>CYCLUS OFFSET</t>
        </is>
      </c>
      <c r="C562" t="n">
        <v>70</v>
      </c>
      <c r="D562" t="n">
        <v>100</v>
      </c>
      <c r="E562" t="n">
        <v>200</v>
      </c>
      <c r="F562" t="n">
        <v>0</v>
      </c>
      <c r="G562">
        <f>SUMIF(PRISPELO!B:B, A562, PRISPELO!G:G)</f>
        <v/>
      </c>
      <c r="H562">
        <f>SUMIF(ODPIS!B:B, A562, ODPIS!G:G)</f>
        <v/>
      </c>
      <c r="I562" s="2">
        <f>F562 + G562 - H562</f>
        <v/>
      </c>
    </row>
    <row r="563">
      <c r="A563" t="n">
        <v>2337</v>
      </c>
      <c r="B563" t="inlineStr">
        <is>
          <t>Garda matt</t>
        </is>
      </c>
      <c r="C563" t="n">
        <v>100</v>
      </c>
      <c r="D563" t="n">
        <v>70</v>
      </c>
      <c r="E563" t="n">
        <v>200</v>
      </c>
      <c r="F563" t="n">
        <v>1000</v>
      </c>
      <c r="G563">
        <f>SUMIF(PRISPELO!B:B, A563, PRISPELO!G:G)</f>
        <v/>
      </c>
      <c r="H563">
        <f>SUMIF(ODPIS!B:B, A563, ODPIS!G:G)</f>
        <v/>
      </c>
      <c r="I563" s="2">
        <f>F563 + G563 - H563</f>
        <v/>
      </c>
    </row>
    <row r="564">
      <c r="A564" t="n">
        <v>2006</v>
      </c>
      <c r="B564" t="inlineStr">
        <is>
          <t>Kuverta amerikanka OLIN F</t>
        </is>
      </c>
      <c r="C564" t="n">
        <v>11</v>
      </c>
      <c r="D564" t="n">
        <v>22</v>
      </c>
      <c r="E564" t="n">
        <v>90</v>
      </c>
      <c r="F564" t="n">
        <v>0</v>
      </c>
      <c r="G564">
        <f>SUMIF(PRISPELO!B:B, A564, PRISPELO!G:G)</f>
        <v/>
      </c>
      <c r="H564">
        <f>SUMIF(ODPIS!B:B, A564, ODPIS!G:G)</f>
        <v/>
      </c>
      <c r="I564" s="2">
        <f>F564 + G564 - H564</f>
        <v/>
      </c>
    </row>
    <row r="565">
      <c r="A565" t="n">
        <v>2338</v>
      </c>
      <c r="B565" t="inlineStr">
        <is>
          <t>MASTER Print</t>
        </is>
      </c>
      <c r="C565" t="n">
        <v>100</v>
      </c>
      <c r="D565" t="n">
        <v>70</v>
      </c>
      <c r="E565" t="n">
        <v>140</v>
      </c>
      <c r="F565" t="n">
        <v>0</v>
      </c>
      <c r="G565">
        <f>SUMIF(PRISPELO!B:B, A565, PRISPELO!G:G)</f>
        <v/>
      </c>
      <c r="H565">
        <f>SUMIF(ODPIS!B:B, A565, ODPIS!G:G)</f>
        <v/>
      </c>
      <c r="I565" s="2">
        <f>F565 + G565 - H565</f>
        <v/>
      </c>
    </row>
    <row r="566">
      <c r="A566" t="n">
        <v>2340</v>
      </c>
      <c r="B566" t="inlineStr">
        <is>
          <t>Garda gloss</t>
        </is>
      </c>
      <c r="C566" t="n">
        <v>100</v>
      </c>
      <c r="D566" t="n">
        <v>70</v>
      </c>
      <c r="E566" t="n">
        <v>170</v>
      </c>
      <c r="F566" t="n">
        <v>300</v>
      </c>
      <c r="G566">
        <f>SUMIF(PRISPELO!B:B, A566, PRISPELO!G:G)</f>
        <v/>
      </c>
      <c r="H566">
        <f>SUMIF(ODPIS!B:B, A566, ODPIS!G:G)</f>
        <v/>
      </c>
      <c r="I566" s="2">
        <f>F566 + G566 - H566</f>
        <v/>
      </c>
    </row>
    <row r="567">
      <c r="A567" t="n">
        <v>2341</v>
      </c>
      <c r="B567" t="inlineStr">
        <is>
          <t>CLARO BULK</t>
        </is>
      </c>
      <c r="C567" t="n">
        <v>90</v>
      </c>
      <c r="D567" t="n">
        <v>64</v>
      </c>
      <c r="E567" t="n">
        <v>150</v>
      </c>
      <c r="F567" t="n">
        <v>0</v>
      </c>
      <c r="G567">
        <f>SUMIF(PRISPELO!B:B, A567, PRISPELO!G:G)</f>
        <v/>
      </c>
      <c r="H567">
        <f>SUMIF(ODPIS!B:B, A567, ODPIS!G:G)</f>
        <v/>
      </c>
      <c r="I567" s="2">
        <f>F567 + G567 - H567</f>
        <v/>
      </c>
    </row>
    <row r="568">
      <c r="A568" t="n">
        <v>2344</v>
      </c>
      <c r="B568" t="inlineStr">
        <is>
          <t>CLARO BULK</t>
        </is>
      </c>
      <c r="C568" t="n">
        <v>90</v>
      </c>
      <c r="D568" t="n">
        <v>64</v>
      </c>
      <c r="E568" t="n">
        <v>250</v>
      </c>
      <c r="F568" t="n">
        <v>0</v>
      </c>
      <c r="G568">
        <f>SUMIF(PRISPELO!B:B, A568, PRISPELO!G:G)</f>
        <v/>
      </c>
      <c r="H568">
        <f>SUMIF(ODPIS!B:B, A568, ODPIS!G:G)</f>
        <v/>
      </c>
      <c r="I568" s="2">
        <f>F568 + G568 - H568</f>
        <v/>
      </c>
    </row>
    <row r="569">
      <c r="A569" t="n">
        <v>2345</v>
      </c>
      <c r="B569" t="inlineStr">
        <is>
          <t>Master print</t>
        </is>
      </c>
      <c r="C569" t="n">
        <v>86</v>
      </c>
      <c r="D569" t="n">
        <v>61</v>
      </c>
      <c r="E569" t="n">
        <v>90</v>
      </c>
      <c r="F569" t="n">
        <v>0</v>
      </c>
      <c r="G569">
        <f>SUMIF(PRISPELO!B:B, A569, PRISPELO!G:G)</f>
        <v/>
      </c>
      <c r="H569">
        <f>SUMIF(ODPIS!B:B, A569, ODPIS!G:G)</f>
        <v/>
      </c>
      <c r="I569" s="2">
        <f>F569 + G569 - H569</f>
        <v/>
      </c>
    </row>
    <row r="570">
      <c r="A570" t="n">
        <v>2484</v>
      </c>
      <c r="B570" t="inlineStr">
        <is>
          <t>kuverta amerikanka n.k OL 22*11</t>
        </is>
      </c>
      <c r="C570" t="n">
        <v>22</v>
      </c>
      <c r="D570" t="n">
        <v>11</v>
      </c>
      <c r="E570" t="n">
        <v>90</v>
      </c>
      <c r="F570" t="n">
        <v>0</v>
      </c>
      <c r="G570">
        <f>SUMIF(PRISPELO!B:B, A570, PRISPELO!G:G)</f>
        <v/>
      </c>
      <c r="H570">
        <f>SUMIF(ODPIS!B:B, A570, ODPIS!G:G)</f>
        <v/>
      </c>
      <c r="I570" s="2">
        <f>F570 + G570 - H570</f>
        <v/>
      </c>
    </row>
    <row r="571">
      <c r="A571" t="n">
        <v>2346</v>
      </c>
      <c r="B571" t="inlineStr">
        <is>
          <t>Garda matt</t>
        </is>
      </c>
      <c r="C571" t="n">
        <v>100</v>
      </c>
      <c r="D571" t="n">
        <v>70</v>
      </c>
      <c r="E571" t="n">
        <v>250</v>
      </c>
      <c r="F571" t="n">
        <v>200</v>
      </c>
      <c r="G571">
        <f>SUMIF(PRISPELO!B:B, A571, PRISPELO!G:G)</f>
        <v/>
      </c>
      <c r="H571">
        <f>SUMIF(ODPIS!B:B, A571, ODPIS!G:G)</f>
        <v/>
      </c>
      <c r="I571" s="2">
        <f>F571 + G571 - H571</f>
        <v/>
      </c>
    </row>
    <row r="572">
      <c r="A572" t="n">
        <v>2347</v>
      </c>
      <c r="B572" t="inlineStr">
        <is>
          <t>Samolepilni Raflatac Antique white</t>
        </is>
      </c>
      <c r="C572" t="n">
        <v>50</v>
      </c>
      <c r="D572" t="n">
        <v>70</v>
      </c>
      <c r="E572" t="n">
        <v>90</v>
      </c>
      <c r="F572" t="n">
        <v>0</v>
      </c>
      <c r="G572">
        <f>SUMIF(PRISPELO!B:B, A572, PRISPELO!G:G)</f>
        <v/>
      </c>
      <c r="H572">
        <f>SUMIF(ODPIS!B:B, A572, ODPIS!G:G)</f>
        <v/>
      </c>
      <c r="I572" s="2">
        <f>F572 + G572 - H572</f>
        <v/>
      </c>
    </row>
    <row r="573">
      <c r="A573" t="n">
        <v>2348</v>
      </c>
      <c r="B573" t="inlineStr">
        <is>
          <t>Gardamatt</t>
        </is>
      </c>
      <c r="C573" t="n">
        <v>90</v>
      </c>
      <c r="D573" t="n">
        <v>64</v>
      </c>
      <c r="E573" t="n">
        <v>300</v>
      </c>
      <c r="F573" t="n">
        <v>500</v>
      </c>
      <c r="G573">
        <f>SUMIF(PRISPELO!B:B, A573, PRISPELO!G:G)</f>
        <v/>
      </c>
      <c r="H573">
        <f>SUMIF(ODPIS!B:B, A573, ODPIS!G:G)</f>
        <v/>
      </c>
      <c r="I573" s="2">
        <f>F573 + G573 - H573</f>
        <v/>
      </c>
    </row>
    <row r="574">
      <c r="A574" t="n">
        <v>2353</v>
      </c>
      <c r="B574" t="inlineStr">
        <is>
          <t>Garda matt</t>
        </is>
      </c>
      <c r="C574" t="n">
        <v>90</v>
      </c>
      <c r="D574" t="n">
        <v>64</v>
      </c>
      <c r="E574" t="n">
        <v>90</v>
      </c>
      <c r="F574" t="n">
        <v>0</v>
      </c>
      <c r="G574">
        <f>SUMIF(PRISPELO!B:B, A574, PRISPELO!G:G)</f>
        <v/>
      </c>
      <c r="H574">
        <f>SUMIF(ODPIS!B:B, A574, ODPIS!G:G)</f>
        <v/>
      </c>
      <c r="I574" s="2">
        <f>F574 + G574 - H574</f>
        <v/>
      </c>
    </row>
    <row r="575">
      <c r="A575" t="n">
        <v>2354</v>
      </c>
      <c r="B575" t="inlineStr">
        <is>
          <t>Garda gloss</t>
        </is>
      </c>
      <c r="C575" t="n">
        <v>64</v>
      </c>
      <c r="D575" t="n">
        <v>90</v>
      </c>
      <c r="E575" t="n">
        <v>170</v>
      </c>
      <c r="F575" t="n">
        <v>0</v>
      </c>
      <c r="G575">
        <f>SUMIF(PRISPELO!B:B, A575, PRISPELO!G:G)</f>
        <v/>
      </c>
      <c r="H575">
        <f>SUMIF(ODPIS!B:B, A575, ODPIS!G:G)</f>
        <v/>
      </c>
      <c r="I575" s="2">
        <f>F575 + G575 - H575</f>
        <v/>
      </c>
    </row>
    <row r="576">
      <c r="A576" t="n">
        <v>2355</v>
      </c>
      <c r="B576" t="inlineStr">
        <is>
          <t>Master print</t>
        </is>
      </c>
      <c r="C576" t="n">
        <v>64</v>
      </c>
      <c r="D576" t="n">
        <v>90</v>
      </c>
      <c r="E576" t="n">
        <v>120</v>
      </c>
      <c r="F576" t="n">
        <v>0</v>
      </c>
      <c r="G576">
        <f>SUMIF(PRISPELO!B:B, A576, PRISPELO!G:G)</f>
        <v/>
      </c>
      <c r="H576">
        <f>SUMIF(ODPIS!B:B, A576, ODPIS!G:G)</f>
        <v/>
      </c>
      <c r="I576" s="2">
        <f>F576 + G576 - H576</f>
        <v/>
      </c>
    </row>
    <row r="577">
      <c r="A577" t="n">
        <v>2754</v>
      </c>
      <c r="B577" t="inlineStr">
        <is>
          <t>GIROFORM CFB RUMEN</t>
        </is>
      </c>
      <c r="C577" t="n">
        <v>32</v>
      </c>
      <c r="D577" t="n">
        <v>45</v>
      </c>
      <c r="E577" t="n">
        <v>80</v>
      </c>
      <c r="F577" t="n">
        <v>0</v>
      </c>
      <c r="G577">
        <f>SUMIF(PRISPELO!B:B, A577, PRISPELO!G:G)</f>
        <v/>
      </c>
      <c r="H577">
        <f>SUMIF(ODPIS!B:B, A577, ODPIS!G:G)</f>
        <v/>
      </c>
      <c r="I577" s="2">
        <f>F577 + G577 - H577</f>
        <v/>
      </c>
    </row>
    <row r="578">
      <c r="A578" t="n">
        <v>2357</v>
      </c>
      <c r="B578" t="inlineStr">
        <is>
          <t>Gardamatt</t>
        </is>
      </c>
      <c r="C578" t="n">
        <v>63.8</v>
      </c>
      <c r="D578" t="n">
        <v>44.8</v>
      </c>
      <c r="E578" t="n">
        <v>115</v>
      </c>
      <c r="F578" t="n">
        <v>0</v>
      </c>
      <c r="G578">
        <f>SUMIF(PRISPELO!B:B, A578, PRISPELO!G:G)</f>
        <v/>
      </c>
      <c r="H578">
        <f>SUMIF(ODPIS!B:B, A578, ODPIS!G:G)</f>
        <v/>
      </c>
      <c r="I578" s="2">
        <f>F578 + G578 - H578</f>
        <v/>
      </c>
    </row>
    <row r="579">
      <c r="A579" t="n">
        <v>2001</v>
      </c>
      <c r="B579" t="inlineStr">
        <is>
          <t>Kuverta C4 FSC HAFTFIX BO</t>
        </is>
      </c>
      <c r="C579" t="n">
        <v>22.9</v>
      </c>
      <c r="D579" t="n">
        <v>32.4</v>
      </c>
      <c r="E579" t="n">
        <v>100</v>
      </c>
      <c r="F579" t="n">
        <v>0</v>
      </c>
      <c r="G579">
        <f>SUMIF(PRISPELO!B:B, A579, PRISPELO!G:G)</f>
        <v/>
      </c>
      <c r="H579">
        <f>SUMIF(ODPIS!B:B, A579, ODPIS!G:G)</f>
        <v/>
      </c>
      <c r="I579" s="2">
        <f>F579 + G579 - H579</f>
        <v/>
      </c>
    </row>
    <row r="580">
      <c r="A580" t="n">
        <v>3016</v>
      </c>
      <c r="B580" t="inlineStr">
        <is>
          <t>kuverte  b 160*160 BO</t>
        </is>
      </c>
      <c r="C580" t="n">
        <v>16</v>
      </c>
      <c r="D580" t="n">
        <v>16</v>
      </c>
      <c r="E580" t="n">
        <v>80</v>
      </c>
      <c r="F580" t="n">
        <v>0</v>
      </c>
      <c r="G580">
        <f>SUMIF(PRISPELO!B:B, A580, PRISPELO!G:G)</f>
        <v/>
      </c>
      <c r="H580">
        <f>SUMIF(ODPIS!B:B, A580, ODPIS!G:G)</f>
        <v/>
      </c>
      <c r="I580" s="2">
        <f>F580 + G580 - H580</f>
        <v/>
      </c>
    </row>
    <row r="581">
      <c r="A581" t="n">
        <v>2358</v>
      </c>
      <c r="B581" t="inlineStr">
        <is>
          <t>CHORUS LUX SILK</t>
        </is>
      </c>
      <c r="C581" t="n">
        <v>88</v>
      </c>
      <c r="D581" t="n">
        <v>64</v>
      </c>
      <c r="E581" t="n">
        <v>115</v>
      </c>
      <c r="F581" t="n">
        <v>0</v>
      </c>
      <c r="G581">
        <f>SUMIF(PRISPELO!B:B, A581, PRISPELO!G:G)</f>
        <v/>
      </c>
      <c r="H581">
        <f>SUMIF(ODPIS!B:B, A581, ODPIS!G:G)</f>
        <v/>
      </c>
      <c r="I581" s="2">
        <f>F581 + G581 - H581</f>
        <v/>
      </c>
    </row>
    <row r="582">
      <c r="A582" t="n">
        <v>2361</v>
      </c>
      <c r="B582" t="inlineStr">
        <is>
          <t>Garda mat</t>
        </is>
      </c>
      <c r="C582" t="n">
        <v>90</v>
      </c>
      <c r="D582" t="n">
        <v>64</v>
      </c>
      <c r="E582" t="n">
        <v>130</v>
      </c>
      <c r="F582" t="n">
        <v>0</v>
      </c>
      <c r="G582">
        <f>SUMIF(PRISPELO!B:B, A582, PRISPELO!G:G)</f>
        <v/>
      </c>
      <c r="H582">
        <f>SUMIF(ODPIS!B:B, A582, ODPIS!G:G)</f>
        <v/>
      </c>
      <c r="I582" s="2">
        <f>F582 + G582 - H582</f>
        <v/>
      </c>
    </row>
    <row r="583">
      <c r="A583" t="n">
        <v>2362</v>
      </c>
      <c r="B583" t="inlineStr">
        <is>
          <t>UPM Finesse Premium silk</t>
        </is>
      </c>
      <c r="C583" t="n">
        <v>64</v>
      </c>
      <c r="D583" t="n">
        <v>88</v>
      </c>
      <c r="E583" t="n">
        <v>150</v>
      </c>
      <c r="F583" t="n">
        <v>0</v>
      </c>
      <c r="G583">
        <f>SUMIF(PRISPELO!B:B, A583, PRISPELO!G:G)</f>
        <v/>
      </c>
      <c r="H583">
        <f>SUMIF(ODPIS!B:B, A583, ODPIS!G:G)</f>
        <v/>
      </c>
      <c r="I583" s="2">
        <f>F583 + G583 - H583</f>
        <v/>
      </c>
    </row>
    <row r="584">
      <c r="A584" t="n">
        <v>2364</v>
      </c>
      <c r="B584" t="inlineStr">
        <is>
          <t>Chorus Lux Silk</t>
        </is>
      </c>
      <c r="C584" t="n">
        <v>88</v>
      </c>
      <c r="D584" t="n">
        <v>64</v>
      </c>
      <c r="E584" t="n">
        <v>150</v>
      </c>
      <c r="F584" t="n">
        <v>0</v>
      </c>
      <c r="G584">
        <f>SUMIF(PRISPELO!B:B, A584, PRISPELO!G:G)</f>
        <v/>
      </c>
      <c r="H584">
        <f>SUMIF(ODPIS!B:B, A584, ODPIS!G:G)</f>
        <v/>
      </c>
      <c r="I584" s="2">
        <f>F584 + G584 - H584</f>
        <v/>
      </c>
    </row>
    <row r="585">
      <c r="A585" t="n">
        <v>2372</v>
      </c>
      <c r="B585" t="inlineStr">
        <is>
          <t>UPM FINESSE Premium silk</t>
        </is>
      </c>
      <c r="C585" t="n">
        <v>100</v>
      </c>
      <c r="D585" t="n">
        <v>70</v>
      </c>
      <c r="E585" t="n">
        <v>100</v>
      </c>
      <c r="F585" t="n">
        <v>0</v>
      </c>
      <c r="G585">
        <f>SUMIF(PRISPELO!B:B, A585, PRISPELO!G:G)</f>
        <v/>
      </c>
      <c r="H585">
        <f>SUMIF(ODPIS!B:B, A585, ODPIS!G:G)</f>
        <v/>
      </c>
      <c r="I585" s="2">
        <f>F585 + G585 - H585</f>
        <v/>
      </c>
    </row>
    <row r="586">
      <c r="A586" t="n">
        <v>2373</v>
      </c>
      <c r="B586" t="inlineStr">
        <is>
          <t>Garda matt</t>
        </is>
      </c>
      <c r="C586" t="n">
        <v>100</v>
      </c>
      <c r="D586" t="n">
        <v>70</v>
      </c>
      <c r="E586" t="n">
        <v>115</v>
      </c>
      <c r="F586" t="n">
        <v>0</v>
      </c>
      <c r="G586">
        <f>SUMIF(PRISPELO!B:B, A586, PRISPELO!G:G)</f>
        <v/>
      </c>
      <c r="H586">
        <f>SUMIF(ODPIS!B:B, A586, ODPIS!G:G)</f>
        <v/>
      </c>
      <c r="I586" s="2">
        <f>F586 + G586 - H586</f>
        <v/>
      </c>
    </row>
    <row r="587">
      <c r="A587" t="n">
        <v>2374</v>
      </c>
      <c r="B587" t="inlineStr">
        <is>
          <t>Magno Satin</t>
        </is>
      </c>
      <c r="C587" t="n">
        <v>70</v>
      </c>
      <c r="D587" t="n">
        <v>100</v>
      </c>
      <c r="E587" t="n">
        <v>115</v>
      </c>
      <c r="F587" t="n">
        <v>0</v>
      </c>
      <c r="G587">
        <f>SUMIF(PRISPELO!B:B, A587, PRISPELO!G:G)</f>
        <v/>
      </c>
      <c r="H587">
        <f>SUMIF(ODPIS!B:B, A587, ODPIS!G:G)</f>
        <v/>
      </c>
      <c r="I587" s="2">
        <f>F587 + G587 - H587</f>
        <v/>
      </c>
    </row>
    <row r="588">
      <c r="A588" t="n">
        <v>2375</v>
      </c>
      <c r="B588" t="inlineStr">
        <is>
          <t>UPM FINESSE Premium silk</t>
        </is>
      </c>
      <c r="C588" t="n">
        <v>70</v>
      </c>
      <c r="D588" t="n">
        <v>100</v>
      </c>
      <c r="E588" t="n">
        <v>170</v>
      </c>
      <c r="F588" t="n">
        <v>0</v>
      </c>
      <c r="G588">
        <f>SUMIF(PRISPELO!B:B, A588, PRISPELO!G:G)</f>
        <v/>
      </c>
      <c r="H588">
        <f>SUMIF(ODPIS!B:B, A588, ODPIS!G:G)</f>
        <v/>
      </c>
      <c r="I588" s="2">
        <f>F588 + G588 - H588</f>
        <v/>
      </c>
    </row>
    <row r="589">
      <c r="A589" t="n">
        <v>2378</v>
      </c>
      <c r="B589" t="inlineStr">
        <is>
          <t>Garda gloss</t>
        </is>
      </c>
      <c r="C589" t="n">
        <v>50</v>
      </c>
      <c r="D589" t="n">
        <v>70</v>
      </c>
      <c r="E589" t="n">
        <v>135</v>
      </c>
      <c r="F589" t="n">
        <v>0</v>
      </c>
      <c r="G589">
        <f>SUMIF(PRISPELO!B:B, A589, PRISPELO!G:G)</f>
        <v/>
      </c>
      <c r="H589">
        <f>SUMIF(ODPIS!B:B, A589, ODPIS!G:G)</f>
        <v/>
      </c>
      <c r="I589" s="2">
        <f>F589 + G589 - H589</f>
        <v/>
      </c>
    </row>
    <row r="590">
      <c r="A590" t="n">
        <v>2895</v>
      </c>
      <c r="B590" t="inlineStr">
        <is>
          <t>kuverta amerikanka DObrez s.traka</t>
        </is>
      </c>
      <c r="C590" t="n">
        <v>11</v>
      </c>
      <c r="D590" t="n">
        <v>22</v>
      </c>
      <c r="E590" t="n">
        <v>90</v>
      </c>
      <c r="F590" t="n">
        <v>0</v>
      </c>
      <c r="G590">
        <f>SUMIF(PRISPELO!B:B, A590, PRISPELO!G:G)</f>
        <v/>
      </c>
      <c r="H590">
        <f>SUMIF(ODPIS!B:B, A590, ODPIS!G:G)</f>
        <v/>
      </c>
      <c r="I590" s="2">
        <f>F590 + G590 - H590</f>
        <v/>
      </c>
    </row>
    <row r="591">
      <c r="A591" t="n">
        <v>2384</v>
      </c>
      <c r="B591" t="inlineStr">
        <is>
          <t>Master Print</t>
        </is>
      </c>
      <c r="C591" t="n">
        <v>70</v>
      </c>
      <c r="D591" t="n">
        <v>100</v>
      </c>
      <c r="E591" t="n">
        <v>250</v>
      </c>
      <c r="F591" t="n">
        <v>0</v>
      </c>
      <c r="G591">
        <f>SUMIF(PRISPELO!B:B, A591, PRISPELO!G:G)</f>
        <v/>
      </c>
      <c r="H591">
        <f>SUMIF(ODPIS!B:B, A591, ODPIS!G:G)</f>
        <v/>
      </c>
      <c r="I591" s="2">
        <f>F591 + G591 - H591</f>
        <v/>
      </c>
    </row>
    <row r="592">
      <c r="A592" t="n">
        <v>2385</v>
      </c>
      <c r="B592" t="inlineStr">
        <is>
          <t>Master Print</t>
        </is>
      </c>
      <c r="C592" t="n">
        <v>70</v>
      </c>
      <c r="D592" t="n">
        <v>100</v>
      </c>
      <c r="E592" t="n">
        <v>170</v>
      </c>
      <c r="F592" t="n">
        <v>0</v>
      </c>
      <c r="G592">
        <f>SUMIF(PRISPELO!B:B, A592, PRISPELO!G:G)</f>
        <v/>
      </c>
      <c r="H592">
        <f>SUMIF(ODPIS!B:B, A592, ODPIS!G:G)</f>
        <v/>
      </c>
      <c r="I592" s="2">
        <f>F592 + G592 - H592</f>
        <v/>
      </c>
    </row>
    <row r="593">
      <c r="A593" t="n">
        <v>2386</v>
      </c>
      <c r="B593" t="inlineStr">
        <is>
          <t>Ofset Board</t>
        </is>
      </c>
      <c r="C593" t="n">
        <v>70</v>
      </c>
      <c r="D593" t="n">
        <v>100</v>
      </c>
      <c r="E593" t="n">
        <v>250</v>
      </c>
      <c r="F593" t="n">
        <v>0</v>
      </c>
      <c r="G593">
        <f>SUMIF(PRISPELO!B:B, A593, PRISPELO!G:G)</f>
        <v/>
      </c>
      <c r="H593">
        <f>SUMIF(ODPIS!B:B, A593, ODPIS!G:G)</f>
        <v/>
      </c>
      <c r="I593" s="2">
        <f>F593 + G593 - H593</f>
        <v/>
      </c>
    </row>
    <row r="594">
      <c r="A594" t="n">
        <v>2387</v>
      </c>
      <c r="B594" t="inlineStr">
        <is>
          <t>MASTER Print</t>
        </is>
      </c>
      <c r="C594" t="n">
        <v>64</v>
      </c>
      <c r="D594" t="n">
        <v>90</v>
      </c>
      <c r="E594" t="n">
        <v>140</v>
      </c>
      <c r="F594" t="n">
        <v>0</v>
      </c>
      <c r="G594">
        <f>SUMIF(PRISPELO!B:B, A594, PRISPELO!G:G)</f>
        <v/>
      </c>
      <c r="H594">
        <f>SUMIF(ODPIS!B:B, A594, ODPIS!G:G)</f>
        <v/>
      </c>
      <c r="I594" s="2">
        <f>F594 + G594 - H594</f>
        <v/>
      </c>
    </row>
    <row r="595">
      <c r="A595" t="n">
        <v>2388</v>
      </c>
      <c r="B595" t="inlineStr">
        <is>
          <t>SUPERPRINT</t>
        </is>
      </c>
      <c r="C595" t="n">
        <v>61</v>
      </c>
      <c r="D595" t="n">
        <v>86</v>
      </c>
      <c r="E595" t="n">
        <v>60</v>
      </c>
      <c r="F595" t="n">
        <v>0</v>
      </c>
      <c r="G595">
        <f>SUMIF(PRISPELO!B:B, A595, PRISPELO!G:G)</f>
        <v/>
      </c>
      <c r="H595">
        <f>SUMIF(ODPIS!B:B, A595, ODPIS!G:G)</f>
        <v/>
      </c>
      <c r="I595" s="2">
        <f>F595 + G595 - H595</f>
        <v/>
      </c>
    </row>
    <row r="596">
      <c r="A596" t="n">
        <v>2389</v>
      </c>
      <c r="B596" t="inlineStr">
        <is>
          <t>SUPERPRINT</t>
        </is>
      </c>
      <c r="C596" t="n">
        <v>61</v>
      </c>
      <c r="D596" t="n">
        <v>86</v>
      </c>
      <c r="E596" t="n">
        <v>80</v>
      </c>
      <c r="F596" t="n">
        <v>0</v>
      </c>
      <c r="G596">
        <f>SUMIF(PRISPELO!B:B, A596, PRISPELO!G:G)</f>
        <v/>
      </c>
      <c r="H596">
        <f>SUMIF(ODPIS!B:B, A596, ODPIS!G:G)</f>
        <v/>
      </c>
      <c r="I596" s="2">
        <f>F596 + G596 - H596</f>
        <v/>
      </c>
    </row>
    <row r="597">
      <c r="A597" t="n">
        <v>2391</v>
      </c>
      <c r="B597" t="inlineStr">
        <is>
          <t>Samolepilni Raflatack Antique cream</t>
        </is>
      </c>
      <c r="C597" t="n">
        <v>70</v>
      </c>
      <c r="D597" t="n">
        <v>50</v>
      </c>
      <c r="E597" t="n">
        <v>135</v>
      </c>
      <c r="F597" t="n">
        <v>0</v>
      </c>
      <c r="G597">
        <f>SUMIF(PRISPELO!B:B, A597, PRISPELO!G:G)</f>
        <v/>
      </c>
      <c r="H597">
        <f>SUMIF(ODPIS!B:B, A597, ODPIS!G:G)</f>
        <v/>
      </c>
      <c r="I597" s="2">
        <f>F597 + G597 - H597</f>
        <v/>
      </c>
    </row>
    <row r="598">
      <c r="A598" t="n">
        <v>2392</v>
      </c>
      <c r="B598" t="inlineStr">
        <is>
          <t>Sam. Raflacoat Board</t>
        </is>
      </c>
      <c r="C598" t="n">
        <v>50</v>
      </c>
      <c r="D598" t="n">
        <v>70</v>
      </c>
      <c r="E598" t="n">
        <v>170</v>
      </c>
      <c r="F598" t="n">
        <v>0</v>
      </c>
      <c r="G598">
        <f>SUMIF(PRISPELO!B:B, A598, PRISPELO!G:G)</f>
        <v/>
      </c>
      <c r="H598">
        <f>SUMIF(ODPIS!B:B, A598, ODPIS!G:G)</f>
        <v/>
      </c>
      <c r="I598" s="2">
        <f>F598 + G598 - H598</f>
        <v/>
      </c>
    </row>
    <row r="599">
      <c r="A599" t="n">
        <v>2393</v>
      </c>
      <c r="B599" t="inlineStr">
        <is>
          <t>Claro silk</t>
        </is>
      </c>
      <c r="C599" t="n">
        <v>70</v>
      </c>
      <c r="D599" t="n">
        <v>50</v>
      </c>
      <c r="E599" t="n">
        <v>135</v>
      </c>
      <c r="F599" t="n">
        <v>0</v>
      </c>
      <c r="G599">
        <f>SUMIF(PRISPELO!B:B, A599, PRISPELO!G:G)</f>
        <v/>
      </c>
      <c r="H599">
        <f>SUMIF(ODPIS!B:B, A599, ODPIS!G:G)</f>
        <v/>
      </c>
      <c r="I599" s="2">
        <f>F599 + G599 - H599</f>
        <v/>
      </c>
    </row>
    <row r="600">
      <c r="A600" t="n">
        <v>2396</v>
      </c>
      <c r="B600" t="inlineStr">
        <is>
          <t>CLARO BULK</t>
        </is>
      </c>
      <c r="C600" t="n">
        <v>70</v>
      </c>
      <c r="D600" t="n">
        <v>100</v>
      </c>
      <c r="E600" t="n">
        <v>150</v>
      </c>
      <c r="F600" t="n">
        <v>0</v>
      </c>
      <c r="G600">
        <f>SUMIF(PRISPELO!B:B, A600, PRISPELO!G:G)</f>
        <v/>
      </c>
      <c r="H600">
        <f>SUMIF(ODPIS!B:B, A600, ODPIS!G:G)</f>
        <v/>
      </c>
      <c r="I600" s="2">
        <f>F600 + G600 - H600</f>
        <v/>
      </c>
    </row>
    <row r="601">
      <c r="A601" t="n">
        <v>2397</v>
      </c>
      <c r="B601" t="inlineStr">
        <is>
          <t>Claro silk</t>
        </is>
      </c>
      <c r="C601" t="n">
        <v>49.8</v>
      </c>
      <c r="D601" t="n">
        <v>69.8</v>
      </c>
      <c r="E601" t="n">
        <v>135</v>
      </c>
      <c r="F601" t="n">
        <v>0</v>
      </c>
      <c r="G601">
        <f>SUMIF(PRISPELO!B:B, A601, PRISPELO!G:G)</f>
        <v/>
      </c>
      <c r="H601">
        <f>SUMIF(ODPIS!B:B, A601, ODPIS!G:G)</f>
        <v/>
      </c>
      <c r="I601" s="2">
        <f>F601 + G601 - H601</f>
        <v/>
      </c>
    </row>
    <row r="602">
      <c r="A602" t="n">
        <v>2398</v>
      </c>
      <c r="B602" t="inlineStr">
        <is>
          <t>Claro glos</t>
        </is>
      </c>
      <c r="C602" t="n">
        <v>33.2</v>
      </c>
      <c r="D602" t="n">
        <v>69.8</v>
      </c>
      <c r="E602" t="n">
        <v>200</v>
      </c>
      <c r="F602" t="n">
        <v>0</v>
      </c>
      <c r="G602">
        <f>SUMIF(PRISPELO!B:B, A602, PRISPELO!G:G)</f>
        <v/>
      </c>
      <c r="H602">
        <f>SUMIF(ODPIS!B:B, A602, ODPIS!G:G)</f>
        <v/>
      </c>
      <c r="I602" s="2">
        <f>F602 + G602 - H602</f>
        <v/>
      </c>
    </row>
    <row r="603">
      <c r="A603" t="n">
        <v>2399</v>
      </c>
      <c r="B603" t="inlineStr">
        <is>
          <t>NIKLAKET MED.</t>
        </is>
      </c>
      <c r="C603" t="n">
        <v>69.8</v>
      </c>
      <c r="D603" t="n">
        <v>49.8</v>
      </c>
      <c r="E603" t="n">
        <v>75</v>
      </c>
      <c r="F603" t="n">
        <v>0</v>
      </c>
      <c r="G603">
        <f>SUMIF(PRISPELO!B:B, A603, PRISPELO!G:G)</f>
        <v/>
      </c>
      <c r="H603">
        <f>SUMIF(ODPIS!B:B, A603, ODPIS!G:G)</f>
        <v/>
      </c>
      <c r="I603" s="2">
        <f>F603 + G603 - H603</f>
        <v/>
      </c>
    </row>
    <row r="604">
      <c r="A604" t="n">
        <v>2400</v>
      </c>
      <c r="B604" t="inlineStr">
        <is>
          <t>Claro silk</t>
        </is>
      </c>
      <c r="C604" t="n">
        <v>69.8</v>
      </c>
      <c r="D604" t="n">
        <v>33.2</v>
      </c>
      <c r="E604" t="n">
        <v>135</v>
      </c>
      <c r="F604" t="n">
        <v>0</v>
      </c>
      <c r="G604">
        <f>SUMIF(PRISPELO!B:B, A604, PRISPELO!G:G)</f>
        <v/>
      </c>
      <c r="H604">
        <f>SUMIF(ODPIS!B:B, A604, ODPIS!G:G)</f>
        <v/>
      </c>
      <c r="I604" s="2">
        <f>F604 + G604 - H604</f>
        <v/>
      </c>
    </row>
    <row r="605">
      <c r="A605" t="n">
        <v>2402</v>
      </c>
      <c r="B605" t="inlineStr">
        <is>
          <t>CARTA ELEGA</t>
        </is>
      </c>
      <c r="C605" t="n">
        <v>102</v>
      </c>
      <c r="D605" t="n">
        <v>72</v>
      </c>
      <c r="E605" t="n">
        <v>350</v>
      </c>
      <c r="F605" t="n">
        <v>0</v>
      </c>
      <c r="G605">
        <f>SUMIF(PRISPELO!B:B, A605, PRISPELO!G:G)</f>
        <v/>
      </c>
      <c r="H605">
        <f>SUMIF(ODPIS!B:B, A605, ODPIS!G:G)</f>
        <v/>
      </c>
      <c r="I605" s="2">
        <f>F605 + G605 - H605</f>
        <v/>
      </c>
    </row>
    <row r="606">
      <c r="A606" t="n">
        <v>2403</v>
      </c>
      <c r="B606" t="inlineStr">
        <is>
          <t>Claro silk</t>
        </is>
      </c>
      <c r="C606" t="n">
        <v>70</v>
      </c>
      <c r="D606" t="n">
        <v>51.5</v>
      </c>
      <c r="E606" t="n">
        <v>135</v>
      </c>
      <c r="F606" t="n">
        <v>0</v>
      </c>
      <c r="G606">
        <f>SUMIF(PRISPELO!B:B, A606, PRISPELO!G:G)</f>
        <v/>
      </c>
      <c r="H606">
        <f>SUMIF(ODPIS!B:B, A606, ODPIS!G:G)</f>
        <v/>
      </c>
      <c r="I606" s="2">
        <f>F606 + G606 - H606</f>
        <v/>
      </c>
    </row>
    <row r="607">
      <c r="A607" t="n">
        <v>2405</v>
      </c>
      <c r="B607" t="inlineStr">
        <is>
          <t>OLIN regular absolute white</t>
        </is>
      </c>
      <c r="C607" t="n">
        <v>46</v>
      </c>
      <c r="D607" t="n">
        <v>64</v>
      </c>
      <c r="E607" t="n">
        <v>80</v>
      </c>
      <c r="F607" t="n">
        <v>0</v>
      </c>
      <c r="G607">
        <f>SUMIF(PRISPELO!B:B, A607, PRISPELO!G:G)</f>
        <v/>
      </c>
      <c r="H607">
        <f>SUMIF(ODPIS!B:B, A607, ODPIS!G:G)</f>
        <v/>
      </c>
      <c r="I607" s="2">
        <f>F607 + G607 - H607</f>
        <v/>
      </c>
    </row>
    <row r="608">
      <c r="A608" t="n">
        <v>2407</v>
      </c>
      <c r="B608" t="inlineStr">
        <is>
          <t>Garda gloss</t>
        </is>
      </c>
      <c r="C608" t="n">
        <v>100</v>
      </c>
      <c r="D608" t="n">
        <v>70</v>
      </c>
      <c r="E608" t="n">
        <v>350</v>
      </c>
      <c r="F608" t="n">
        <v>0</v>
      </c>
      <c r="G608">
        <f>SUMIF(PRISPELO!B:B, A608, PRISPELO!G:G)</f>
        <v/>
      </c>
      <c r="H608">
        <f>SUMIF(ODPIS!B:B, A608, ODPIS!G:G)</f>
        <v/>
      </c>
      <c r="I608" s="2">
        <f>F608 + G608 - H608</f>
        <v/>
      </c>
    </row>
    <row r="609">
      <c r="A609" t="n">
        <v>2408</v>
      </c>
      <c r="B609" t="inlineStr">
        <is>
          <t>Garda gloss</t>
        </is>
      </c>
      <c r="C609" t="n">
        <v>70</v>
      </c>
      <c r="D609" t="n">
        <v>100</v>
      </c>
      <c r="E609" t="n">
        <v>200</v>
      </c>
      <c r="F609" t="n">
        <v>0</v>
      </c>
      <c r="G609">
        <f>SUMIF(PRISPELO!B:B, A609, PRISPELO!G:G)</f>
        <v/>
      </c>
      <c r="H609">
        <f>SUMIF(ODPIS!B:B, A609, ODPIS!G:G)</f>
        <v/>
      </c>
      <c r="I609" s="2">
        <f>F609 + G609 - H609</f>
        <v/>
      </c>
    </row>
    <row r="610">
      <c r="A610" t="n">
        <v>2409</v>
      </c>
      <c r="B610" t="inlineStr">
        <is>
          <t>CARTA ELEGA</t>
        </is>
      </c>
      <c r="C610" t="n">
        <v>72</v>
      </c>
      <c r="D610" t="n">
        <v>102</v>
      </c>
      <c r="E610" t="n">
        <v>280</v>
      </c>
      <c r="F610" t="n">
        <v>0</v>
      </c>
      <c r="G610">
        <f>SUMIF(PRISPELO!B:B, A610, PRISPELO!G:G)</f>
        <v/>
      </c>
      <c r="H610">
        <f>SUMIF(ODPIS!B:B, A610, ODPIS!G:G)</f>
        <v/>
      </c>
      <c r="I610" s="2">
        <f>F610 + G610 - H610</f>
        <v/>
      </c>
    </row>
    <row r="611">
      <c r="A611" t="n">
        <v>2415</v>
      </c>
      <c r="B611" t="inlineStr">
        <is>
          <t>Garda gloss</t>
        </is>
      </c>
      <c r="C611" t="n">
        <v>100</v>
      </c>
      <c r="D611" t="n">
        <v>70</v>
      </c>
      <c r="E611" t="n">
        <v>90</v>
      </c>
      <c r="F611" t="n">
        <v>0</v>
      </c>
      <c r="G611">
        <f>SUMIF(PRISPELO!B:B, A611, PRISPELO!G:G)</f>
        <v/>
      </c>
      <c r="H611">
        <f>SUMIF(ODPIS!B:B, A611, ODPIS!G:G)</f>
        <v/>
      </c>
      <c r="I611" s="2">
        <f>F611 + G611 - H611</f>
        <v/>
      </c>
    </row>
    <row r="612">
      <c r="A612" t="n">
        <v>2417</v>
      </c>
      <c r="B612" t="inlineStr">
        <is>
          <t>BIOGLOSS</t>
        </is>
      </c>
      <c r="C612" t="n">
        <v>88</v>
      </c>
      <c r="D612" t="n">
        <v>64</v>
      </c>
      <c r="E612" t="n">
        <v>130</v>
      </c>
      <c r="F612" t="n">
        <v>0</v>
      </c>
      <c r="G612">
        <f>SUMIF(PRISPELO!B:B, A612, PRISPELO!G:G)</f>
        <v/>
      </c>
      <c r="H612">
        <f>SUMIF(ODPIS!B:B, A612, ODPIS!G:G)</f>
        <v/>
      </c>
      <c r="I612" s="2">
        <f>F612 + G612 - H612</f>
        <v/>
      </c>
    </row>
    <row r="613">
      <c r="A613" t="n">
        <v>2418</v>
      </c>
      <c r="B613" t="inlineStr">
        <is>
          <t>GALERIE ART GLOSS</t>
        </is>
      </c>
      <c r="C613" t="n">
        <v>64</v>
      </c>
      <c r="D613" t="n">
        <v>90</v>
      </c>
      <c r="E613" t="n">
        <v>100</v>
      </c>
      <c r="F613" t="n">
        <v>0</v>
      </c>
      <c r="G613">
        <f>SUMIF(PRISPELO!B:B, A613, PRISPELO!G:G)</f>
        <v/>
      </c>
      <c r="H613">
        <f>SUMIF(ODPIS!B:B, A613, ODPIS!G:G)</f>
        <v/>
      </c>
      <c r="I613" s="2">
        <f>F613 + G613 - H613</f>
        <v/>
      </c>
    </row>
    <row r="614">
      <c r="A614" t="n">
        <v>3144</v>
      </c>
      <c r="B614" t="inlineStr">
        <is>
          <t>Kuverta IQ selection smooth LO s.tr</t>
        </is>
      </c>
      <c r="C614" t="n">
        <v>11</v>
      </c>
      <c r="D614" t="n">
        <v>22</v>
      </c>
      <c r="E614" t="n">
        <v>120</v>
      </c>
      <c r="F614" t="n">
        <v>0</v>
      </c>
      <c r="G614">
        <f>SUMIF(PRISPELO!B:B, A614, PRISPELO!G:G)</f>
        <v/>
      </c>
      <c r="H614">
        <f>SUMIF(ODPIS!B:B, A614, ODPIS!G:G)</f>
        <v/>
      </c>
      <c r="I614" s="2">
        <f>F614 + G614 - H614</f>
        <v/>
      </c>
    </row>
    <row r="615">
      <c r="A615" t="n">
        <v>2420</v>
      </c>
      <c r="B615" t="inlineStr">
        <is>
          <t>CARTA ELEGA</t>
        </is>
      </c>
      <c r="C615" t="n">
        <v>71</v>
      </c>
      <c r="D615" t="n">
        <v>101</v>
      </c>
      <c r="E615" t="n">
        <v>305</v>
      </c>
      <c r="F615" t="n">
        <v>0</v>
      </c>
      <c r="G615">
        <f>SUMIF(PRISPELO!B:B, A615, PRISPELO!G:G)</f>
        <v/>
      </c>
      <c r="H615">
        <f>SUMIF(ODPIS!B:B, A615, ODPIS!G:G)</f>
        <v/>
      </c>
      <c r="I615" s="2">
        <f>F615 + G615 - H615</f>
        <v/>
      </c>
    </row>
    <row r="616">
      <c r="A616" t="n">
        <v>2421</v>
      </c>
      <c r="B616" t="inlineStr">
        <is>
          <t>CARTA ELEGA</t>
        </is>
      </c>
      <c r="C616" t="n">
        <v>100</v>
      </c>
      <c r="D616" t="n">
        <v>70</v>
      </c>
      <c r="E616" t="n">
        <v>305</v>
      </c>
      <c r="F616" t="n">
        <v>0</v>
      </c>
      <c r="G616">
        <f>SUMIF(PRISPELO!B:B, A616, PRISPELO!G:G)</f>
        <v/>
      </c>
      <c r="H616">
        <f>SUMIF(ODPIS!B:B, A616, ODPIS!G:G)</f>
        <v/>
      </c>
      <c r="I616" s="2">
        <f>F616 + G616 - H616</f>
        <v/>
      </c>
    </row>
    <row r="617">
      <c r="A617" t="n">
        <v>2422</v>
      </c>
      <c r="B617" t="inlineStr">
        <is>
          <t>Garda gloss</t>
        </is>
      </c>
      <c r="C617" t="n">
        <v>90</v>
      </c>
      <c r="D617" t="n">
        <v>64</v>
      </c>
      <c r="E617" t="n">
        <v>170</v>
      </c>
      <c r="F617" t="n">
        <v>0</v>
      </c>
      <c r="G617">
        <f>SUMIF(PRISPELO!B:B, A617, PRISPELO!G:G)</f>
        <v/>
      </c>
      <c r="H617">
        <f>SUMIF(ODPIS!B:B, A617, ODPIS!G:G)</f>
        <v/>
      </c>
      <c r="I617" s="2">
        <f>F617 + G617 - H617</f>
        <v/>
      </c>
    </row>
    <row r="618">
      <c r="A618" t="n">
        <v>2423</v>
      </c>
      <c r="B618" t="inlineStr">
        <is>
          <t>Olin smooth High White</t>
        </is>
      </c>
      <c r="C618" t="n">
        <v>70</v>
      </c>
      <c r="D618" t="n">
        <v>100</v>
      </c>
      <c r="E618" t="n">
        <v>90</v>
      </c>
      <c r="F618" t="n">
        <v>0</v>
      </c>
      <c r="G618">
        <f>SUMIF(PRISPELO!B:B, A618, PRISPELO!G:G)</f>
        <v/>
      </c>
      <c r="H618">
        <f>SUMIF(ODPIS!B:B, A618, ODPIS!G:G)</f>
        <v/>
      </c>
      <c r="I618" s="2">
        <f>F618 + G618 - H618</f>
        <v/>
      </c>
    </row>
    <row r="619">
      <c r="A619" t="n">
        <v>2430</v>
      </c>
      <c r="B619" t="inlineStr">
        <is>
          <t>GRAFOPAK</t>
        </is>
      </c>
      <c r="C619" t="n">
        <v>71</v>
      </c>
      <c r="D619" t="n">
        <v>102</v>
      </c>
      <c r="E619" t="n">
        <v>290</v>
      </c>
      <c r="F619" t="n">
        <v>0</v>
      </c>
      <c r="G619">
        <f>SUMIF(PRISPELO!B:B, A619, PRISPELO!G:G)</f>
        <v/>
      </c>
      <c r="H619">
        <f>SUMIF(ODPIS!B:B, A619, ODPIS!G:G)</f>
        <v/>
      </c>
      <c r="I619" s="2">
        <f>F619 + G619 - H619</f>
        <v/>
      </c>
    </row>
    <row r="620">
      <c r="A620" t="n">
        <v>2431</v>
      </c>
      <c r="B620" t="inlineStr">
        <is>
          <t>Garda gloss</t>
        </is>
      </c>
      <c r="C620" t="n">
        <v>70</v>
      </c>
      <c r="D620" t="n">
        <v>100</v>
      </c>
      <c r="E620" t="n">
        <v>115</v>
      </c>
      <c r="F620" t="n">
        <v>0</v>
      </c>
      <c r="G620">
        <f>SUMIF(PRISPELO!B:B, A620, PRISPELO!G:G)</f>
        <v/>
      </c>
      <c r="H620">
        <f>SUMIF(ODPIS!B:B, A620, ODPIS!G:G)</f>
        <v/>
      </c>
      <c r="I620" s="2">
        <f>F620 + G620 - H620</f>
        <v/>
      </c>
    </row>
    <row r="621">
      <c r="A621" t="n">
        <v>2432</v>
      </c>
      <c r="B621" t="inlineStr">
        <is>
          <t>Garda gloss</t>
        </is>
      </c>
      <c r="C621" t="n">
        <v>100</v>
      </c>
      <c r="D621" t="n">
        <v>70</v>
      </c>
      <c r="E621" t="n">
        <v>200</v>
      </c>
      <c r="F621" t="n">
        <v>0</v>
      </c>
      <c r="G621">
        <f>SUMIF(PRISPELO!B:B, A621, PRISPELO!G:G)</f>
        <v/>
      </c>
      <c r="H621">
        <f>SUMIF(ODPIS!B:B, A621, ODPIS!G:G)</f>
        <v/>
      </c>
      <c r="I621" s="2">
        <f>F621 + G621 - H621</f>
        <v/>
      </c>
    </row>
    <row r="622">
      <c r="A622" t="n">
        <v>2433</v>
      </c>
      <c r="B622" t="inlineStr">
        <is>
          <t>Master print</t>
        </is>
      </c>
      <c r="C622" t="n">
        <v>64</v>
      </c>
      <c r="D622" t="n">
        <v>90</v>
      </c>
      <c r="E622" t="n">
        <v>80</v>
      </c>
      <c r="F622" t="n">
        <v>0</v>
      </c>
      <c r="G622">
        <f>SUMIF(PRISPELO!B:B, A622, PRISPELO!G:G)</f>
        <v/>
      </c>
      <c r="H622">
        <f>SUMIF(ODPIS!B:B, A622, ODPIS!G:G)</f>
        <v/>
      </c>
      <c r="I622" s="2">
        <f>F622 + G622 - H622</f>
        <v/>
      </c>
    </row>
    <row r="623">
      <c r="A623" t="n">
        <v>2434</v>
      </c>
      <c r="B623" t="inlineStr">
        <is>
          <t>Magno satin</t>
        </is>
      </c>
      <c r="C623" t="n">
        <v>64</v>
      </c>
      <c r="D623" t="n">
        <v>90</v>
      </c>
      <c r="E623" t="n">
        <v>130</v>
      </c>
      <c r="F623" t="n">
        <v>400</v>
      </c>
      <c r="G623">
        <f>SUMIF(PRISPELO!B:B, A623, PRISPELO!G:G)</f>
        <v/>
      </c>
      <c r="H623">
        <f>SUMIF(ODPIS!B:B, A623, ODPIS!G:G)</f>
        <v/>
      </c>
      <c r="I623" s="2">
        <f>F623 + G623 - H623</f>
        <v/>
      </c>
    </row>
    <row r="624">
      <c r="A624" t="n">
        <v>2435</v>
      </c>
      <c r="B624" t="inlineStr">
        <is>
          <t>Magno satin</t>
        </is>
      </c>
      <c r="C624" t="n">
        <v>90</v>
      </c>
      <c r="D624" t="n">
        <v>64</v>
      </c>
      <c r="E624" t="n">
        <v>130</v>
      </c>
      <c r="F624" t="n">
        <v>0</v>
      </c>
      <c r="G624">
        <f>SUMIF(PRISPELO!B:B, A624, PRISPELO!G:G)</f>
        <v/>
      </c>
      <c r="H624">
        <f>SUMIF(ODPIS!B:B, A624, ODPIS!G:G)</f>
        <v/>
      </c>
      <c r="I624" s="2">
        <f>F624 + G624 - H624</f>
        <v/>
      </c>
    </row>
    <row r="625">
      <c r="A625" t="n">
        <v>2436</v>
      </c>
      <c r="B625" t="inlineStr">
        <is>
          <t>Master print</t>
        </is>
      </c>
      <c r="C625" t="n">
        <v>100</v>
      </c>
      <c r="D625" t="n">
        <v>70</v>
      </c>
      <c r="E625" t="n">
        <v>120</v>
      </c>
      <c r="F625" t="n">
        <v>0</v>
      </c>
      <c r="G625">
        <f>SUMIF(PRISPELO!B:B, A625, PRISPELO!G:G)</f>
        <v/>
      </c>
      <c r="H625">
        <f>SUMIF(ODPIS!B:B, A625, ODPIS!G:G)</f>
        <v/>
      </c>
      <c r="I625" s="2">
        <f>F625 + G625 - H625</f>
        <v/>
      </c>
    </row>
    <row r="626">
      <c r="A626" t="n">
        <v>2437</v>
      </c>
      <c r="B626" t="inlineStr">
        <is>
          <t>Garda gloss</t>
        </is>
      </c>
      <c r="C626" t="n">
        <v>90</v>
      </c>
      <c r="D626" t="n">
        <v>64</v>
      </c>
      <c r="E626" t="n">
        <v>150</v>
      </c>
      <c r="F626" t="n">
        <v>0</v>
      </c>
      <c r="G626">
        <f>SUMIF(PRISPELO!B:B, A626, PRISPELO!G:G)</f>
        <v/>
      </c>
      <c r="H626">
        <f>SUMIF(ODPIS!B:B, A626, ODPIS!G:G)</f>
        <v/>
      </c>
      <c r="I626" s="2">
        <f>F626 + G626 - H626</f>
        <v/>
      </c>
    </row>
    <row r="627">
      <c r="A627" t="n">
        <v>2958</v>
      </c>
      <c r="B627" t="inlineStr">
        <is>
          <t>kuverta C4 PREMIUM BO  EDERA</t>
        </is>
      </c>
      <c r="C627" t="n">
        <v>22.9</v>
      </c>
      <c r="D627" t="n">
        <v>32.4</v>
      </c>
      <c r="E627" t="n">
        <v>120</v>
      </c>
      <c r="F627" t="n">
        <v>0</v>
      </c>
      <c r="G627">
        <f>SUMIF(PRISPELO!B:B, A627, PRISPELO!G:G)</f>
        <v/>
      </c>
      <c r="H627">
        <f>SUMIF(ODPIS!B:B, A627, ODPIS!G:G)</f>
        <v/>
      </c>
      <c r="I627" s="2">
        <f>F627 + G627 - H627</f>
        <v/>
      </c>
    </row>
    <row r="628">
      <c r="A628" t="n">
        <v>2439</v>
      </c>
      <c r="B628" t="inlineStr">
        <is>
          <t>OLIN regular high white</t>
        </is>
      </c>
      <c r="C628" t="n">
        <v>70</v>
      </c>
      <c r="D628" t="n">
        <v>100</v>
      </c>
      <c r="E628" t="n">
        <v>200</v>
      </c>
      <c r="F628" t="n">
        <v>0</v>
      </c>
      <c r="G628">
        <f>SUMIF(PRISPELO!B:B, A628, PRISPELO!G:G)</f>
        <v/>
      </c>
      <c r="H628">
        <f>SUMIF(ODPIS!B:B, A628, ODPIS!G:G)</f>
        <v/>
      </c>
      <c r="I628" s="2">
        <f>F628 + G628 - H628</f>
        <v/>
      </c>
    </row>
    <row r="629">
      <c r="A629" t="n">
        <v>2441</v>
      </c>
      <c r="B629" t="inlineStr">
        <is>
          <t>IQ print</t>
        </is>
      </c>
      <c r="C629" t="n">
        <v>64</v>
      </c>
      <c r="D629" t="n">
        <v>90</v>
      </c>
      <c r="E629" t="n">
        <v>90</v>
      </c>
      <c r="F629" t="n">
        <v>200</v>
      </c>
      <c r="G629">
        <f>SUMIF(PRISPELO!B:B, A629, PRISPELO!G:G)</f>
        <v/>
      </c>
      <c r="H629">
        <f>SUMIF(ODPIS!B:B, A629, ODPIS!G:G)</f>
        <v/>
      </c>
      <c r="I629" s="2">
        <f>F629 + G629 - H629</f>
        <v/>
      </c>
    </row>
    <row r="630">
      <c r="A630" t="n">
        <v>2443</v>
      </c>
      <c r="B630" t="inlineStr">
        <is>
          <t>IQ print</t>
        </is>
      </c>
      <c r="C630" t="n">
        <v>90</v>
      </c>
      <c r="D630" t="n">
        <v>64</v>
      </c>
      <c r="E630" t="n">
        <v>90</v>
      </c>
      <c r="F630" t="n">
        <v>2000</v>
      </c>
      <c r="G630">
        <f>SUMIF(PRISPELO!B:B, A630, PRISPELO!G:G)</f>
        <v/>
      </c>
      <c r="H630">
        <f>SUMIF(ODPIS!B:B, A630, ODPIS!G:G)</f>
        <v/>
      </c>
      <c r="I630" s="2">
        <f>F630 + G630 - H630</f>
        <v/>
      </c>
    </row>
    <row r="631">
      <c r="A631" t="n">
        <v>2444</v>
      </c>
      <c r="B631" t="inlineStr">
        <is>
          <t>Garda matt</t>
        </is>
      </c>
      <c r="C631" t="n">
        <v>70</v>
      </c>
      <c r="D631" t="n">
        <v>100</v>
      </c>
      <c r="E631" t="n">
        <v>115</v>
      </c>
      <c r="F631" t="n">
        <v>300</v>
      </c>
      <c r="G631">
        <f>SUMIF(PRISPELO!B:B, A631, PRISPELO!G:G)</f>
        <v/>
      </c>
      <c r="H631">
        <f>SUMIF(ODPIS!B:B, A631, ODPIS!G:G)</f>
        <v/>
      </c>
      <c r="I631" s="2">
        <f>F631 + G631 - H631</f>
        <v/>
      </c>
    </row>
    <row r="632">
      <c r="A632" t="n">
        <v>2445</v>
      </c>
      <c r="B632" t="inlineStr">
        <is>
          <t>Condat silk</t>
        </is>
      </c>
      <c r="C632" t="n">
        <v>88</v>
      </c>
      <c r="D632" t="n">
        <v>63</v>
      </c>
      <c r="E632" t="n">
        <v>150</v>
      </c>
      <c r="F632" t="n">
        <v>0</v>
      </c>
      <c r="G632">
        <f>SUMIF(PRISPELO!B:B, A632, PRISPELO!G:G)</f>
        <v/>
      </c>
      <c r="H632">
        <f>SUMIF(ODPIS!B:B, A632, ODPIS!G:G)</f>
        <v/>
      </c>
      <c r="I632" s="2">
        <f>F632 + G632 - H632</f>
        <v/>
      </c>
    </row>
    <row r="633">
      <c r="A633" t="n">
        <v>2446</v>
      </c>
      <c r="B633" t="inlineStr">
        <is>
          <t>Condat silk</t>
        </is>
      </c>
      <c r="C633" t="n">
        <v>90</v>
      </c>
      <c r="D633" t="n">
        <v>64</v>
      </c>
      <c r="E633" t="n">
        <v>150</v>
      </c>
      <c r="F633" t="n">
        <v>0</v>
      </c>
      <c r="G633">
        <f>SUMIF(PRISPELO!B:B, A633, PRISPELO!G:G)</f>
        <v/>
      </c>
      <c r="H633">
        <f>SUMIF(ODPIS!B:B, A633, ODPIS!G:G)</f>
        <v/>
      </c>
      <c r="I633" s="2">
        <f>F633 + G633 - H633</f>
        <v/>
      </c>
    </row>
    <row r="634">
      <c r="A634" t="n">
        <v>2450</v>
      </c>
      <c r="B634" t="inlineStr">
        <is>
          <t>Olin regular absolute white</t>
        </is>
      </c>
      <c r="C634" t="n">
        <v>102</v>
      </c>
      <c r="D634" t="n">
        <v>72</v>
      </c>
      <c r="E634" t="n">
        <v>300</v>
      </c>
      <c r="F634" t="n">
        <v>0</v>
      </c>
      <c r="G634">
        <f>SUMIF(PRISPELO!B:B, A634, PRISPELO!G:G)</f>
        <v/>
      </c>
      <c r="H634">
        <f>SUMIF(ODPIS!B:B, A634, ODPIS!G:G)</f>
        <v/>
      </c>
      <c r="I634" s="2">
        <f>F634 + G634 - H634</f>
        <v/>
      </c>
    </row>
    <row r="635">
      <c r="A635" t="n">
        <v>2451</v>
      </c>
      <c r="B635" t="inlineStr">
        <is>
          <t>IQ PRINT</t>
        </is>
      </c>
      <c r="C635" t="n">
        <v>70</v>
      </c>
      <c r="D635" t="n">
        <v>100</v>
      </c>
      <c r="E635" t="n">
        <v>300</v>
      </c>
      <c r="F635" t="n">
        <v>0</v>
      </c>
      <c r="G635">
        <f>SUMIF(PRISPELO!B:B, A635, PRISPELO!G:G)</f>
        <v/>
      </c>
      <c r="H635">
        <f>SUMIF(ODPIS!B:B, A635, ODPIS!G:G)</f>
        <v/>
      </c>
      <c r="I635" s="2">
        <f>F635 + G635 - H635</f>
        <v/>
      </c>
    </row>
    <row r="636">
      <c r="A636" t="n">
        <v>2452</v>
      </c>
      <c r="B636" t="inlineStr">
        <is>
          <t>IQ PRINT</t>
        </is>
      </c>
      <c r="C636" t="n">
        <v>100</v>
      </c>
      <c r="D636" t="n">
        <v>70</v>
      </c>
      <c r="E636" t="n">
        <v>140</v>
      </c>
      <c r="F636" t="n">
        <v>500</v>
      </c>
      <c r="G636">
        <f>SUMIF(PRISPELO!B:B, A636, PRISPELO!G:G)</f>
        <v/>
      </c>
      <c r="H636">
        <f>SUMIF(ODPIS!B:B, A636, ODPIS!G:G)</f>
        <v/>
      </c>
      <c r="I636" s="2">
        <f>F636 + G636 - H636</f>
        <v/>
      </c>
    </row>
    <row r="637">
      <c r="A637" t="n">
        <v>2454</v>
      </c>
      <c r="B637" t="inlineStr">
        <is>
          <t>IQ PRINT</t>
        </is>
      </c>
      <c r="C637" t="n">
        <v>90</v>
      </c>
      <c r="D637" t="n">
        <v>64</v>
      </c>
      <c r="E637" t="n">
        <v>140</v>
      </c>
      <c r="F637" t="n">
        <v>0</v>
      </c>
      <c r="G637">
        <f>SUMIF(PRISPELO!B:B, A637, PRISPELO!G:G)</f>
        <v/>
      </c>
      <c r="H637">
        <f>SUMIF(ODPIS!B:B, A637, ODPIS!G:G)</f>
        <v/>
      </c>
      <c r="I637" s="2">
        <f>F637 + G637 - H637</f>
        <v/>
      </c>
    </row>
    <row r="638">
      <c r="A638" t="n">
        <v>2101</v>
      </c>
      <c r="B638" t="inlineStr">
        <is>
          <t>Kuverta CHAGALL NEVE</t>
        </is>
      </c>
      <c r="C638" t="n">
        <v>17</v>
      </c>
      <c r="D638" t="n">
        <v>17</v>
      </c>
      <c r="E638" t="n">
        <v>130</v>
      </c>
      <c r="F638" t="n">
        <v>0</v>
      </c>
      <c r="G638">
        <f>SUMIF(PRISPELO!B:B, A638, PRISPELO!G:G)</f>
        <v/>
      </c>
      <c r="H638">
        <f>SUMIF(ODPIS!B:B, A638, ODPIS!G:G)</f>
        <v/>
      </c>
      <c r="I638" s="2">
        <f>F638 + G638 - H638</f>
        <v/>
      </c>
    </row>
    <row r="639">
      <c r="A639" t="n">
        <v>2456</v>
      </c>
      <c r="B639" t="inlineStr">
        <is>
          <t>IQ PRINT</t>
        </is>
      </c>
      <c r="C639" t="n">
        <v>64</v>
      </c>
      <c r="D639" t="n">
        <v>88</v>
      </c>
      <c r="E639" t="n">
        <v>80</v>
      </c>
      <c r="F639" t="n">
        <v>0</v>
      </c>
      <c r="G639">
        <f>SUMIF(PRISPELO!B:B, A639, PRISPELO!G:G)</f>
        <v/>
      </c>
      <c r="H639">
        <f>SUMIF(ODPIS!B:B, A639, ODPIS!G:G)</f>
        <v/>
      </c>
      <c r="I639" s="2">
        <f>F639 + G639 - H639</f>
        <v/>
      </c>
    </row>
    <row r="640">
      <c r="A640" t="n">
        <v>2458</v>
      </c>
      <c r="B640" t="inlineStr">
        <is>
          <t>Pioneer</t>
        </is>
      </c>
      <c r="C640" t="n">
        <v>45</v>
      </c>
      <c r="D640" t="n">
        <v>64</v>
      </c>
      <c r="E640" t="n">
        <v>110</v>
      </c>
      <c r="F640" t="n">
        <v>0</v>
      </c>
      <c r="G640">
        <f>SUMIF(PRISPELO!B:B, A640, PRISPELO!G:G)</f>
        <v/>
      </c>
      <c r="H640">
        <f>SUMIF(ODPIS!B:B, A640, ODPIS!G:G)</f>
        <v/>
      </c>
      <c r="I640" s="2">
        <f>F640 + G640 - H640</f>
        <v/>
      </c>
    </row>
    <row r="641">
      <c r="A641" t="n">
        <v>2459</v>
      </c>
      <c r="B641" t="inlineStr">
        <is>
          <t>IQ print</t>
        </is>
      </c>
      <c r="C641" t="n">
        <v>90</v>
      </c>
      <c r="D641" t="n">
        <v>64</v>
      </c>
      <c r="E641" t="n">
        <v>100</v>
      </c>
      <c r="F641" t="n">
        <v>0</v>
      </c>
      <c r="G641">
        <f>SUMIF(PRISPELO!B:B, A641, PRISPELO!G:G)</f>
        <v/>
      </c>
      <c r="H641">
        <f>SUMIF(ODPIS!B:B, A641, ODPIS!G:G)</f>
        <v/>
      </c>
      <c r="I641" s="2">
        <f>F641 + G641 - H641</f>
        <v/>
      </c>
    </row>
    <row r="642">
      <c r="A642" t="n">
        <v>2460</v>
      </c>
      <c r="B642" t="inlineStr">
        <is>
          <t>IQ print</t>
        </is>
      </c>
      <c r="C642" t="n">
        <v>64</v>
      </c>
      <c r="D642" t="n">
        <v>90</v>
      </c>
      <c r="E642" t="n">
        <v>70</v>
      </c>
      <c r="F642" t="n">
        <v>0</v>
      </c>
      <c r="G642">
        <f>SUMIF(PRISPELO!B:B, A642, PRISPELO!G:G)</f>
        <v/>
      </c>
      <c r="H642">
        <f>SUMIF(ODPIS!B:B, A642, ODPIS!G:G)</f>
        <v/>
      </c>
      <c r="I642" s="2">
        <f>F642 + G642 - H642</f>
        <v/>
      </c>
    </row>
    <row r="643">
      <c r="A643" t="n">
        <v>2461</v>
      </c>
      <c r="B643" t="inlineStr">
        <is>
          <t>IQ print</t>
        </is>
      </c>
      <c r="C643" t="n">
        <v>88</v>
      </c>
      <c r="D643" t="n">
        <v>64</v>
      </c>
      <c r="E643" t="n">
        <v>80</v>
      </c>
      <c r="F643" t="n">
        <v>0</v>
      </c>
      <c r="G643">
        <f>SUMIF(PRISPELO!B:B, A643, PRISPELO!G:G)</f>
        <v/>
      </c>
      <c r="H643">
        <f>SUMIF(ODPIS!B:B, A643, ODPIS!G:G)</f>
        <v/>
      </c>
      <c r="I643" s="2">
        <f>F643 + G643 - H643</f>
        <v/>
      </c>
    </row>
    <row r="644">
      <c r="A644" t="n">
        <v>2462</v>
      </c>
      <c r="B644" t="inlineStr">
        <is>
          <t>Garda matt</t>
        </is>
      </c>
      <c r="C644" t="n">
        <v>70</v>
      </c>
      <c r="D644" t="n">
        <v>100</v>
      </c>
      <c r="E644" t="n">
        <v>150</v>
      </c>
      <c r="F644" t="n">
        <v>50</v>
      </c>
      <c r="G644">
        <f>SUMIF(PRISPELO!B:B, A644, PRISPELO!G:G)</f>
        <v/>
      </c>
      <c r="H644">
        <f>SUMIF(ODPIS!B:B, A644, ODPIS!G:G)</f>
        <v/>
      </c>
      <c r="I644" s="2">
        <f>F644 + G644 - H644</f>
        <v/>
      </c>
    </row>
    <row r="645">
      <c r="A645" t="n">
        <v>2463</v>
      </c>
      <c r="B645" t="inlineStr">
        <is>
          <t>CYCLUS OFFSET</t>
        </is>
      </c>
      <c r="C645" t="n">
        <v>90</v>
      </c>
      <c r="D645" t="n">
        <v>64</v>
      </c>
      <c r="E645" t="n">
        <v>80</v>
      </c>
      <c r="F645" t="n">
        <v>0</v>
      </c>
      <c r="G645">
        <f>SUMIF(PRISPELO!B:B, A645, PRISPELO!G:G)</f>
        <v/>
      </c>
      <c r="H645">
        <f>SUMIF(ODPIS!B:B, A645, ODPIS!G:G)</f>
        <v/>
      </c>
      <c r="I645" s="2">
        <f>F645 + G645 - H645</f>
        <v/>
      </c>
    </row>
    <row r="646">
      <c r="A646" t="n">
        <v>2464</v>
      </c>
      <c r="B646" t="inlineStr">
        <is>
          <t>Garda gloss</t>
        </is>
      </c>
      <c r="C646" t="n">
        <v>70</v>
      </c>
      <c r="D646" t="n">
        <v>100</v>
      </c>
      <c r="E646" t="n">
        <v>300</v>
      </c>
      <c r="F646" t="n">
        <v>100</v>
      </c>
      <c r="G646">
        <f>SUMIF(PRISPELO!B:B, A646, PRISPELO!G:G)</f>
        <v/>
      </c>
      <c r="H646">
        <f>SUMIF(ODPIS!B:B, A646, ODPIS!G:G)</f>
        <v/>
      </c>
      <c r="I646" s="2">
        <f>F646 + G646 - H646</f>
        <v/>
      </c>
    </row>
    <row r="647">
      <c r="A647" t="n">
        <v>2465</v>
      </c>
      <c r="B647" t="inlineStr">
        <is>
          <t>Garda gloss</t>
        </is>
      </c>
      <c r="C647" t="n">
        <v>90</v>
      </c>
      <c r="D647" t="n">
        <v>64</v>
      </c>
      <c r="E647" t="n">
        <v>90</v>
      </c>
      <c r="F647" t="n">
        <v>0</v>
      </c>
      <c r="G647">
        <f>SUMIF(PRISPELO!B:B, A647, PRISPELO!G:G)</f>
        <v/>
      </c>
      <c r="H647">
        <f>SUMIF(ODPIS!B:B, A647, ODPIS!G:G)</f>
        <v/>
      </c>
      <c r="I647" s="2">
        <f>F647 + G647 - H647</f>
        <v/>
      </c>
    </row>
    <row r="648">
      <c r="A648" t="n">
        <v>2467</v>
      </c>
      <c r="B648" t="inlineStr">
        <is>
          <t>Claro glos</t>
        </is>
      </c>
      <c r="C648" t="n">
        <v>45</v>
      </c>
      <c r="D648" t="n">
        <v>64</v>
      </c>
      <c r="E648" t="n">
        <v>115</v>
      </c>
      <c r="F648" t="n">
        <v>0</v>
      </c>
      <c r="G648">
        <f>SUMIF(PRISPELO!B:B, A648, PRISPELO!G:G)</f>
        <v/>
      </c>
      <c r="H648">
        <f>SUMIF(ODPIS!B:B, A648, ODPIS!G:G)</f>
        <v/>
      </c>
      <c r="I648" s="2">
        <f>F648 + G648 - H648</f>
        <v/>
      </c>
    </row>
    <row r="649">
      <c r="A649" t="n">
        <v>2468</v>
      </c>
      <c r="B649" t="inlineStr">
        <is>
          <t>Garda gloss</t>
        </is>
      </c>
      <c r="C649" t="n">
        <v>70</v>
      </c>
      <c r="D649" t="n">
        <v>100</v>
      </c>
      <c r="E649" t="n">
        <v>250</v>
      </c>
      <c r="F649" t="n">
        <v>0</v>
      </c>
      <c r="G649">
        <f>SUMIF(PRISPELO!B:B, A649, PRISPELO!G:G)</f>
        <v/>
      </c>
      <c r="H649">
        <f>SUMIF(ODPIS!B:B, A649, ODPIS!G:G)</f>
        <v/>
      </c>
      <c r="I649" s="2">
        <f>F649 + G649 - H649</f>
        <v/>
      </c>
    </row>
    <row r="650">
      <c r="A650" t="n">
        <v>3216</v>
      </c>
      <c r="B650" t="inlineStr">
        <is>
          <t>KUVERTE V. 440 AD SI</t>
        </is>
      </c>
      <c r="C650" t="n">
        <v>0</v>
      </c>
      <c r="D650" t="n">
        <v>0</v>
      </c>
      <c r="E650" t="n">
        <v>0</v>
      </c>
      <c r="F650" t="n">
        <v>0</v>
      </c>
      <c r="G650">
        <f>SUMIF(PRISPELO!B:B, A650, PRISPELO!G:G)</f>
        <v/>
      </c>
      <c r="H650">
        <f>SUMIF(ODPIS!B:B, A650, ODPIS!G:G)</f>
        <v/>
      </c>
      <c r="I650" s="2">
        <f>F650 + G650 - H650</f>
        <v/>
      </c>
    </row>
    <row r="651">
      <c r="A651" t="n">
        <v>2469</v>
      </c>
      <c r="B651" t="inlineStr">
        <is>
          <t>IQ print</t>
        </is>
      </c>
      <c r="C651" t="n">
        <v>90</v>
      </c>
      <c r="D651" t="n">
        <v>64</v>
      </c>
      <c r="E651" t="n">
        <v>80</v>
      </c>
      <c r="F651" t="n">
        <v>0</v>
      </c>
      <c r="G651">
        <f>SUMIF(PRISPELO!B:B, A651, PRISPELO!G:G)</f>
        <v/>
      </c>
      <c r="H651">
        <f>SUMIF(ODPIS!B:B, A651, ODPIS!G:G)</f>
        <v/>
      </c>
      <c r="I651" s="2">
        <f>F651 + G651 - H651</f>
        <v/>
      </c>
    </row>
    <row r="652">
      <c r="A652" t="n">
        <v>2470</v>
      </c>
      <c r="B652" t="inlineStr">
        <is>
          <t>IQ print</t>
        </is>
      </c>
      <c r="C652" t="n">
        <v>100</v>
      </c>
      <c r="D652" t="n">
        <v>70</v>
      </c>
      <c r="E652" t="n">
        <v>100</v>
      </c>
      <c r="F652" t="n">
        <v>0</v>
      </c>
      <c r="G652">
        <f>SUMIF(PRISPELO!B:B, A652, PRISPELO!G:G)</f>
        <v/>
      </c>
      <c r="H652">
        <f>SUMIF(ODPIS!B:B, A652, ODPIS!G:G)</f>
        <v/>
      </c>
      <c r="I652" s="2">
        <f>F652 + G652 - H652</f>
        <v/>
      </c>
    </row>
    <row r="653">
      <c r="A653" t="n">
        <v>2471</v>
      </c>
      <c r="B653" t="inlineStr">
        <is>
          <t>IQ print</t>
        </is>
      </c>
      <c r="C653" t="n">
        <v>64</v>
      </c>
      <c r="D653" t="n">
        <v>90</v>
      </c>
      <c r="E653" t="n">
        <v>100</v>
      </c>
      <c r="F653" t="n">
        <v>0</v>
      </c>
      <c r="G653">
        <f>SUMIF(PRISPELO!B:B, A653, PRISPELO!G:G)</f>
        <v/>
      </c>
      <c r="H653">
        <f>SUMIF(ODPIS!B:B, A653, ODPIS!G:G)</f>
        <v/>
      </c>
      <c r="I653" s="2">
        <f>F653 + G653 - H653</f>
        <v/>
      </c>
    </row>
    <row r="654">
      <c r="A654" t="n">
        <v>2472</v>
      </c>
      <c r="B654" t="inlineStr">
        <is>
          <t>Pioneer preprint</t>
        </is>
      </c>
      <c r="C654" t="n">
        <v>90</v>
      </c>
      <c r="D654" t="n">
        <v>64</v>
      </c>
      <c r="E654" t="n">
        <v>110</v>
      </c>
      <c r="F654" t="n">
        <v>0</v>
      </c>
      <c r="G654">
        <f>SUMIF(PRISPELO!B:B, A654, PRISPELO!G:G)</f>
        <v/>
      </c>
      <c r="H654">
        <f>SUMIF(ODPIS!B:B, A654, ODPIS!G:G)</f>
        <v/>
      </c>
      <c r="I654" s="2">
        <f>F654 + G654 - H654</f>
        <v/>
      </c>
    </row>
    <row r="655">
      <c r="A655" t="n">
        <v>2473</v>
      </c>
      <c r="B655" t="inlineStr">
        <is>
          <t>IQ print</t>
        </is>
      </c>
      <c r="C655" t="n">
        <v>64</v>
      </c>
      <c r="D655" t="n">
        <v>90</v>
      </c>
      <c r="E655" t="n">
        <v>80</v>
      </c>
      <c r="F655" t="n">
        <v>0</v>
      </c>
      <c r="G655">
        <f>SUMIF(PRISPELO!B:B, A655, PRISPELO!G:G)</f>
        <v/>
      </c>
      <c r="H655">
        <f>SUMIF(ODPIS!B:B, A655, ODPIS!G:G)</f>
        <v/>
      </c>
      <c r="I655" s="2">
        <f>F655 + G655 - H655</f>
        <v/>
      </c>
    </row>
    <row r="656">
      <c r="A656" t="n">
        <v>2476</v>
      </c>
      <c r="B656" t="inlineStr">
        <is>
          <t>IQ print</t>
        </is>
      </c>
      <c r="C656" t="n">
        <v>70</v>
      </c>
      <c r="D656" t="n">
        <v>100</v>
      </c>
      <c r="E656" t="n">
        <v>90</v>
      </c>
      <c r="F656" t="n">
        <v>500</v>
      </c>
      <c r="G656">
        <f>SUMIF(PRISPELO!B:B, A656, PRISPELO!G:G)</f>
        <v/>
      </c>
      <c r="H656">
        <f>SUMIF(ODPIS!B:B, A656, ODPIS!G:G)</f>
        <v/>
      </c>
      <c r="I656" s="2">
        <f>F656 + G656 - H656</f>
        <v/>
      </c>
    </row>
    <row r="657">
      <c r="A657" t="n">
        <v>2477</v>
      </c>
      <c r="B657" t="inlineStr">
        <is>
          <t>OLIN regular absolute white</t>
        </is>
      </c>
      <c r="C657" t="n">
        <v>72</v>
      </c>
      <c r="D657" t="n">
        <v>102</v>
      </c>
      <c r="E657" t="n">
        <v>250</v>
      </c>
      <c r="F657" t="n">
        <v>0</v>
      </c>
      <c r="G657">
        <f>SUMIF(PRISPELO!B:B, A657, PRISPELO!G:G)</f>
        <v/>
      </c>
      <c r="H657">
        <f>SUMIF(ODPIS!B:B, A657, ODPIS!G:G)</f>
        <v/>
      </c>
      <c r="I657" s="2">
        <f>F657 + G657 - H657</f>
        <v/>
      </c>
    </row>
    <row r="658">
      <c r="A658" t="n">
        <v>2480</v>
      </c>
      <c r="B658" t="inlineStr">
        <is>
          <t>Biogloss</t>
        </is>
      </c>
      <c r="C658" t="n">
        <v>90</v>
      </c>
      <c r="D658" t="n">
        <v>64</v>
      </c>
      <c r="E658" t="n">
        <v>130</v>
      </c>
      <c r="F658" t="n">
        <v>0</v>
      </c>
      <c r="G658">
        <f>SUMIF(PRISPELO!B:B, A658, PRISPELO!G:G)</f>
        <v/>
      </c>
      <c r="H658">
        <f>SUMIF(ODPIS!B:B, A658, ODPIS!G:G)</f>
        <v/>
      </c>
      <c r="I658" s="2">
        <f>F658 + G658 - H658</f>
        <v/>
      </c>
    </row>
    <row r="659">
      <c r="A659" t="n">
        <v>2482</v>
      </c>
      <c r="B659" t="inlineStr">
        <is>
          <t>IQ print</t>
        </is>
      </c>
      <c r="C659" t="n">
        <v>100</v>
      </c>
      <c r="D659" t="n">
        <v>700</v>
      </c>
      <c r="E659" t="n">
        <v>70</v>
      </c>
      <c r="F659" t="n">
        <v>200</v>
      </c>
      <c r="G659">
        <f>SUMIF(PRISPELO!B:B, A659, PRISPELO!G:G)</f>
        <v/>
      </c>
      <c r="H659">
        <f>SUMIF(ODPIS!B:B, A659, ODPIS!G:G)</f>
        <v/>
      </c>
      <c r="I659" s="2">
        <f>F659 + G659 - H659</f>
        <v/>
      </c>
    </row>
    <row r="660">
      <c r="A660" t="n">
        <v>2483</v>
      </c>
      <c r="B660" t="inlineStr">
        <is>
          <t>CYCLUS OFFSET</t>
        </is>
      </c>
      <c r="C660" t="n">
        <v>45</v>
      </c>
      <c r="D660" t="n">
        <v>64</v>
      </c>
      <c r="E660" t="n">
        <v>90</v>
      </c>
      <c r="F660" t="n">
        <v>0</v>
      </c>
      <c r="G660">
        <f>SUMIF(PRISPELO!B:B, A660, PRISPELO!G:G)</f>
        <v/>
      </c>
      <c r="H660">
        <f>SUMIF(ODPIS!B:B, A660, ODPIS!G:G)</f>
        <v/>
      </c>
      <c r="I660" s="2">
        <f>F660 + G660 - H660</f>
        <v/>
      </c>
    </row>
    <row r="661">
      <c r="A661" t="n">
        <v>2485</v>
      </c>
      <c r="B661" t="inlineStr">
        <is>
          <t>biogloss</t>
        </is>
      </c>
      <c r="C661" t="n">
        <v>86</v>
      </c>
      <c r="D661" t="n">
        <v>61</v>
      </c>
      <c r="E661" t="n">
        <v>90</v>
      </c>
      <c r="F661" t="n">
        <v>0</v>
      </c>
      <c r="G661">
        <f>SUMIF(PRISPELO!B:B, A661, PRISPELO!G:G)</f>
        <v/>
      </c>
      <c r="H661">
        <f>SUMIF(ODPIS!B:B, A661, ODPIS!G:G)</f>
        <v/>
      </c>
      <c r="I661" s="2">
        <f>F661 + G661 - H661</f>
        <v/>
      </c>
    </row>
    <row r="662">
      <c r="A662" t="n">
        <v>2487</v>
      </c>
      <c r="B662" t="inlineStr">
        <is>
          <t>target plus</t>
        </is>
      </c>
      <c r="C662" t="n">
        <v>70</v>
      </c>
      <c r="D662" t="n">
        <v>100</v>
      </c>
      <c r="E662" t="n">
        <v>250</v>
      </c>
      <c r="F662" t="n">
        <v>0</v>
      </c>
      <c r="G662">
        <f>SUMIF(PRISPELO!B:B, A662, PRISPELO!G:G)</f>
        <v/>
      </c>
      <c r="H662">
        <f>SUMIF(ODPIS!B:B, A662, ODPIS!G:G)</f>
        <v/>
      </c>
      <c r="I662" s="2">
        <f>F662 + G662 - H662</f>
        <v/>
      </c>
    </row>
    <row r="663">
      <c r="A663" t="n">
        <v>2488</v>
      </c>
      <c r="B663" t="inlineStr">
        <is>
          <t>IQ print</t>
        </is>
      </c>
      <c r="C663" t="n">
        <v>90</v>
      </c>
      <c r="D663" t="n">
        <v>64</v>
      </c>
      <c r="E663" t="n">
        <v>70</v>
      </c>
      <c r="F663" t="n">
        <v>0</v>
      </c>
      <c r="G663">
        <f>SUMIF(PRISPELO!B:B, A663, PRISPELO!G:G)</f>
        <v/>
      </c>
      <c r="H663">
        <f>SUMIF(ODPIS!B:B, A663, ODPIS!G:G)</f>
        <v/>
      </c>
      <c r="I663" s="2">
        <f>F663 + G663 - H663</f>
        <v/>
      </c>
    </row>
    <row r="664">
      <c r="A664" t="n">
        <v>2490</v>
      </c>
      <c r="B664" t="inlineStr">
        <is>
          <t>IQ print</t>
        </is>
      </c>
      <c r="C664" t="n">
        <v>70</v>
      </c>
      <c r="D664" t="n">
        <v>100</v>
      </c>
      <c r="E664" t="n">
        <v>70</v>
      </c>
      <c r="F664" t="n">
        <v>0</v>
      </c>
      <c r="G664">
        <f>SUMIF(PRISPELO!B:B, A664, PRISPELO!G:G)</f>
        <v/>
      </c>
      <c r="H664">
        <f>SUMIF(ODPIS!B:B, A664, ODPIS!G:G)</f>
        <v/>
      </c>
      <c r="I664" s="2">
        <f>F664 + G664 - H664</f>
        <v/>
      </c>
    </row>
    <row r="665">
      <c r="A665" t="n">
        <v>2491</v>
      </c>
      <c r="B665" t="inlineStr">
        <is>
          <t>IDEM REACTO CFB</t>
        </is>
      </c>
      <c r="C665" t="n">
        <v>45</v>
      </c>
      <c r="D665" t="n">
        <v>64</v>
      </c>
      <c r="E665" t="n">
        <v>60</v>
      </c>
      <c r="F665" t="n">
        <v>0</v>
      </c>
      <c r="G665">
        <f>SUMIF(PRISPELO!B:B, A665, PRISPELO!G:G)</f>
        <v/>
      </c>
      <c r="H665">
        <f>SUMIF(ODPIS!B:B, A665, ODPIS!G:G)</f>
        <v/>
      </c>
      <c r="I665" s="2">
        <f>F665 + G665 - H665</f>
        <v/>
      </c>
    </row>
    <row r="666">
      <c r="A666" t="n">
        <v>2492</v>
      </c>
      <c r="B666" t="inlineStr">
        <is>
          <t>MM LINER</t>
        </is>
      </c>
      <c r="C666" t="n">
        <v>71</v>
      </c>
      <c r="D666" t="n">
        <v>101</v>
      </c>
      <c r="E666" t="n">
        <v>230</v>
      </c>
      <c r="F666" t="n">
        <v>0</v>
      </c>
      <c r="G666">
        <f>SUMIF(PRISPELO!B:B, A666, PRISPELO!G:G)</f>
        <v/>
      </c>
      <c r="H666">
        <f>SUMIF(ODPIS!B:B, A666, ODPIS!G:G)</f>
        <v/>
      </c>
      <c r="I666" s="2">
        <f>F666 + G666 - H666</f>
        <v/>
      </c>
    </row>
    <row r="667">
      <c r="A667" t="n">
        <v>2493</v>
      </c>
      <c r="B667" t="inlineStr">
        <is>
          <t>AMBER GRAPHIC</t>
        </is>
      </c>
      <c r="C667" t="n">
        <v>90</v>
      </c>
      <c r="D667" t="n">
        <v>64</v>
      </c>
      <c r="E667" t="n">
        <v>100</v>
      </c>
      <c r="F667" t="n">
        <v>0</v>
      </c>
      <c r="G667">
        <f>SUMIF(PRISPELO!B:B, A667, PRISPELO!G:G)</f>
        <v/>
      </c>
      <c r="H667">
        <f>SUMIF(ODPIS!B:B, A667, ODPIS!G:G)</f>
        <v/>
      </c>
      <c r="I667" s="2">
        <f>F667 + G667 - H667</f>
        <v/>
      </c>
    </row>
    <row r="668">
      <c r="A668" t="n">
        <v>2494</v>
      </c>
      <c r="B668" t="inlineStr">
        <is>
          <t>IQ print</t>
        </is>
      </c>
      <c r="C668" t="n">
        <v>70</v>
      </c>
      <c r="D668" t="n">
        <v>100</v>
      </c>
      <c r="E668" t="n">
        <v>190</v>
      </c>
      <c r="F668" t="n">
        <v>0</v>
      </c>
      <c r="G668">
        <f>SUMIF(PRISPELO!B:B, A668, PRISPELO!G:G)</f>
        <v/>
      </c>
      <c r="H668">
        <f>SUMIF(ODPIS!B:B, A668, ODPIS!G:G)</f>
        <v/>
      </c>
      <c r="I668" s="2">
        <f>F668 + G668 - H668</f>
        <v/>
      </c>
    </row>
    <row r="669">
      <c r="A669" t="n">
        <v>2495</v>
      </c>
      <c r="B669" t="inlineStr">
        <is>
          <t>IQ print</t>
        </is>
      </c>
      <c r="C669" t="n">
        <v>70</v>
      </c>
      <c r="D669" t="n">
        <v>100</v>
      </c>
      <c r="E669" t="n">
        <v>100</v>
      </c>
      <c r="F669" t="n">
        <v>0</v>
      </c>
      <c r="G669">
        <f>SUMIF(PRISPELO!B:B, A669, PRISPELO!G:G)</f>
        <v/>
      </c>
      <c r="H669">
        <f>SUMIF(ODPIS!B:B, A669, ODPIS!G:G)</f>
        <v/>
      </c>
      <c r="I669" s="2">
        <f>F669 + G669 - H669</f>
        <v/>
      </c>
    </row>
    <row r="670">
      <c r="A670" t="n">
        <v>2497</v>
      </c>
      <c r="B670" t="inlineStr">
        <is>
          <t>IQ print</t>
        </is>
      </c>
      <c r="C670" t="n">
        <v>90</v>
      </c>
      <c r="D670" t="n">
        <v>64</v>
      </c>
      <c r="E670" t="n">
        <v>120</v>
      </c>
      <c r="F670" t="n">
        <v>0</v>
      </c>
      <c r="G670">
        <f>SUMIF(PRISPELO!B:B, A670, PRISPELO!G:G)</f>
        <v/>
      </c>
      <c r="H670">
        <f>SUMIF(ODPIS!B:B, A670, ODPIS!G:G)</f>
        <v/>
      </c>
      <c r="I670" s="2">
        <f>F670 + G670 - H670</f>
        <v/>
      </c>
    </row>
    <row r="671">
      <c r="A671" t="n">
        <v>2498</v>
      </c>
      <c r="B671" t="inlineStr">
        <is>
          <t>IQ print</t>
        </is>
      </c>
      <c r="C671" t="n">
        <v>64</v>
      </c>
      <c r="D671" t="n">
        <v>90</v>
      </c>
      <c r="E671" t="n">
        <v>140</v>
      </c>
      <c r="F671" t="n">
        <v>0</v>
      </c>
      <c r="G671">
        <f>SUMIF(PRISPELO!B:B, A671, PRISPELO!G:G)</f>
        <v/>
      </c>
      <c r="H671">
        <f>SUMIF(ODPIS!B:B, A671, ODPIS!G:G)</f>
        <v/>
      </c>
      <c r="I671" s="2">
        <f>F671 + G671 - H671</f>
        <v/>
      </c>
    </row>
    <row r="672">
      <c r="A672" t="n">
        <v>2499</v>
      </c>
      <c r="B672" t="inlineStr">
        <is>
          <t>ZENIT</t>
        </is>
      </c>
      <c r="C672" t="n">
        <v>72</v>
      </c>
      <c r="D672" t="n">
        <v>102</v>
      </c>
      <c r="E672" t="n">
        <v>325</v>
      </c>
      <c r="F672" t="n">
        <v>0</v>
      </c>
      <c r="G672">
        <f>SUMIF(PRISPELO!B:B, A672, PRISPELO!G:G)</f>
        <v/>
      </c>
      <c r="H672">
        <f>SUMIF(ODPIS!B:B, A672, ODPIS!G:G)</f>
        <v/>
      </c>
      <c r="I672" s="2">
        <f>F672 + G672 - H672</f>
        <v/>
      </c>
    </row>
    <row r="673">
      <c r="A673" t="n">
        <v>2500</v>
      </c>
      <c r="B673" t="inlineStr">
        <is>
          <t>IQ print</t>
        </is>
      </c>
      <c r="C673" t="n">
        <v>100</v>
      </c>
      <c r="D673" t="n">
        <v>70</v>
      </c>
      <c r="E673" t="n">
        <v>90</v>
      </c>
      <c r="F673" t="n">
        <v>0</v>
      </c>
      <c r="G673">
        <f>SUMIF(PRISPELO!B:B, A673, PRISPELO!G:G)</f>
        <v/>
      </c>
      <c r="H673">
        <f>SUMIF(ODPIS!B:B, A673, ODPIS!G:G)</f>
        <v/>
      </c>
      <c r="I673" s="2">
        <f>F673 + G673 - H673</f>
        <v/>
      </c>
    </row>
    <row r="674">
      <c r="A674" t="n">
        <v>2501</v>
      </c>
      <c r="B674" t="inlineStr">
        <is>
          <t>Garda gloss</t>
        </is>
      </c>
      <c r="C674" t="n">
        <v>90</v>
      </c>
      <c r="D674" t="n">
        <v>64</v>
      </c>
      <c r="E674" t="n">
        <v>100</v>
      </c>
      <c r="F674" t="n">
        <v>50</v>
      </c>
      <c r="G674">
        <f>SUMIF(PRISPELO!B:B, A674, PRISPELO!G:G)</f>
        <v/>
      </c>
      <c r="H674">
        <f>SUMIF(ODPIS!B:B, A674, ODPIS!G:G)</f>
        <v/>
      </c>
      <c r="I674" s="2">
        <f>F674 + G674 - H674</f>
        <v/>
      </c>
    </row>
    <row r="675">
      <c r="A675" t="n">
        <v>2502</v>
      </c>
      <c r="B675" t="inlineStr">
        <is>
          <t>Garda gloss</t>
        </is>
      </c>
      <c r="C675" t="n">
        <v>100</v>
      </c>
      <c r="D675" t="n">
        <v>70</v>
      </c>
      <c r="E675" t="n">
        <v>100</v>
      </c>
      <c r="F675" t="n">
        <v>0</v>
      </c>
      <c r="G675">
        <f>SUMIF(PRISPELO!B:B, A675, PRISPELO!G:G)</f>
        <v/>
      </c>
      <c r="H675">
        <f>SUMIF(ODPIS!B:B, A675, ODPIS!G:G)</f>
        <v/>
      </c>
      <c r="I675" s="2">
        <f>F675 + G675 - H675</f>
        <v/>
      </c>
    </row>
    <row r="676">
      <c r="A676" t="n">
        <v>2503</v>
      </c>
      <c r="B676" t="inlineStr">
        <is>
          <t>OLIN REG.HIGH WHITE</t>
        </is>
      </c>
      <c r="C676" t="n">
        <v>72</v>
      </c>
      <c r="D676" t="n">
        <v>102</v>
      </c>
      <c r="E676" t="n">
        <v>300</v>
      </c>
      <c r="F676" t="n">
        <v>0</v>
      </c>
      <c r="G676">
        <f>SUMIF(PRISPELO!B:B, A676, PRISPELO!G:G)</f>
        <v/>
      </c>
      <c r="H676">
        <f>SUMIF(ODPIS!B:B, A676, ODPIS!G:G)</f>
        <v/>
      </c>
      <c r="I676" s="2">
        <f>F676 + G676 - H676</f>
        <v/>
      </c>
    </row>
    <row r="677">
      <c r="A677" t="n">
        <v>2504</v>
      </c>
      <c r="B677" t="inlineStr">
        <is>
          <t>IQ print</t>
        </is>
      </c>
      <c r="C677" t="n">
        <v>45</v>
      </c>
      <c r="D677" t="n">
        <v>64</v>
      </c>
      <c r="E677" t="n">
        <v>90</v>
      </c>
      <c r="F677" t="n">
        <v>0</v>
      </c>
      <c r="G677">
        <f>SUMIF(PRISPELO!B:B, A677, PRISPELO!G:G)</f>
        <v/>
      </c>
      <c r="H677">
        <f>SUMIF(ODPIS!B:B, A677, ODPIS!G:G)</f>
        <v/>
      </c>
      <c r="I677" s="2">
        <f>F677 + G677 - H677</f>
        <v/>
      </c>
    </row>
    <row r="678">
      <c r="A678" t="n">
        <v>2505</v>
      </c>
      <c r="B678" t="inlineStr">
        <is>
          <t>IQ PREMIUM</t>
        </is>
      </c>
      <c r="C678" t="n">
        <v>63.8</v>
      </c>
      <c r="D678" t="n">
        <v>39.8</v>
      </c>
      <c r="E678" t="n">
        <v>160</v>
      </c>
      <c r="F678" t="n">
        <v>0</v>
      </c>
      <c r="G678">
        <f>SUMIF(PRISPELO!B:B, A678, PRISPELO!G:G)</f>
        <v/>
      </c>
      <c r="H678">
        <f>SUMIF(ODPIS!B:B, A678, ODPIS!G:G)</f>
        <v/>
      </c>
      <c r="I678" s="2">
        <f>F678 + G678 - H678</f>
        <v/>
      </c>
    </row>
    <row r="679">
      <c r="A679" t="n">
        <v>2507</v>
      </c>
      <c r="B679" t="inlineStr">
        <is>
          <t>Magno gloss</t>
        </is>
      </c>
      <c r="C679" t="n">
        <v>90</v>
      </c>
      <c r="D679" t="n">
        <v>64</v>
      </c>
      <c r="E679" t="n">
        <v>135</v>
      </c>
      <c r="F679" t="n">
        <v>0</v>
      </c>
      <c r="G679">
        <f>SUMIF(PRISPELO!B:B, A679, PRISPELO!G:G)</f>
        <v/>
      </c>
      <c r="H679">
        <f>SUMIF(ODPIS!B:B, A679, ODPIS!G:G)</f>
        <v/>
      </c>
      <c r="I679" s="2">
        <f>F679 + G679 - H679</f>
        <v/>
      </c>
    </row>
    <row r="680">
      <c r="A680" t="n">
        <v>2508</v>
      </c>
      <c r="B680" t="inlineStr">
        <is>
          <t>Magno gloss</t>
        </is>
      </c>
      <c r="C680" t="n">
        <v>90</v>
      </c>
      <c r="D680" t="n">
        <v>64</v>
      </c>
      <c r="E680" t="n">
        <v>250</v>
      </c>
      <c r="F680" t="n">
        <v>0</v>
      </c>
      <c r="G680">
        <f>SUMIF(PRISPELO!B:B, A680, PRISPELO!G:G)</f>
        <v/>
      </c>
      <c r="H680">
        <f>SUMIF(ODPIS!B:B, A680, ODPIS!G:G)</f>
        <v/>
      </c>
      <c r="I680" s="2">
        <f>F680 + G680 - H680</f>
        <v/>
      </c>
    </row>
    <row r="681">
      <c r="A681" t="n">
        <v>2511</v>
      </c>
      <c r="B681" t="inlineStr">
        <is>
          <t>Condat gloss</t>
        </is>
      </c>
      <c r="C681" t="n">
        <v>64</v>
      </c>
      <c r="D681" t="n">
        <v>90</v>
      </c>
      <c r="E681" t="n">
        <v>130</v>
      </c>
      <c r="F681" t="n">
        <v>0</v>
      </c>
      <c r="G681">
        <f>SUMIF(PRISPELO!B:B, A681, PRISPELO!G:G)</f>
        <v/>
      </c>
      <c r="H681">
        <f>SUMIF(ODPIS!B:B, A681, ODPIS!G:G)</f>
        <v/>
      </c>
      <c r="I681" s="2">
        <f>F681 + G681 - H681</f>
        <v/>
      </c>
    </row>
    <row r="682">
      <c r="A682" t="n">
        <v>2512</v>
      </c>
      <c r="B682" t="inlineStr">
        <is>
          <t>Condat gloss</t>
        </is>
      </c>
      <c r="C682" t="n">
        <v>64</v>
      </c>
      <c r="D682" t="n">
        <v>90</v>
      </c>
      <c r="E682" t="n">
        <v>250</v>
      </c>
      <c r="F682" t="n">
        <v>0</v>
      </c>
      <c r="G682">
        <f>SUMIF(PRISPELO!B:B, A682, PRISPELO!G:G)</f>
        <v/>
      </c>
      <c r="H682">
        <f>SUMIF(ODPIS!B:B, A682, ODPIS!G:G)</f>
        <v/>
      </c>
      <c r="I682" s="2">
        <f>F682 + G682 - H682</f>
        <v/>
      </c>
    </row>
    <row r="683">
      <c r="A683" t="n">
        <v>2513</v>
      </c>
      <c r="B683" t="inlineStr">
        <is>
          <t>Samolepilni Raflatac offset gloss</t>
        </is>
      </c>
      <c r="C683" t="n">
        <v>50</v>
      </c>
      <c r="D683" t="n">
        <v>70</v>
      </c>
      <c r="E683" t="n">
        <v>98</v>
      </c>
      <c r="F683" t="n">
        <v>0</v>
      </c>
      <c r="G683">
        <f>SUMIF(PRISPELO!B:B, A683, PRISPELO!G:G)</f>
        <v/>
      </c>
      <c r="H683">
        <f>SUMIF(ODPIS!B:B, A683, ODPIS!G:G)</f>
        <v/>
      </c>
      <c r="I683" s="2">
        <f>F683 + G683 - H683</f>
        <v/>
      </c>
    </row>
    <row r="684">
      <c r="A684" t="n">
        <v>2514</v>
      </c>
      <c r="B684" t="inlineStr">
        <is>
          <t>Garda matt</t>
        </is>
      </c>
      <c r="C684" t="n">
        <v>64</v>
      </c>
      <c r="D684" t="n">
        <v>90</v>
      </c>
      <c r="E684" t="n">
        <v>90</v>
      </c>
      <c r="F684" t="n">
        <v>1000</v>
      </c>
      <c r="G684">
        <f>SUMIF(PRISPELO!B:B, A684, PRISPELO!G:G)</f>
        <v/>
      </c>
      <c r="H684">
        <f>SUMIF(ODPIS!B:B, A684, ODPIS!G:G)</f>
        <v/>
      </c>
      <c r="I684" s="2">
        <f>F684 + G684 - H684</f>
        <v/>
      </c>
    </row>
    <row r="685">
      <c r="A685" t="n">
        <v>2515</v>
      </c>
      <c r="B685" t="inlineStr">
        <is>
          <t>IQ selection white board</t>
        </is>
      </c>
      <c r="C685" t="n">
        <v>72</v>
      </c>
      <c r="D685" t="n">
        <v>102</v>
      </c>
      <c r="E685" t="n">
        <v>200</v>
      </c>
      <c r="F685" t="n">
        <v>0</v>
      </c>
      <c r="G685">
        <f>SUMIF(PRISPELO!B:B, A685, PRISPELO!G:G)</f>
        <v/>
      </c>
      <c r="H685">
        <f>SUMIF(ODPIS!B:B, A685, ODPIS!G:G)</f>
        <v/>
      </c>
      <c r="I685" s="2">
        <f>F685 + G685 - H685</f>
        <v/>
      </c>
    </row>
    <row r="686">
      <c r="A686" t="n">
        <v>2517</v>
      </c>
      <c r="B686" t="inlineStr">
        <is>
          <t>Condat gloss</t>
        </is>
      </c>
      <c r="C686" t="n">
        <v>52</v>
      </c>
      <c r="D686" t="n">
        <v>68</v>
      </c>
      <c r="E686" t="n">
        <v>135</v>
      </c>
      <c r="F686" t="n">
        <v>0</v>
      </c>
      <c r="G686">
        <f>SUMIF(PRISPELO!B:B, A686, PRISPELO!G:G)</f>
        <v/>
      </c>
      <c r="H686">
        <f>SUMIF(ODPIS!B:B, A686, ODPIS!G:G)</f>
        <v/>
      </c>
      <c r="I686" s="2">
        <f>F686 + G686 - H686</f>
        <v/>
      </c>
    </row>
    <row r="687">
      <c r="A687" t="n">
        <v>2518</v>
      </c>
      <c r="B687" t="inlineStr">
        <is>
          <t>Condat gloss</t>
        </is>
      </c>
      <c r="C687" t="n">
        <v>70</v>
      </c>
      <c r="D687" t="n">
        <v>100</v>
      </c>
      <c r="E687" t="n">
        <v>250</v>
      </c>
      <c r="F687" t="n">
        <v>0</v>
      </c>
      <c r="G687">
        <f>SUMIF(PRISPELO!B:B, A687, PRISPELO!G:G)</f>
        <v/>
      </c>
      <c r="H687">
        <f>SUMIF(ODPIS!B:B, A687, ODPIS!G:G)</f>
        <v/>
      </c>
      <c r="I687" s="2">
        <f>F687 + G687 - H687</f>
        <v/>
      </c>
    </row>
    <row r="688">
      <c r="A688" t="n">
        <v>2520</v>
      </c>
      <c r="B688" t="inlineStr">
        <is>
          <t>DALI NEVE</t>
        </is>
      </c>
      <c r="C688" t="n">
        <v>72</v>
      </c>
      <c r="D688" t="n">
        <v>101</v>
      </c>
      <c r="E688" t="n">
        <v>120</v>
      </c>
      <c r="F688" t="n">
        <v>0</v>
      </c>
      <c r="G688">
        <f>SUMIF(PRISPELO!B:B, A688, PRISPELO!G:G)</f>
        <v/>
      </c>
      <c r="H688">
        <f>SUMIF(ODPIS!B:B, A688, ODPIS!G:G)</f>
        <v/>
      </c>
      <c r="I688" s="2">
        <f>F688 + G688 - H688</f>
        <v/>
      </c>
    </row>
    <row r="689">
      <c r="A689" t="n">
        <v>2521</v>
      </c>
      <c r="B689" t="inlineStr">
        <is>
          <t>Magno gloss</t>
        </is>
      </c>
      <c r="C689" t="n">
        <v>70</v>
      </c>
      <c r="D689" t="n">
        <v>100</v>
      </c>
      <c r="E689" t="n">
        <v>250</v>
      </c>
      <c r="F689" t="n">
        <v>0</v>
      </c>
      <c r="G689">
        <f>SUMIF(PRISPELO!B:B, A689, PRISPELO!G:G)</f>
        <v/>
      </c>
      <c r="H689">
        <f>SUMIF(ODPIS!B:B, A689, ODPIS!G:G)</f>
        <v/>
      </c>
      <c r="I689" s="2">
        <f>F689 + G689 - H689</f>
        <v/>
      </c>
    </row>
    <row r="690">
      <c r="A690" t="n">
        <v>2522</v>
      </c>
      <c r="B690" t="inlineStr">
        <is>
          <t>KROMOPAK</t>
        </is>
      </c>
      <c r="C690" t="n">
        <v>71</v>
      </c>
      <c r="D690" t="n">
        <v>101</v>
      </c>
      <c r="E690" t="n">
        <v>300</v>
      </c>
      <c r="F690" t="n">
        <v>0</v>
      </c>
      <c r="G690">
        <f>SUMIF(PRISPELO!B:B, A690, PRISPELO!G:G)</f>
        <v/>
      </c>
      <c r="H690">
        <f>SUMIF(ODPIS!B:B, A690, ODPIS!G:G)</f>
        <v/>
      </c>
      <c r="I690" s="2">
        <f>F690 + G690 - H690</f>
        <v/>
      </c>
    </row>
    <row r="691">
      <c r="A691" t="n">
        <v>2524</v>
      </c>
      <c r="B691" t="inlineStr">
        <is>
          <t>IQ PRINT</t>
        </is>
      </c>
      <c r="C691" t="n">
        <v>64</v>
      </c>
      <c r="D691" t="n">
        <v>90</v>
      </c>
      <c r="E691" t="n">
        <v>120</v>
      </c>
      <c r="F691" t="n">
        <v>0</v>
      </c>
      <c r="G691">
        <f>SUMIF(PRISPELO!B:B, A691, PRISPELO!G:G)</f>
        <v/>
      </c>
      <c r="H691">
        <f>SUMIF(ODPIS!B:B, A691, ODPIS!G:G)</f>
        <v/>
      </c>
      <c r="I691" s="2">
        <f>F691 + G691 - H691</f>
        <v/>
      </c>
    </row>
    <row r="692">
      <c r="A692" t="n">
        <v>2525</v>
      </c>
      <c r="B692" t="inlineStr">
        <is>
          <t>PIONEER</t>
        </is>
      </c>
      <c r="C692" t="n">
        <v>45</v>
      </c>
      <c r="D692" t="n">
        <v>64</v>
      </c>
      <c r="E692" t="n">
        <v>100</v>
      </c>
      <c r="F692" t="n">
        <v>0</v>
      </c>
      <c r="G692">
        <f>SUMIF(PRISPELO!B:B, A692, PRISPELO!G:G)</f>
        <v/>
      </c>
      <c r="H692">
        <f>SUMIF(ODPIS!B:B, A692, ODPIS!G:G)</f>
        <v/>
      </c>
      <c r="I692" s="2">
        <f>F692 + G692 - H692</f>
        <v/>
      </c>
    </row>
    <row r="693">
      <c r="A693" t="n">
        <v>2527</v>
      </c>
      <c r="B693" t="inlineStr">
        <is>
          <t>Condat silk</t>
        </is>
      </c>
      <c r="C693" t="n">
        <v>70</v>
      </c>
      <c r="D693" t="n">
        <v>51.5</v>
      </c>
      <c r="E693" t="n">
        <v>130</v>
      </c>
      <c r="F693" t="n">
        <v>0</v>
      </c>
      <c r="G693">
        <f>SUMIF(PRISPELO!B:B, A693, PRISPELO!G:G)</f>
        <v/>
      </c>
      <c r="H693">
        <f>SUMIF(ODPIS!B:B, A693, ODPIS!G:G)</f>
        <v/>
      </c>
      <c r="I693" s="2">
        <f>F693 + G693 - H693</f>
        <v/>
      </c>
    </row>
    <row r="694">
      <c r="A694" t="n">
        <v>2528</v>
      </c>
      <c r="B694" t="inlineStr">
        <is>
          <t>Garda matt</t>
        </is>
      </c>
      <c r="C694" t="n">
        <v>100</v>
      </c>
      <c r="D694" t="n">
        <v>70</v>
      </c>
      <c r="E694" t="n">
        <v>90</v>
      </c>
      <c r="F694" t="n">
        <v>400</v>
      </c>
      <c r="G694">
        <f>SUMIF(PRISPELO!B:B, A694, PRISPELO!G:G)</f>
        <v/>
      </c>
      <c r="H694">
        <f>SUMIF(ODPIS!B:B, A694, ODPIS!G:G)</f>
        <v/>
      </c>
      <c r="I694" s="2">
        <f>F694 + G694 - H694</f>
        <v/>
      </c>
    </row>
    <row r="695">
      <c r="A695" t="n">
        <v>2530</v>
      </c>
      <c r="B695" t="inlineStr">
        <is>
          <t>IQ PRINT</t>
        </is>
      </c>
      <c r="C695" t="n">
        <v>61</v>
      </c>
      <c r="D695" t="n">
        <v>86</v>
      </c>
      <c r="E695" t="n">
        <v>80</v>
      </c>
      <c r="F695" t="n">
        <v>0</v>
      </c>
      <c r="G695">
        <f>SUMIF(PRISPELO!B:B, A695, PRISPELO!G:G)</f>
        <v/>
      </c>
      <c r="H695">
        <f>SUMIF(ODPIS!B:B, A695, ODPIS!G:G)</f>
        <v/>
      </c>
      <c r="I695" s="2">
        <f>F695 + G695 - H695</f>
        <v/>
      </c>
    </row>
    <row r="696">
      <c r="A696" t="n">
        <v>2531</v>
      </c>
      <c r="B696" t="inlineStr">
        <is>
          <t>MAGNO GLOSS</t>
        </is>
      </c>
      <c r="C696" t="n">
        <v>63.8</v>
      </c>
      <c r="D696" t="n">
        <v>44.8</v>
      </c>
      <c r="E696" t="n">
        <v>130</v>
      </c>
      <c r="F696" t="n">
        <v>0</v>
      </c>
      <c r="G696">
        <f>SUMIF(PRISPELO!B:B, A696, PRISPELO!G:G)</f>
        <v/>
      </c>
      <c r="H696">
        <f>SUMIF(ODPIS!B:B, A696, ODPIS!G:G)</f>
        <v/>
      </c>
      <c r="I696" s="2">
        <f>F696 + G696 - H696</f>
        <v/>
      </c>
    </row>
    <row r="697">
      <c r="A697" t="n">
        <v>2536</v>
      </c>
      <c r="B697" t="inlineStr">
        <is>
          <t>IQ print</t>
        </is>
      </c>
      <c r="C697" t="n">
        <v>70</v>
      </c>
      <c r="D697" t="n">
        <v>100</v>
      </c>
      <c r="E697" t="n">
        <v>170</v>
      </c>
      <c r="F697" t="n">
        <v>0</v>
      </c>
      <c r="G697">
        <f>SUMIF(PRISPELO!B:B, A697, PRISPELO!G:G)</f>
        <v/>
      </c>
      <c r="H697">
        <f>SUMIF(ODPIS!B:B, A697, ODPIS!G:G)</f>
        <v/>
      </c>
      <c r="I697" s="2">
        <f>F697 + G697 - H697</f>
        <v/>
      </c>
    </row>
    <row r="698">
      <c r="A698" t="n">
        <v>2537</v>
      </c>
      <c r="B698" t="inlineStr">
        <is>
          <t>TARGET</t>
        </is>
      </c>
      <c r="C698" t="n">
        <v>70</v>
      </c>
      <c r="D698" t="n">
        <v>100</v>
      </c>
      <c r="E698" t="n">
        <v>300</v>
      </c>
      <c r="F698" t="n">
        <v>0</v>
      </c>
      <c r="G698">
        <f>SUMIF(PRISPELO!B:B, A698, PRISPELO!G:G)</f>
        <v/>
      </c>
      <c r="H698">
        <f>SUMIF(ODPIS!B:B, A698, ODPIS!G:G)</f>
        <v/>
      </c>
      <c r="I698" s="2">
        <f>F698 + G698 - H698</f>
        <v/>
      </c>
    </row>
    <row r="699">
      <c r="A699" t="n">
        <v>2538</v>
      </c>
      <c r="B699" t="inlineStr">
        <is>
          <t>BELI NATRON</t>
        </is>
      </c>
      <c r="C699" t="n">
        <v>90</v>
      </c>
      <c r="D699" t="n">
        <v>126</v>
      </c>
      <c r="E699" t="n">
        <v>90</v>
      </c>
      <c r="F699" t="n">
        <v>0</v>
      </c>
      <c r="G699">
        <f>SUMIF(PRISPELO!B:B, A699, PRISPELO!G:G)</f>
        <v/>
      </c>
      <c r="H699">
        <f>SUMIF(ODPIS!B:B, A699, ODPIS!G:G)</f>
        <v/>
      </c>
      <c r="I699" s="2">
        <f>F699 + G699 - H699</f>
        <v/>
      </c>
    </row>
    <row r="700">
      <c r="A700" t="n">
        <v>2539</v>
      </c>
      <c r="B700" t="inlineStr">
        <is>
          <t>IQ COLOR IVORY RUMEN</t>
        </is>
      </c>
      <c r="C700" t="n">
        <v>92</v>
      </c>
      <c r="D700" t="n">
        <v>65</v>
      </c>
      <c r="E700" t="n">
        <v>80</v>
      </c>
      <c r="F700" t="n">
        <v>0</v>
      </c>
      <c r="G700">
        <f>SUMIF(PRISPELO!B:B, A700, PRISPELO!G:G)</f>
        <v/>
      </c>
      <c r="H700">
        <f>SUMIF(ODPIS!B:B, A700, ODPIS!G:G)</f>
        <v/>
      </c>
      <c r="I700" s="2">
        <f>F700 + G700 - H700</f>
        <v/>
      </c>
    </row>
    <row r="701">
      <c r="A701" t="n">
        <v>2540</v>
      </c>
      <c r="B701" t="inlineStr">
        <is>
          <t>IQ ZELEN MG82</t>
        </is>
      </c>
      <c r="C701" t="n">
        <v>92</v>
      </c>
      <c r="D701" t="n">
        <v>65</v>
      </c>
      <c r="E701" t="n">
        <v>80</v>
      </c>
      <c r="F701" t="n">
        <v>0</v>
      </c>
      <c r="G701">
        <f>SUMIF(PRISPELO!B:B, A701, PRISPELO!G:G)</f>
        <v/>
      </c>
      <c r="H701">
        <f>SUMIF(ODPIS!B:B, A701, ODPIS!G:G)</f>
        <v/>
      </c>
      <c r="I701" s="2">
        <f>F701 + G701 - H701</f>
        <v/>
      </c>
    </row>
    <row r="702">
      <c r="A702" t="n">
        <v>2541</v>
      </c>
      <c r="B702" t="inlineStr">
        <is>
          <t>IQ MODER</t>
        </is>
      </c>
      <c r="C702" t="n">
        <v>92</v>
      </c>
      <c r="D702" t="n">
        <v>65</v>
      </c>
      <c r="E702" t="n">
        <v>80</v>
      </c>
      <c r="F702" t="n">
        <v>0</v>
      </c>
      <c r="G702">
        <f>SUMIF(PRISPELO!B:B, A702, PRISPELO!G:G)</f>
        <v/>
      </c>
      <c r="H702">
        <f>SUMIF(ODPIS!B:B, A702, ODPIS!G:G)</f>
        <v/>
      </c>
      <c r="I702" s="2">
        <f>F702 + G702 - H702</f>
        <v/>
      </c>
    </row>
    <row r="703">
      <c r="A703" t="n">
        <v>2542</v>
      </c>
      <c r="B703" t="inlineStr">
        <is>
          <t>IQ RDEČ</t>
        </is>
      </c>
      <c r="C703" t="n">
        <v>92</v>
      </c>
      <c r="D703" t="n">
        <v>65</v>
      </c>
      <c r="E703" t="n">
        <v>80</v>
      </c>
      <c r="F703" t="n">
        <v>0</v>
      </c>
      <c r="G703">
        <f>SUMIF(PRISPELO!B:B, A703, PRISPELO!G:G)</f>
        <v/>
      </c>
      <c r="H703">
        <f>SUMIF(ODPIS!B:B, A703, ODPIS!G:G)</f>
        <v/>
      </c>
      <c r="I703" s="2">
        <f>F703 + G703 - H703</f>
        <v/>
      </c>
    </row>
    <row r="704">
      <c r="A704" t="n">
        <v>2543</v>
      </c>
      <c r="B704" t="inlineStr">
        <is>
          <t>Magno satin</t>
        </is>
      </c>
      <c r="C704" t="n">
        <v>100</v>
      </c>
      <c r="D704" t="n">
        <v>70</v>
      </c>
      <c r="E704" t="n">
        <v>130</v>
      </c>
      <c r="F704" t="n">
        <v>0</v>
      </c>
      <c r="G704">
        <f>SUMIF(PRISPELO!B:B, A704, PRISPELO!G:G)</f>
        <v/>
      </c>
      <c r="H704">
        <f>SUMIF(ODPIS!B:B, A704, ODPIS!G:G)</f>
        <v/>
      </c>
      <c r="I704" s="2">
        <f>F704 + G704 - H704</f>
        <v/>
      </c>
    </row>
    <row r="705">
      <c r="A705" t="n">
        <v>2545</v>
      </c>
      <c r="B705" t="inlineStr">
        <is>
          <t>Magno satin</t>
        </is>
      </c>
      <c r="C705" t="n">
        <v>70</v>
      </c>
      <c r="D705" t="n">
        <v>100</v>
      </c>
      <c r="E705" t="n">
        <v>170</v>
      </c>
      <c r="F705" t="n">
        <v>0</v>
      </c>
      <c r="G705">
        <f>SUMIF(PRISPELO!B:B, A705, PRISPELO!G:G)</f>
        <v/>
      </c>
      <c r="H705">
        <f>SUMIF(ODPIS!B:B, A705, ODPIS!G:G)</f>
        <v/>
      </c>
      <c r="I705" s="2">
        <f>F705 + G705 - H705</f>
        <v/>
      </c>
    </row>
    <row r="706">
      <c r="A706" t="n">
        <v>3292</v>
      </c>
      <c r="B706" t="inlineStr">
        <is>
          <t>GALAXY VANILIA CREAM METALLIC</t>
        </is>
      </c>
      <c r="C706" t="n">
        <v>16.2</v>
      </c>
      <c r="D706" t="n">
        <v>22.9</v>
      </c>
      <c r="E706" t="n">
        <v>110</v>
      </c>
      <c r="F706" t="n">
        <v>0</v>
      </c>
      <c r="G706">
        <f>SUMIF(PRISPELO!B:B, A706, PRISPELO!G:G)</f>
        <v/>
      </c>
      <c r="H706">
        <f>SUMIF(ODPIS!B:B, A706, ODPIS!G:G)</f>
        <v/>
      </c>
      <c r="I706" s="2">
        <f>F706 + G706 - H706</f>
        <v/>
      </c>
    </row>
    <row r="707">
      <c r="A707" t="n">
        <v>2547</v>
      </c>
      <c r="B707" t="inlineStr">
        <is>
          <t>samolepilni RAFLATAC REMOVABLE</t>
        </is>
      </c>
      <c r="C707" t="n">
        <v>50</v>
      </c>
      <c r="D707" t="n">
        <v>70</v>
      </c>
      <c r="E707" t="n">
        <v>80</v>
      </c>
      <c r="F707" t="n">
        <v>0</v>
      </c>
      <c r="G707">
        <f>SUMIF(PRISPELO!B:B, A707, PRISPELO!G:G)</f>
        <v/>
      </c>
      <c r="H707">
        <f>SUMIF(ODPIS!B:B, A707, ODPIS!G:G)</f>
        <v/>
      </c>
      <c r="I707" s="2">
        <f>F707 + G707 - H707</f>
        <v/>
      </c>
    </row>
    <row r="708">
      <c r="A708" t="n">
        <v>2548</v>
      </c>
      <c r="B708" t="inlineStr">
        <is>
          <t>IQ print</t>
        </is>
      </c>
      <c r="C708" t="n">
        <v>70</v>
      </c>
      <c r="D708" t="n">
        <v>100</v>
      </c>
      <c r="E708" t="n">
        <v>140</v>
      </c>
      <c r="F708" t="n">
        <v>0</v>
      </c>
      <c r="G708">
        <f>SUMIF(PRISPELO!B:B, A708, PRISPELO!G:G)</f>
        <v/>
      </c>
      <c r="H708">
        <f>SUMIF(ODPIS!B:B, A708, ODPIS!G:G)</f>
        <v/>
      </c>
      <c r="I708" s="2">
        <f>F708 + G708 - H708</f>
        <v/>
      </c>
    </row>
    <row r="709">
      <c r="A709" t="n">
        <v>2549</v>
      </c>
      <c r="B709" t="inlineStr">
        <is>
          <t>Magno satin</t>
        </is>
      </c>
      <c r="C709" t="n">
        <v>100</v>
      </c>
      <c r="D709" t="n">
        <v>70</v>
      </c>
      <c r="E709" t="n">
        <v>170</v>
      </c>
      <c r="F709" t="n">
        <v>0</v>
      </c>
      <c r="G709">
        <f>SUMIF(PRISPELO!B:B, A709, PRISPELO!G:G)</f>
        <v/>
      </c>
      <c r="H709">
        <f>SUMIF(ODPIS!B:B, A709, ODPIS!G:G)</f>
        <v/>
      </c>
      <c r="I709" s="2">
        <f>F709 + G709 - H709</f>
        <v/>
      </c>
    </row>
    <row r="710">
      <c r="A710" t="n">
        <v>2550</v>
      </c>
      <c r="B710" t="inlineStr">
        <is>
          <t>Magno gloss</t>
        </is>
      </c>
      <c r="C710" t="n">
        <v>64</v>
      </c>
      <c r="D710" t="n">
        <v>90</v>
      </c>
      <c r="E710" t="n">
        <v>115</v>
      </c>
      <c r="F710" t="n">
        <v>0</v>
      </c>
      <c r="G710">
        <f>SUMIF(PRISPELO!B:B, A710, PRISPELO!G:G)</f>
        <v/>
      </c>
      <c r="H710">
        <f>SUMIF(ODPIS!B:B, A710, ODPIS!G:G)</f>
        <v/>
      </c>
      <c r="I710" s="2">
        <f>F710 + G710 - H710</f>
        <v/>
      </c>
    </row>
    <row r="711">
      <c r="A711" t="n">
        <v>3146</v>
      </c>
      <c r="B711" t="inlineStr">
        <is>
          <t>IDEM CFB DIGI</t>
        </is>
      </c>
      <c r="C711" t="n">
        <v>32</v>
      </c>
      <c r="D711" t="n">
        <v>45</v>
      </c>
      <c r="E711" t="n">
        <v>80</v>
      </c>
      <c r="F711" t="n">
        <v>0</v>
      </c>
      <c r="G711">
        <f>SUMIF(PRISPELO!B:B, A711, PRISPELO!G:G)</f>
        <v/>
      </c>
      <c r="H711">
        <f>SUMIF(ODPIS!B:B, A711, ODPIS!G:G)</f>
        <v/>
      </c>
      <c r="I711" s="2">
        <f>F711 + G711 - H711</f>
        <v/>
      </c>
    </row>
    <row r="712">
      <c r="A712" t="n">
        <v>2551</v>
      </c>
      <c r="B712" t="inlineStr">
        <is>
          <t>OLIN REGULAR HIGH WHITE</t>
        </is>
      </c>
      <c r="C712" t="n">
        <v>45</v>
      </c>
      <c r="D712" t="n">
        <v>64</v>
      </c>
      <c r="E712" t="n">
        <v>224</v>
      </c>
      <c r="F712" t="n">
        <v>0</v>
      </c>
      <c r="G712">
        <f>SUMIF(PRISPELO!B:B, A712, PRISPELO!G:G)</f>
        <v/>
      </c>
      <c r="H712">
        <f>SUMIF(ODPIS!B:B, A712, ODPIS!G:G)</f>
        <v/>
      </c>
      <c r="I712" s="2">
        <f>F712 + G712 - H712</f>
        <v/>
      </c>
    </row>
    <row r="713">
      <c r="A713" t="n">
        <v>2552</v>
      </c>
      <c r="B713" t="inlineStr">
        <is>
          <t>IDEM GIROFORM CB</t>
        </is>
      </c>
      <c r="C713" t="n">
        <v>45</v>
      </c>
      <c r="D713" t="n">
        <v>64</v>
      </c>
      <c r="E713" t="n">
        <v>90</v>
      </c>
      <c r="F713" t="n">
        <v>0</v>
      </c>
      <c r="G713">
        <f>SUMIF(PRISPELO!B:B, A713, PRISPELO!G:G)</f>
        <v/>
      </c>
      <c r="H713">
        <f>SUMIF(ODPIS!B:B, A713, ODPIS!G:G)</f>
        <v/>
      </c>
      <c r="I713" s="2">
        <f>F713 + G713 - H713</f>
        <v/>
      </c>
    </row>
    <row r="714">
      <c r="A714" t="n">
        <v>2281</v>
      </c>
      <c r="B714" t="inlineStr">
        <is>
          <t>Kuverta C5 BO EDERA</t>
        </is>
      </c>
      <c r="C714" t="n">
        <v>16.2</v>
      </c>
      <c r="D714" t="n">
        <v>22.9</v>
      </c>
      <c r="E714" t="n">
        <v>90</v>
      </c>
      <c r="F714" t="n">
        <v>0</v>
      </c>
      <c r="G714">
        <f>SUMIF(PRISPELO!B:B, A714, PRISPELO!G:G)</f>
        <v/>
      </c>
      <c r="H714">
        <f>SUMIF(ODPIS!B:B, A714, ODPIS!G:G)</f>
        <v/>
      </c>
      <c r="I714" s="2">
        <f>F714 + G714 - H714</f>
        <v/>
      </c>
    </row>
    <row r="715">
      <c r="A715" t="n">
        <v>2553</v>
      </c>
      <c r="B715" t="inlineStr">
        <is>
          <t>KUVERTECURIUS TRANSLUCENTS CLEAR BO</t>
        </is>
      </c>
      <c r="C715" t="n">
        <v>220</v>
      </c>
      <c r="D715" t="n">
        <v>110</v>
      </c>
      <c r="E715" t="n">
        <v>110</v>
      </c>
      <c r="F715" t="n">
        <v>0</v>
      </c>
      <c r="G715">
        <f>SUMIF(PRISPELO!B:B, A715, PRISPELO!G:G)</f>
        <v/>
      </c>
      <c r="H715">
        <f>SUMIF(ODPIS!B:B, A715, ODPIS!G:G)</f>
        <v/>
      </c>
      <c r="I715" s="2">
        <f>F715 + G715 - H715</f>
        <v/>
      </c>
    </row>
    <row r="716">
      <c r="A716" t="n">
        <v>2556</v>
      </c>
      <c r="B716" t="inlineStr">
        <is>
          <t>Magno Satin</t>
        </is>
      </c>
      <c r="C716" t="n">
        <v>64</v>
      </c>
      <c r="D716" t="n">
        <v>90</v>
      </c>
      <c r="E716" t="n">
        <v>170</v>
      </c>
      <c r="F716" t="n">
        <v>0</v>
      </c>
      <c r="G716">
        <f>SUMIF(PRISPELO!B:B, A716, PRISPELO!G:G)</f>
        <v/>
      </c>
      <c r="H716">
        <f>SUMIF(ODPIS!B:B, A716, ODPIS!G:G)</f>
        <v/>
      </c>
      <c r="I716" s="2">
        <f>F716 + G716 - H716</f>
        <v/>
      </c>
    </row>
    <row r="717">
      <c r="A717" t="n">
        <v>2557</v>
      </c>
      <c r="B717" t="inlineStr">
        <is>
          <t>Magno gloss</t>
        </is>
      </c>
      <c r="C717" t="n">
        <v>90</v>
      </c>
      <c r="D717" t="n">
        <v>64</v>
      </c>
      <c r="E717" t="n">
        <v>100</v>
      </c>
      <c r="F717" t="n">
        <v>0</v>
      </c>
      <c r="G717">
        <f>SUMIF(PRISPELO!B:B, A717, PRISPELO!G:G)</f>
        <v/>
      </c>
      <c r="H717">
        <f>SUMIF(ODPIS!B:B, A717, ODPIS!G:G)</f>
        <v/>
      </c>
      <c r="I717" s="2">
        <f>F717 + G717 - H717</f>
        <v/>
      </c>
    </row>
    <row r="718">
      <c r="A718" t="n">
        <v>2560</v>
      </c>
      <c r="B718" t="inlineStr">
        <is>
          <t>Magno satin</t>
        </is>
      </c>
      <c r="C718" t="n">
        <v>100</v>
      </c>
      <c r="D718" t="n">
        <v>70</v>
      </c>
      <c r="E718" t="n">
        <v>150</v>
      </c>
      <c r="F718" t="n">
        <v>0</v>
      </c>
      <c r="G718">
        <f>SUMIF(PRISPELO!B:B, A718, PRISPELO!G:G)</f>
        <v/>
      </c>
      <c r="H718">
        <f>SUMIF(ODPIS!B:B, A718, ODPIS!G:G)</f>
        <v/>
      </c>
      <c r="I718" s="2">
        <f>F718 + G718 - H718</f>
        <v/>
      </c>
    </row>
    <row r="719">
      <c r="A719" t="n">
        <v>2561</v>
      </c>
      <c r="B719" t="inlineStr">
        <is>
          <t>IQ print</t>
        </is>
      </c>
      <c r="C719" t="n">
        <v>70</v>
      </c>
      <c r="D719" t="n">
        <v>100</v>
      </c>
      <c r="E719" t="n">
        <v>250</v>
      </c>
      <c r="F719" t="n">
        <v>1000</v>
      </c>
      <c r="G719">
        <f>SUMIF(PRISPELO!B:B, A719, PRISPELO!G:G)</f>
        <v/>
      </c>
      <c r="H719">
        <f>SUMIF(ODPIS!B:B, A719, ODPIS!G:G)</f>
        <v/>
      </c>
      <c r="I719" s="2">
        <f>F719 + G719 - H719</f>
        <v/>
      </c>
    </row>
    <row r="720">
      <c r="A720" t="n">
        <v>2562</v>
      </c>
      <c r="B720" t="inlineStr">
        <is>
          <t>IQ print</t>
        </is>
      </c>
      <c r="C720" t="n">
        <v>70</v>
      </c>
      <c r="D720" t="n">
        <v>100</v>
      </c>
      <c r="E720" t="n">
        <v>120</v>
      </c>
      <c r="F720" t="n">
        <v>0</v>
      </c>
      <c r="G720">
        <f>SUMIF(PRISPELO!B:B, A720, PRISPELO!G:G)</f>
        <v/>
      </c>
      <c r="H720">
        <f>SUMIF(ODPIS!B:B, A720, ODPIS!G:G)</f>
        <v/>
      </c>
      <c r="I720" s="2">
        <f>F720 + G720 - H720</f>
        <v/>
      </c>
    </row>
    <row r="721">
      <c r="A721" t="n">
        <v>3336</v>
      </c>
      <c r="B721" t="inlineStr">
        <is>
          <t>KUVERTA SELECTIONSMOOTH</t>
        </is>
      </c>
      <c r="C721" t="n">
        <v>11.4</v>
      </c>
      <c r="D721" t="n">
        <v>22.9</v>
      </c>
      <c r="E721" t="n">
        <v>120</v>
      </c>
      <c r="F721" t="n">
        <v>0</v>
      </c>
      <c r="G721">
        <f>SUMIF(PRISPELO!B:B, A721, PRISPELO!G:G)</f>
        <v/>
      </c>
      <c r="H721">
        <f>SUMIF(ODPIS!B:B, A721, ODPIS!G:G)</f>
        <v/>
      </c>
      <c r="I721" s="2">
        <f>F721 + G721 - H721</f>
        <v/>
      </c>
    </row>
    <row r="722">
      <c r="A722" t="n">
        <v>2563</v>
      </c>
      <c r="B722" t="inlineStr">
        <is>
          <t>Rives tradition bright white</t>
        </is>
      </c>
      <c r="C722" t="n">
        <v>70</v>
      </c>
      <c r="D722" t="n">
        <v>100</v>
      </c>
      <c r="E722" t="n">
        <v>320</v>
      </c>
      <c r="F722" t="n">
        <v>0</v>
      </c>
      <c r="G722">
        <f>SUMIF(PRISPELO!B:B, A722, PRISPELO!G:G)</f>
        <v/>
      </c>
      <c r="H722">
        <f>SUMIF(ODPIS!B:B, A722, ODPIS!G:G)</f>
        <v/>
      </c>
      <c r="I722" s="2">
        <f>F722 + G722 - H722</f>
        <v/>
      </c>
    </row>
    <row r="723">
      <c r="A723" t="n">
        <v>2404</v>
      </c>
      <c r="B723" t="inlineStr">
        <is>
          <t>Kuverta OLIN regular amer.BO</t>
        </is>
      </c>
      <c r="C723" t="n">
        <v>22</v>
      </c>
      <c r="D723" t="n">
        <v>11</v>
      </c>
      <c r="E723" t="n">
        <v>90</v>
      </c>
      <c r="F723" t="n">
        <v>0</v>
      </c>
      <c r="G723">
        <f>SUMIF(PRISPELO!B:B, A723, PRISPELO!G:G)</f>
        <v/>
      </c>
      <c r="H723">
        <f>SUMIF(ODPIS!B:B, A723, ODPIS!G:G)</f>
        <v/>
      </c>
      <c r="I723" s="2">
        <f>F723 + G723 - H723</f>
        <v/>
      </c>
    </row>
    <row r="724">
      <c r="A724" t="n">
        <v>2426</v>
      </c>
      <c r="B724" t="inlineStr">
        <is>
          <t>Kuverta Olin REG. HIGH W. LO</t>
        </is>
      </c>
      <c r="C724" t="n">
        <v>22</v>
      </c>
      <c r="D724" t="n">
        <v>11</v>
      </c>
      <c r="E724" t="n">
        <v>90</v>
      </c>
      <c r="F724" t="n">
        <v>0</v>
      </c>
      <c r="G724">
        <f>SUMIF(PRISPELO!B:B, A724, PRISPELO!G:G)</f>
        <v/>
      </c>
      <c r="H724">
        <f>SUMIF(ODPIS!B:B, A724, ODPIS!G:G)</f>
        <v/>
      </c>
      <c r="I724" s="2">
        <f>F724 + G724 - H724</f>
        <v/>
      </c>
    </row>
    <row r="725">
      <c r="A725" t="n">
        <v>2449</v>
      </c>
      <c r="B725" t="inlineStr">
        <is>
          <t>Kuverta Olin regular HIGH W C5. BO</t>
        </is>
      </c>
      <c r="C725" t="n">
        <v>22.9</v>
      </c>
      <c r="D725" t="n">
        <v>16.2</v>
      </c>
      <c r="E725" t="n">
        <v>90</v>
      </c>
      <c r="F725" t="n">
        <v>0</v>
      </c>
      <c r="G725">
        <f>SUMIF(PRISPELO!B:B, A725, PRISPELO!G:G)</f>
        <v/>
      </c>
      <c r="H725">
        <f>SUMIF(ODPIS!B:B, A725, ODPIS!G:G)</f>
        <v/>
      </c>
      <c r="I725" s="2">
        <f>F725 + G725 - H725</f>
        <v/>
      </c>
    </row>
    <row r="726">
      <c r="A726" t="n">
        <v>2564</v>
      </c>
      <c r="B726" t="inlineStr">
        <is>
          <t>POP SET COSMO PINK</t>
        </is>
      </c>
      <c r="C726" t="n">
        <v>70</v>
      </c>
      <c r="D726" t="n">
        <v>100</v>
      </c>
      <c r="E726" t="n">
        <v>120</v>
      </c>
      <c r="F726" t="n">
        <v>0</v>
      </c>
      <c r="G726">
        <f>SUMIF(PRISPELO!B:B, A726, PRISPELO!G:G)</f>
        <v/>
      </c>
      <c r="H726">
        <f>SUMIF(ODPIS!B:B, A726, ODPIS!G:G)</f>
        <v/>
      </c>
      <c r="I726" s="2">
        <f>F726 + G726 - H726</f>
        <v/>
      </c>
    </row>
    <row r="727">
      <c r="A727" t="n">
        <v>2565</v>
      </c>
      <c r="B727" t="inlineStr">
        <is>
          <t>Chromolux 900E</t>
        </is>
      </c>
      <c r="C727" t="n">
        <v>100</v>
      </c>
      <c r="D727" t="n">
        <v>70</v>
      </c>
      <c r="E727" t="n">
        <v>80</v>
      </c>
      <c r="F727" t="n">
        <v>0</v>
      </c>
      <c r="G727">
        <f>SUMIF(PRISPELO!B:B, A727, PRISPELO!G:G)</f>
        <v/>
      </c>
      <c r="H727">
        <f>SUMIF(ODPIS!B:B, A727, ODPIS!G:G)</f>
        <v/>
      </c>
      <c r="I727" s="2">
        <f>F727 + G727 - H727</f>
        <v/>
      </c>
    </row>
    <row r="728">
      <c r="A728" t="n">
        <v>2566</v>
      </c>
      <c r="B728" t="inlineStr">
        <is>
          <t>SIRIO NERO</t>
        </is>
      </c>
      <c r="C728" t="n">
        <v>70</v>
      </c>
      <c r="D728" t="n">
        <v>100</v>
      </c>
      <c r="E728" t="n">
        <v>140</v>
      </c>
      <c r="F728" t="n">
        <v>0</v>
      </c>
      <c r="G728">
        <f>SUMIF(PRISPELO!B:B, A728, PRISPELO!G:G)</f>
        <v/>
      </c>
      <c r="H728">
        <f>SUMIF(ODPIS!B:B, A728, ODPIS!G:G)</f>
        <v/>
      </c>
      <c r="I728" s="2">
        <f>F728 + G728 - H728</f>
        <v/>
      </c>
    </row>
    <row r="729">
      <c r="A729" t="n">
        <v>2567</v>
      </c>
      <c r="B729" t="inlineStr">
        <is>
          <t>DZS PAUS</t>
        </is>
      </c>
      <c r="C729" t="n">
        <v>70</v>
      </c>
      <c r="D729" t="n">
        <v>100</v>
      </c>
      <c r="E729" t="n">
        <v>90</v>
      </c>
      <c r="F729" t="n">
        <v>0</v>
      </c>
      <c r="G729">
        <f>SUMIF(PRISPELO!B:B, A729, PRISPELO!G:G)</f>
        <v/>
      </c>
      <c r="H729">
        <f>SUMIF(ODPIS!B:B, A729, ODPIS!G:G)</f>
        <v/>
      </c>
      <c r="I729" s="2">
        <f>F729 + G729 - H729</f>
        <v/>
      </c>
    </row>
    <row r="730">
      <c r="A730" t="n">
        <v>2570</v>
      </c>
      <c r="B730" t="inlineStr">
        <is>
          <t>IQ PRINT</t>
        </is>
      </c>
      <c r="C730" t="n">
        <v>100</v>
      </c>
      <c r="D730" t="n">
        <v>70</v>
      </c>
      <c r="E730" t="n">
        <v>120</v>
      </c>
      <c r="F730" t="n">
        <v>60</v>
      </c>
      <c r="G730">
        <f>SUMIF(PRISPELO!B:B, A730, PRISPELO!G:G)</f>
        <v/>
      </c>
      <c r="H730">
        <f>SUMIF(ODPIS!B:B, A730, ODPIS!G:G)</f>
        <v/>
      </c>
      <c r="I730" s="2">
        <f>F730 + G730 - H730</f>
        <v/>
      </c>
    </row>
    <row r="731">
      <c r="A731" t="n">
        <v>2571</v>
      </c>
      <c r="B731" t="inlineStr">
        <is>
          <t>IQ print</t>
        </is>
      </c>
      <c r="C731" t="n">
        <v>100</v>
      </c>
      <c r="D731" t="n">
        <v>70</v>
      </c>
      <c r="E731" t="n">
        <v>80</v>
      </c>
      <c r="F731" t="n">
        <v>200</v>
      </c>
      <c r="G731">
        <f>SUMIF(PRISPELO!B:B, A731, PRISPELO!G:G)</f>
        <v/>
      </c>
      <c r="H731">
        <f>SUMIF(ODPIS!B:B, A731, ODPIS!G:G)</f>
        <v/>
      </c>
      <c r="I731" s="2">
        <f>F731 + G731 - H731</f>
        <v/>
      </c>
    </row>
    <row r="732">
      <c r="A732" t="n">
        <v>2572</v>
      </c>
      <c r="B732" t="inlineStr">
        <is>
          <t>Magno gloss</t>
        </is>
      </c>
      <c r="C732" t="n">
        <v>70</v>
      </c>
      <c r="D732" t="n">
        <v>100</v>
      </c>
      <c r="E732" t="n">
        <v>130</v>
      </c>
      <c r="F732" t="n">
        <v>0</v>
      </c>
      <c r="G732">
        <f>SUMIF(PRISPELO!B:B, A732, PRISPELO!G:G)</f>
        <v/>
      </c>
      <c r="H732">
        <f>SUMIF(ODPIS!B:B, A732, ODPIS!G:G)</f>
        <v/>
      </c>
      <c r="I732" s="2">
        <f>F732 + G732 - H732</f>
        <v/>
      </c>
    </row>
    <row r="733">
      <c r="A733" t="n">
        <v>2574</v>
      </c>
      <c r="B733" t="inlineStr">
        <is>
          <t>Magno satin</t>
        </is>
      </c>
      <c r="C733" t="n">
        <v>90</v>
      </c>
      <c r="D733" t="n">
        <v>64</v>
      </c>
      <c r="E733" t="n">
        <v>200</v>
      </c>
      <c r="F733" t="n">
        <v>300</v>
      </c>
      <c r="G733">
        <f>SUMIF(PRISPELO!B:B, A733, PRISPELO!G:G)</f>
        <v/>
      </c>
      <c r="H733">
        <f>SUMIF(ODPIS!B:B, A733, ODPIS!G:G)</f>
        <v/>
      </c>
      <c r="I733" s="2">
        <f>F733 + G733 - H733</f>
        <v/>
      </c>
    </row>
    <row r="734">
      <c r="A734" t="n">
        <v>2575</v>
      </c>
      <c r="B734" t="inlineStr">
        <is>
          <t>Magno satin</t>
        </is>
      </c>
      <c r="C734" t="n">
        <v>70</v>
      </c>
      <c r="D734" t="n">
        <v>100</v>
      </c>
      <c r="E734" t="n">
        <v>130</v>
      </c>
      <c r="F734" t="n">
        <v>0</v>
      </c>
      <c r="G734">
        <f>SUMIF(PRISPELO!B:B, A734, PRISPELO!G:G)</f>
        <v/>
      </c>
      <c r="H734">
        <f>SUMIF(ODPIS!B:B, A734, ODPIS!G:G)</f>
        <v/>
      </c>
      <c r="I734" s="2">
        <f>F734 + G734 - H734</f>
        <v/>
      </c>
    </row>
    <row r="735">
      <c r="A735" t="n">
        <v>2579</v>
      </c>
      <c r="B735" t="inlineStr">
        <is>
          <t>Garda matt</t>
        </is>
      </c>
      <c r="C735" t="n">
        <v>64</v>
      </c>
      <c r="D735" t="n">
        <v>90</v>
      </c>
      <c r="E735" t="n">
        <v>350</v>
      </c>
      <c r="F735" t="n">
        <v>0</v>
      </c>
      <c r="G735">
        <f>SUMIF(PRISPELO!B:B, A735, PRISPELO!G:G)</f>
        <v/>
      </c>
      <c r="H735">
        <f>SUMIF(ODPIS!B:B, A735, ODPIS!G:G)</f>
        <v/>
      </c>
      <c r="I735" s="2">
        <f>F735 + G735 - H735</f>
        <v/>
      </c>
    </row>
    <row r="736">
      <c r="A736" t="n">
        <v>2580</v>
      </c>
      <c r="B736" t="inlineStr">
        <is>
          <t>Magno satin</t>
        </is>
      </c>
      <c r="C736" t="n">
        <v>90</v>
      </c>
      <c r="D736" t="n">
        <v>64</v>
      </c>
      <c r="E736" t="n">
        <v>150</v>
      </c>
      <c r="F736" t="n">
        <v>0</v>
      </c>
      <c r="G736">
        <f>SUMIF(PRISPELO!B:B, A736, PRISPELO!G:G)</f>
        <v/>
      </c>
      <c r="H736">
        <f>SUMIF(ODPIS!B:B, A736, ODPIS!G:G)</f>
        <v/>
      </c>
      <c r="I736" s="2">
        <f>F736 + G736 - H736</f>
        <v/>
      </c>
    </row>
    <row r="737">
      <c r="A737" t="n">
        <v>2581</v>
      </c>
      <c r="B737" t="inlineStr">
        <is>
          <t>Magno satin</t>
        </is>
      </c>
      <c r="C737" t="n">
        <v>70</v>
      </c>
      <c r="D737" t="n">
        <v>100</v>
      </c>
      <c r="E737" t="n">
        <v>300</v>
      </c>
      <c r="F737" t="n">
        <v>0</v>
      </c>
      <c r="G737">
        <f>SUMIF(PRISPELO!B:B, A737, PRISPELO!G:G)</f>
        <v/>
      </c>
      <c r="H737">
        <f>SUMIF(ODPIS!B:B, A737, ODPIS!G:G)</f>
        <v/>
      </c>
      <c r="I737" s="2">
        <f>F737 + G737 - H737</f>
        <v/>
      </c>
    </row>
    <row r="738">
      <c r="A738" t="n">
        <v>2223</v>
      </c>
      <c r="B738" t="inlineStr">
        <is>
          <t>Kuverta Olin Regular BO si</t>
        </is>
      </c>
      <c r="C738" t="n">
        <v>22.9</v>
      </c>
      <c r="D738" t="n">
        <v>11.4</v>
      </c>
      <c r="E738" t="n">
        <v>90</v>
      </c>
      <c r="F738" t="n">
        <v>0</v>
      </c>
      <c r="G738">
        <f>SUMIF(PRISPELO!B:B, A738, PRISPELO!G:G)</f>
        <v/>
      </c>
      <c r="H738">
        <f>SUMIF(ODPIS!B:B, A738, ODPIS!G:G)</f>
        <v/>
      </c>
      <c r="I738" s="2">
        <f>F738 + G738 - H738</f>
        <v/>
      </c>
    </row>
    <row r="739">
      <c r="A739" t="n">
        <v>2582</v>
      </c>
      <c r="B739" t="inlineStr">
        <is>
          <t>IQ print</t>
        </is>
      </c>
      <c r="C739" t="n">
        <v>70</v>
      </c>
      <c r="D739" t="n">
        <v>100</v>
      </c>
      <c r="E739" t="n">
        <v>60</v>
      </c>
      <c r="F739" t="n">
        <v>0</v>
      </c>
      <c r="G739">
        <f>SUMIF(PRISPELO!B:B, A739, PRISPELO!G:G)</f>
        <v/>
      </c>
      <c r="H739">
        <f>SUMIF(ODPIS!B:B, A739, ODPIS!G:G)</f>
        <v/>
      </c>
      <c r="I739" s="2">
        <f>F739 + G739 - H739</f>
        <v/>
      </c>
    </row>
    <row r="740">
      <c r="A740" t="n">
        <v>2583</v>
      </c>
      <c r="B740" t="inlineStr">
        <is>
          <t>Magno gloss</t>
        </is>
      </c>
      <c r="C740" t="n">
        <v>90</v>
      </c>
      <c r="D740" t="n">
        <v>64</v>
      </c>
      <c r="E740" t="n">
        <v>115</v>
      </c>
      <c r="F740" t="n">
        <v>0</v>
      </c>
      <c r="G740">
        <f>SUMIF(PRISPELO!B:B, A740, PRISPELO!G:G)</f>
        <v/>
      </c>
      <c r="H740">
        <f>SUMIF(ODPIS!B:B, A740, ODPIS!G:G)</f>
        <v/>
      </c>
      <c r="I740" s="2">
        <f>F740 + G740 - H740</f>
        <v/>
      </c>
    </row>
    <row r="741">
      <c r="A741" t="n">
        <v>2585</v>
      </c>
      <c r="B741" t="inlineStr">
        <is>
          <t>Claro silk</t>
        </is>
      </c>
      <c r="C741" t="n">
        <v>88</v>
      </c>
      <c r="D741" t="n">
        <v>63</v>
      </c>
      <c r="E741" t="n">
        <v>90</v>
      </c>
      <c r="F741" t="n">
        <v>0</v>
      </c>
      <c r="G741">
        <f>SUMIF(PRISPELO!B:B, A741, PRISPELO!G:G)</f>
        <v/>
      </c>
      <c r="H741">
        <f>SUMIF(ODPIS!B:B, A741, ODPIS!G:G)</f>
        <v/>
      </c>
      <c r="I741" s="2">
        <f>F741 + G741 - H741</f>
        <v/>
      </c>
    </row>
    <row r="742">
      <c r="A742" t="n">
        <v>2586</v>
      </c>
      <c r="B742" t="inlineStr">
        <is>
          <t>Magno gloss</t>
        </is>
      </c>
      <c r="C742" t="n">
        <v>90</v>
      </c>
      <c r="D742" t="n">
        <v>64</v>
      </c>
      <c r="E742" t="n">
        <v>150</v>
      </c>
      <c r="F742" t="n">
        <v>0</v>
      </c>
      <c r="G742">
        <f>SUMIF(PRISPELO!B:B, A742, PRISPELO!G:G)</f>
        <v/>
      </c>
      <c r="H742">
        <f>SUMIF(ODPIS!B:B, A742, ODPIS!G:G)</f>
        <v/>
      </c>
      <c r="I742" s="2">
        <f>F742 + G742 - H742</f>
        <v/>
      </c>
    </row>
    <row r="743">
      <c r="A743" t="n">
        <v>2587</v>
      </c>
      <c r="B743" t="inlineStr">
        <is>
          <t>Magno satin</t>
        </is>
      </c>
      <c r="C743" t="n">
        <v>100</v>
      </c>
      <c r="D743" t="n">
        <v>70</v>
      </c>
      <c r="E743" t="n">
        <v>90</v>
      </c>
      <c r="F743" t="n">
        <v>1100</v>
      </c>
      <c r="G743">
        <f>SUMIF(PRISPELO!B:B, A743, PRISPELO!G:G)</f>
        <v/>
      </c>
      <c r="H743">
        <f>SUMIF(ODPIS!B:B, A743, ODPIS!G:G)</f>
        <v/>
      </c>
      <c r="I743" s="2">
        <f>F743 + G743 - H743</f>
        <v/>
      </c>
    </row>
    <row r="744">
      <c r="A744" t="n">
        <v>3395</v>
      </c>
      <c r="B744" t="inlineStr">
        <is>
          <t>KUVER. FSC MIX CREDIT C5/6 NATURWEI</t>
        </is>
      </c>
      <c r="C744" t="n">
        <v>11</v>
      </c>
      <c r="D744" t="n">
        <v>22</v>
      </c>
      <c r="E744" t="n">
        <v>120</v>
      </c>
      <c r="F744" t="n">
        <v>0</v>
      </c>
      <c r="G744">
        <f>SUMIF(PRISPELO!B:B, A744, PRISPELO!G:G)</f>
        <v/>
      </c>
      <c r="H744">
        <f>SUMIF(ODPIS!B:B, A744, ODPIS!G:G)</f>
        <v/>
      </c>
      <c r="I744" s="2">
        <f>F744 + G744 - H744</f>
        <v/>
      </c>
    </row>
    <row r="745">
      <c r="A745" t="n">
        <v>2588</v>
      </c>
      <c r="B745" t="inlineStr">
        <is>
          <t>IQ PRINT</t>
        </is>
      </c>
      <c r="C745" t="n">
        <v>100</v>
      </c>
      <c r="D745" t="n">
        <v>70</v>
      </c>
      <c r="E745" t="n">
        <v>170</v>
      </c>
      <c r="F745" t="n">
        <v>0</v>
      </c>
      <c r="G745">
        <f>SUMIF(PRISPELO!B:B, A745, PRISPELO!G:G)</f>
        <v/>
      </c>
      <c r="H745">
        <f>SUMIF(ODPIS!B:B, A745, ODPIS!G:G)</f>
        <v/>
      </c>
      <c r="I745" s="2">
        <f>F745 + G745 - H745</f>
        <v/>
      </c>
    </row>
    <row r="746">
      <c r="A746" t="n">
        <v>2589</v>
      </c>
      <c r="B746" t="inlineStr">
        <is>
          <t>Garda gloss</t>
        </is>
      </c>
      <c r="C746" t="n">
        <v>70</v>
      </c>
      <c r="D746" t="n">
        <v>50</v>
      </c>
      <c r="E746" t="n">
        <v>250</v>
      </c>
      <c r="F746" t="n">
        <v>0</v>
      </c>
      <c r="G746">
        <f>SUMIF(PRISPELO!B:B, A746, PRISPELO!G:G)</f>
        <v/>
      </c>
      <c r="H746">
        <f>SUMIF(ODPIS!B:B, A746, ODPIS!G:G)</f>
        <v/>
      </c>
      <c r="I746" s="2">
        <f>F746 + G746 - H746</f>
        <v/>
      </c>
    </row>
    <row r="747">
      <c r="A747" t="n">
        <v>2590</v>
      </c>
      <c r="B747" t="inlineStr">
        <is>
          <t>Niklakett m.plus</t>
        </is>
      </c>
      <c r="C747" t="n">
        <v>34.8</v>
      </c>
      <c r="D747" t="n">
        <v>49.8</v>
      </c>
      <c r="E747" t="n">
        <v>75</v>
      </c>
      <c r="F747" t="n">
        <v>0</v>
      </c>
      <c r="G747">
        <f>SUMIF(PRISPELO!B:B, A747, PRISPELO!G:G)</f>
        <v/>
      </c>
      <c r="H747">
        <f>SUMIF(ODPIS!B:B, A747, ODPIS!G:G)</f>
        <v/>
      </c>
      <c r="I747" s="2">
        <f>F747 + G747 - H747</f>
        <v/>
      </c>
    </row>
    <row r="748">
      <c r="A748" t="n">
        <v>3408</v>
      </c>
      <c r="B748" t="inlineStr">
        <is>
          <t>IQ COLOR KUV</t>
        </is>
      </c>
      <c r="C748" t="n">
        <v>11.4</v>
      </c>
      <c r="D748" t="n">
        <v>22.9</v>
      </c>
      <c r="E748" t="n">
        <v>120</v>
      </c>
      <c r="F748" t="n">
        <v>0</v>
      </c>
      <c r="G748">
        <f>SUMIF(PRISPELO!B:B, A748, PRISPELO!G:G)</f>
        <v/>
      </c>
      <c r="H748">
        <f>SUMIF(ODPIS!B:B, A748, ODPIS!G:G)</f>
        <v/>
      </c>
      <c r="I748" s="2">
        <f>F748 + G748 - H748</f>
        <v/>
      </c>
    </row>
    <row r="749">
      <c r="A749" t="n">
        <v>2592</v>
      </c>
      <c r="B749" t="inlineStr">
        <is>
          <t>CARTA ELEGA</t>
        </is>
      </c>
      <c r="C749" t="n">
        <v>102</v>
      </c>
      <c r="D749" t="n">
        <v>72</v>
      </c>
      <c r="E749" t="n">
        <v>355</v>
      </c>
      <c r="F749" t="n">
        <v>0</v>
      </c>
      <c r="G749">
        <f>SUMIF(PRISPELO!B:B, A749, PRISPELO!G:G)</f>
        <v/>
      </c>
      <c r="H749">
        <f>SUMIF(ODPIS!B:B, A749, ODPIS!G:G)</f>
        <v/>
      </c>
      <c r="I749" s="2">
        <f>F749 + G749 - H749</f>
        <v/>
      </c>
    </row>
    <row r="750">
      <c r="A750" t="n">
        <v>2593</v>
      </c>
      <c r="B750" t="inlineStr">
        <is>
          <t>IQ PRINT</t>
        </is>
      </c>
      <c r="C750" t="n">
        <v>61</v>
      </c>
      <c r="D750" t="n">
        <v>86</v>
      </c>
      <c r="E750" t="n">
        <v>60</v>
      </c>
      <c r="F750" t="n">
        <v>0</v>
      </c>
      <c r="G750">
        <f>SUMIF(PRISPELO!B:B, A750, PRISPELO!G:G)</f>
        <v/>
      </c>
      <c r="H750">
        <f>SUMIF(ODPIS!B:B, A750, ODPIS!G:G)</f>
        <v/>
      </c>
      <c r="I750" s="2">
        <f>F750 + G750 - H750</f>
        <v/>
      </c>
    </row>
    <row r="751">
      <c r="A751" t="n">
        <v>2594</v>
      </c>
      <c r="B751" t="inlineStr">
        <is>
          <t>Magno gloss</t>
        </is>
      </c>
      <c r="C751" t="n">
        <v>100</v>
      </c>
      <c r="D751" t="n">
        <v>70</v>
      </c>
      <c r="E751" t="n">
        <v>350</v>
      </c>
      <c r="F751" t="n">
        <v>0</v>
      </c>
      <c r="G751">
        <f>SUMIF(PRISPELO!B:B, A751, PRISPELO!G:G)</f>
        <v/>
      </c>
      <c r="H751">
        <f>SUMIF(ODPIS!B:B, A751, ODPIS!G:G)</f>
        <v/>
      </c>
      <c r="I751" s="2">
        <f>F751 + G751 - H751</f>
        <v/>
      </c>
    </row>
    <row r="752">
      <c r="A752" t="n">
        <v>2595</v>
      </c>
      <c r="B752" t="inlineStr">
        <is>
          <t>Magno satin</t>
        </is>
      </c>
      <c r="C752" t="n">
        <v>64</v>
      </c>
      <c r="D752" t="n">
        <v>90</v>
      </c>
      <c r="E752" t="n">
        <v>300</v>
      </c>
      <c r="F752" t="n">
        <v>0</v>
      </c>
      <c r="G752">
        <f>SUMIF(PRISPELO!B:B, A752, PRISPELO!G:G)</f>
        <v/>
      </c>
      <c r="H752">
        <f>SUMIF(ODPIS!B:B, A752, ODPIS!G:G)</f>
        <v/>
      </c>
      <c r="I752" s="2">
        <f>F752 + G752 - H752</f>
        <v/>
      </c>
    </row>
    <row r="753">
      <c r="A753" t="n">
        <v>3411</v>
      </c>
      <c r="B753" t="inlineStr">
        <is>
          <t>FOLIJA ZA LAMINACIJO A4 80 MICRON</t>
        </is>
      </c>
      <c r="C753" t="n">
        <v>21</v>
      </c>
      <c r="D753" t="n">
        <v>29.7</v>
      </c>
      <c r="E753" t="n">
        <v>0</v>
      </c>
      <c r="F753" t="n">
        <v>0</v>
      </c>
      <c r="G753">
        <f>SUMIF(PRISPELO!B:B, A753, PRISPELO!G:G)</f>
        <v/>
      </c>
      <c r="H753">
        <f>SUMIF(ODPIS!B:B, A753, ODPIS!G:G)</f>
        <v/>
      </c>
      <c r="I753" s="2">
        <f>F753 + G753 - H753</f>
        <v/>
      </c>
    </row>
    <row r="754">
      <c r="A754" t="n">
        <v>2596</v>
      </c>
      <c r="B754" t="inlineStr">
        <is>
          <t>Magno satin</t>
        </is>
      </c>
      <c r="C754" t="n">
        <v>64</v>
      </c>
      <c r="D754" t="n">
        <v>90</v>
      </c>
      <c r="E754" t="n">
        <v>115</v>
      </c>
      <c r="F754" t="n">
        <v>0</v>
      </c>
      <c r="G754">
        <f>SUMIF(PRISPELO!B:B, A754, PRISPELO!G:G)</f>
        <v/>
      </c>
      <c r="H754">
        <f>SUMIF(ODPIS!B:B, A754, ODPIS!G:G)</f>
        <v/>
      </c>
      <c r="I754" s="2">
        <f>F754 + G754 - H754</f>
        <v/>
      </c>
    </row>
    <row r="755">
      <c r="A755" t="n">
        <v>2597</v>
      </c>
      <c r="B755" t="inlineStr">
        <is>
          <t>Magno satin</t>
        </is>
      </c>
      <c r="C755" t="n">
        <v>64</v>
      </c>
      <c r="D755" t="n">
        <v>90</v>
      </c>
      <c r="E755" t="n">
        <v>100</v>
      </c>
      <c r="F755" t="n">
        <v>0</v>
      </c>
      <c r="G755">
        <f>SUMIF(PRISPELO!B:B, A755, PRISPELO!G:G)</f>
        <v/>
      </c>
      <c r="H755">
        <f>SUMIF(ODPIS!B:B, A755, ODPIS!G:G)</f>
        <v/>
      </c>
      <c r="I755" s="2">
        <f>F755 + G755 - H755</f>
        <v/>
      </c>
    </row>
    <row r="756">
      <c r="A756" t="n">
        <v>2600</v>
      </c>
      <c r="B756" t="inlineStr">
        <is>
          <t>Magno satin</t>
        </is>
      </c>
      <c r="C756" t="n">
        <v>90</v>
      </c>
      <c r="D756" t="n">
        <v>64</v>
      </c>
      <c r="E756" t="n">
        <v>300</v>
      </c>
      <c r="F756" t="n">
        <v>0</v>
      </c>
      <c r="G756">
        <f>SUMIF(PRISPELO!B:B, A756, PRISPELO!G:G)</f>
        <v/>
      </c>
      <c r="H756">
        <f>SUMIF(ODPIS!B:B, A756, ODPIS!G:G)</f>
        <v/>
      </c>
      <c r="I756" s="2">
        <f>F756 + G756 - H756</f>
        <v/>
      </c>
    </row>
    <row r="757">
      <c r="A757" t="n">
        <v>2965</v>
      </c>
      <c r="B757" t="inlineStr">
        <is>
          <t>VREČKE C4 OL NOVA KUVERTA</t>
        </is>
      </c>
      <c r="C757" t="n">
        <v>0</v>
      </c>
      <c r="D757" t="n">
        <v>0</v>
      </c>
      <c r="E757" t="n">
        <v>0</v>
      </c>
      <c r="F757" t="n">
        <v>0</v>
      </c>
      <c r="G757">
        <f>SUMIF(PRISPELO!B:B, A757, PRISPELO!G:G)</f>
        <v/>
      </c>
      <c r="H757">
        <f>SUMIF(ODPIS!B:B, A757, ODPIS!G:G)</f>
        <v/>
      </c>
      <c r="I757" s="2">
        <f>F757 + G757 - H757</f>
        <v/>
      </c>
    </row>
    <row r="758">
      <c r="A758" t="n">
        <v>3131</v>
      </c>
      <c r="B758" t="inlineStr">
        <is>
          <t>Kuverta ELCO B4 BO s.trak</t>
        </is>
      </c>
      <c r="C758" t="n">
        <v>25</v>
      </c>
      <c r="D758" t="n">
        <v>35.3</v>
      </c>
      <c r="E758" t="n">
        <v>120</v>
      </c>
      <c r="F758" t="n">
        <v>0</v>
      </c>
      <c r="G758">
        <f>SUMIF(PRISPELO!B:B, A758, PRISPELO!G:G)</f>
        <v/>
      </c>
      <c r="H758">
        <f>SUMIF(ODPIS!B:B, A758, ODPIS!G:G)</f>
        <v/>
      </c>
      <c r="I758" s="2">
        <f>F758 + G758 - H758</f>
        <v/>
      </c>
    </row>
    <row r="759">
      <c r="A759" t="n">
        <v>2604</v>
      </c>
      <c r="B759" t="inlineStr">
        <is>
          <t>POP SET 30% BLACK</t>
        </is>
      </c>
      <c r="C759" t="n">
        <v>70</v>
      </c>
      <c r="D759" t="n">
        <v>100</v>
      </c>
      <c r="E759" t="n">
        <v>120</v>
      </c>
      <c r="F759" t="n">
        <v>0</v>
      </c>
      <c r="G759">
        <f>SUMIF(PRISPELO!B:B, A759, PRISPELO!G:G)</f>
        <v/>
      </c>
      <c r="H759">
        <f>SUMIF(ODPIS!B:B, A759, ODPIS!G:G)</f>
        <v/>
      </c>
      <c r="I759" s="2">
        <f>F759 + G759 - H759</f>
        <v/>
      </c>
    </row>
    <row r="760">
      <c r="A760" t="n">
        <v>2894</v>
      </c>
      <c r="B760" t="inlineStr">
        <is>
          <t>kuverta amerikanka LO brez s.traka</t>
        </is>
      </c>
      <c r="C760" t="n">
        <v>11</v>
      </c>
      <c r="D760" t="n">
        <v>22</v>
      </c>
      <c r="E760" t="n">
        <v>90</v>
      </c>
      <c r="F760" t="n">
        <v>0</v>
      </c>
      <c r="G760">
        <f>SUMIF(PRISPELO!B:B, A760, PRISPELO!G:G)</f>
        <v/>
      </c>
      <c r="H760">
        <f>SUMIF(ODPIS!B:B, A760, ODPIS!G:G)</f>
        <v/>
      </c>
      <c r="I760" s="2">
        <f>F760 + G760 - H760</f>
        <v/>
      </c>
    </row>
    <row r="761">
      <c r="A761" t="n">
        <v>2605</v>
      </c>
      <c r="B761" t="inlineStr">
        <is>
          <t>Raflatac Data SP34</t>
        </is>
      </c>
      <c r="C761" t="n">
        <v>50</v>
      </c>
      <c r="D761" t="n">
        <v>70</v>
      </c>
      <c r="E761" t="n">
        <v>75</v>
      </c>
      <c r="F761" t="n">
        <v>0</v>
      </c>
      <c r="G761">
        <f>SUMIF(PRISPELO!B:B, A761, PRISPELO!G:G)</f>
        <v/>
      </c>
      <c r="H761">
        <f>SUMIF(ODPIS!B:B, A761, ODPIS!G:G)</f>
        <v/>
      </c>
      <c r="I761" s="2">
        <f>F761 + G761 - H761</f>
        <v/>
      </c>
    </row>
    <row r="762">
      <c r="A762" t="n">
        <v>2609</v>
      </c>
      <c r="B762" t="inlineStr">
        <is>
          <t>CARTA ELEGA</t>
        </is>
      </c>
      <c r="C762" t="n">
        <v>70</v>
      </c>
      <c r="D762" t="n">
        <v>100</v>
      </c>
      <c r="E762" t="n">
        <v>290</v>
      </c>
      <c r="F762" t="n">
        <v>0</v>
      </c>
      <c r="G762">
        <f>SUMIF(PRISPELO!B:B, A762, PRISPELO!G:G)</f>
        <v/>
      </c>
      <c r="H762">
        <f>SUMIF(ODPIS!B:B, A762, ODPIS!G:G)</f>
        <v/>
      </c>
      <c r="I762" s="2">
        <f>F762 + G762 - H762</f>
        <v/>
      </c>
    </row>
    <row r="763">
      <c r="A763" t="n">
        <v>2610</v>
      </c>
      <c r="B763" t="inlineStr">
        <is>
          <t>IDEM SUPERIOR - CF roza</t>
        </is>
      </c>
      <c r="C763" t="n">
        <v>45</v>
      </c>
      <c r="D763" t="n">
        <v>64</v>
      </c>
      <c r="E763" t="n">
        <v>60</v>
      </c>
      <c r="F763" t="n">
        <v>0</v>
      </c>
      <c r="G763">
        <f>SUMIF(PRISPELO!B:B, A763, PRISPELO!G:G)</f>
        <v/>
      </c>
      <c r="H763">
        <f>SUMIF(ODPIS!B:B, A763, ODPIS!G:G)</f>
        <v/>
      </c>
      <c r="I763" s="2">
        <f>F763 + G763 - H763</f>
        <v/>
      </c>
    </row>
    <row r="764">
      <c r="A764" t="n">
        <v>2611</v>
      </c>
      <c r="B764" t="inlineStr">
        <is>
          <t>SERIXO  OFFSET WHITE</t>
        </is>
      </c>
      <c r="C764" t="n">
        <v>45</v>
      </c>
      <c r="D764" t="n">
        <v>64</v>
      </c>
      <c r="E764" t="n">
        <v>80</v>
      </c>
      <c r="F764" t="n">
        <v>0</v>
      </c>
      <c r="G764">
        <f>SUMIF(PRISPELO!B:B, A764, PRISPELO!G:G)</f>
        <v/>
      </c>
      <c r="H764">
        <f>SUMIF(ODPIS!B:B, A764, ODPIS!G:G)</f>
        <v/>
      </c>
      <c r="I764" s="2">
        <f>F764 + G764 - H764</f>
        <v/>
      </c>
    </row>
    <row r="765">
      <c r="A765" t="n">
        <v>2612</v>
      </c>
      <c r="B765" t="inlineStr">
        <is>
          <t>Magno satin</t>
        </is>
      </c>
      <c r="C765" t="n">
        <v>64</v>
      </c>
      <c r="D765" t="n">
        <v>90</v>
      </c>
      <c r="E765" t="n">
        <v>150</v>
      </c>
      <c r="F765" t="n">
        <v>0</v>
      </c>
      <c r="G765">
        <f>SUMIF(PRISPELO!B:B, A765, PRISPELO!G:G)</f>
        <v/>
      </c>
      <c r="H765">
        <f>SUMIF(ODPIS!B:B, A765, ODPIS!G:G)</f>
        <v/>
      </c>
      <c r="I765" s="2">
        <f>F765 + G765 - H765</f>
        <v/>
      </c>
    </row>
    <row r="766">
      <c r="A766" t="n">
        <v>2614</v>
      </c>
      <c r="B766" t="inlineStr">
        <is>
          <t>Magno natural offset</t>
        </is>
      </c>
      <c r="C766" t="n">
        <v>90</v>
      </c>
      <c r="D766" t="n">
        <v>64</v>
      </c>
      <c r="E766" t="n">
        <v>90</v>
      </c>
      <c r="F766" t="n">
        <v>0</v>
      </c>
      <c r="G766">
        <f>SUMIF(PRISPELO!B:B, A766, PRISPELO!G:G)</f>
        <v/>
      </c>
      <c r="H766">
        <f>SUMIF(ODPIS!B:B, A766, ODPIS!G:G)</f>
        <v/>
      </c>
      <c r="I766" s="2">
        <f>F766 + G766 - H766</f>
        <v/>
      </c>
    </row>
    <row r="767">
      <c r="A767" t="n">
        <v>2616</v>
      </c>
      <c r="B767" t="inlineStr">
        <is>
          <t>Magno natural offset</t>
        </is>
      </c>
      <c r="C767" t="n">
        <v>70</v>
      </c>
      <c r="D767" t="n">
        <v>100</v>
      </c>
      <c r="E767" t="n">
        <v>190</v>
      </c>
      <c r="F767" t="n">
        <v>0</v>
      </c>
      <c r="G767">
        <f>SUMIF(PRISPELO!B:B, A767, PRISPELO!G:G)</f>
        <v/>
      </c>
      <c r="H767">
        <f>SUMIF(ODPIS!B:B, A767, ODPIS!G:G)</f>
        <v/>
      </c>
      <c r="I767" s="2">
        <f>F767 + G767 - H767</f>
        <v/>
      </c>
    </row>
    <row r="768">
      <c r="A768" t="n">
        <v>2617</v>
      </c>
      <c r="B768" t="inlineStr">
        <is>
          <t>Magno natural offset</t>
        </is>
      </c>
      <c r="C768" t="n">
        <v>64</v>
      </c>
      <c r="D768" t="n">
        <v>90</v>
      </c>
      <c r="E768" t="n">
        <v>120</v>
      </c>
      <c r="F768" t="n">
        <v>0</v>
      </c>
      <c r="G768">
        <f>SUMIF(PRISPELO!B:B, A768, PRISPELO!G:G)</f>
        <v/>
      </c>
      <c r="H768">
        <f>SUMIF(ODPIS!B:B, A768, ODPIS!G:G)</f>
        <v/>
      </c>
      <c r="I768" s="2">
        <f>F768 + G768 - H768</f>
        <v/>
      </c>
    </row>
    <row r="769">
      <c r="A769" t="n">
        <v>2618</v>
      </c>
      <c r="B769" t="inlineStr">
        <is>
          <t>SERIXO OFFSET WHITE</t>
        </is>
      </c>
      <c r="C769" t="n">
        <v>90</v>
      </c>
      <c r="D769" t="n">
        <v>64</v>
      </c>
      <c r="E769" t="n">
        <v>80</v>
      </c>
      <c r="F769" t="n">
        <v>0</v>
      </c>
      <c r="G769">
        <f>SUMIF(PRISPELO!B:B, A769, PRISPELO!G:G)</f>
        <v/>
      </c>
      <c r="H769">
        <f>SUMIF(ODPIS!B:B, A769, ODPIS!G:G)</f>
        <v/>
      </c>
      <c r="I769" s="2">
        <f>F769 + G769 - H769</f>
        <v/>
      </c>
    </row>
    <row r="770">
      <c r="A770" t="n">
        <v>2620</v>
      </c>
      <c r="B770" t="inlineStr">
        <is>
          <t>MAGNO NATURAL OFFSET</t>
        </is>
      </c>
      <c r="C770" t="n">
        <v>70</v>
      </c>
      <c r="D770" t="n">
        <v>100</v>
      </c>
      <c r="E770" t="n">
        <v>170</v>
      </c>
      <c r="F770" t="n">
        <v>0</v>
      </c>
      <c r="G770">
        <f>SUMIF(PRISPELO!B:B, A770, PRISPELO!G:G)</f>
        <v/>
      </c>
      <c r="H770">
        <f>SUMIF(ODPIS!B:B, A770, ODPIS!G:G)</f>
        <v/>
      </c>
      <c r="I770" s="2">
        <f>F770 + G770 - H770</f>
        <v/>
      </c>
    </row>
    <row r="771">
      <c r="A771" t="n">
        <v>2622</v>
      </c>
      <c r="B771" t="inlineStr">
        <is>
          <t>SORA MEDICA F 50</t>
        </is>
      </c>
      <c r="C771" t="n">
        <v>70</v>
      </c>
      <c r="D771" t="n">
        <v>100</v>
      </c>
      <c r="E771" t="n">
        <v>50</v>
      </c>
      <c r="F771" t="n">
        <v>0</v>
      </c>
      <c r="G771">
        <f>SUMIF(PRISPELO!B:B, A771, PRISPELO!G:G)</f>
        <v/>
      </c>
      <c r="H771">
        <f>SUMIF(ODPIS!B:B, A771, ODPIS!G:G)</f>
        <v/>
      </c>
      <c r="I771" s="2">
        <f>F771 + G771 - H771</f>
        <v/>
      </c>
    </row>
    <row r="772">
      <c r="A772" t="n">
        <v>2623</v>
      </c>
      <c r="B772" t="inlineStr">
        <is>
          <t>Olin regular cream</t>
        </is>
      </c>
      <c r="C772" t="n">
        <v>46</v>
      </c>
      <c r="D772" t="n">
        <v>64</v>
      </c>
      <c r="E772" t="n">
        <v>80</v>
      </c>
      <c r="F772" t="n">
        <v>0</v>
      </c>
      <c r="G772">
        <f>SUMIF(PRISPELO!B:B, A772, PRISPELO!G:G)</f>
        <v/>
      </c>
      <c r="H772">
        <f>SUMIF(ODPIS!B:B, A772, ODPIS!G:G)</f>
        <v/>
      </c>
      <c r="I772" s="2">
        <f>F772 + G772 - H772</f>
        <v/>
      </c>
    </row>
    <row r="773">
      <c r="A773" t="n">
        <v>2625</v>
      </c>
      <c r="B773" t="inlineStr">
        <is>
          <t>Olin regular cream</t>
        </is>
      </c>
      <c r="C773" t="n">
        <v>72</v>
      </c>
      <c r="D773" t="n">
        <v>102</v>
      </c>
      <c r="E773" t="n">
        <v>120</v>
      </c>
      <c r="F773" t="n">
        <v>0</v>
      </c>
      <c r="G773">
        <f>SUMIF(PRISPELO!B:B, A773, PRISPELO!G:G)</f>
        <v/>
      </c>
      <c r="H773">
        <f>SUMIF(ODPIS!B:B, A773, ODPIS!G:G)</f>
        <v/>
      </c>
      <c r="I773" s="2">
        <f>F773 + G773 - H773</f>
        <v/>
      </c>
    </row>
    <row r="774">
      <c r="A774" t="n">
        <v>2627</v>
      </c>
      <c r="B774" t="inlineStr">
        <is>
          <t>Fedrigonni SYMBOL CARD PW</t>
        </is>
      </c>
      <c r="C774" t="n">
        <v>72</v>
      </c>
      <c r="D774" t="n">
        <v>102</v>
      </c>
      <c r="E774" t="n">
        <v>210</v>
      </c>
      <c r="F774" t="n">
        <v>0</v>
      </c>
      <c r="G774">
        <f>SUMIF(PRISPELO!B:B, A774, PRISPELO!G:G)</f>
        <v/>
      </c>
      <c r="H774">
        <f>SUMIF(ODPIS!B:B, A774, ODPIS!G:G)</f>
        <v/>
      </c>
      <c r="I774" s="2">
        <f>F774 + G774 - H774</f>
        <v/>
      </c>
    </row>
    <row r="775">
      <c r="A775" t="n">
        <v>2628</v>
      </c>
      <c r="B775" t="inlineStr">
        <is>
          <t>Garda matt</t>
        </is>
      </c>
      <c r="C775" t="n">
        <v>64</v>
      </c>
      <c r="D775" t="n">
        <v>90</v>
      </c>
      <c r="E775" t="n">
        <v>115</v>
      </c>
      <c r="F775" t="n">
        <v>300</v>
      </c>
      <c r="G775">
        <f>SUMIF(PRISPELO!B:B, A775, PRISPELO!G:G)</f>
        <v/>
      </c>
      <c r="H775">
        <f>SUMIF(ODPIS!B:B, A775, ODPIS!G:G)</f>
        <v/>
      </c>
      <c r="I775" s="2">
        <f>F775 + G775 - H775</f>
        <v/>
      </c>
    </row>
    <row r="776">
      <c r="A776" t="n">
        <v>2631</v>
      </c>
      <c r="B776" t="inlineStr">
        <is>
          <t>SORA MEDICA</t>
        </is>
      </c>
      <c r="C776" t="n">
        <v>50</v>
      </c>
      <c r="D776" t="n">
        <v>70</v>
      </c>
      <c r="E776" t="n">
        <v>50</v>
      </c>
      <c r="F776" t="n">
        <v>0</v>
      </c>
      <c r="G776">
        <f>SUMIF(PRISPELO!B:B, A776, PRISPELO!G:G)</f>
        <v/>
      </c>
      <c r="H776">
        <f>SUMIF(ODPIS!B:B, A776, ODPIS!G:G)</f>
        <v/>
      </c>
      <c r="I776" s="2">
        <f>F776 + G776 - H776</f>
        <v/>
      </c>
    </row>
    <row r="777">
      <c r="A777" t="n">
        <v>2632</v>
      </c>
      <c r="B777" t="inlineStr">
        <is>
          <t>Samol. supertacplus podlg 120g</t>
        </is>
      </c>
      <c r="C777" t="n">
        <v>50</v>
      </c>
      <c r="D777" t="n">
        <v>70</v>
      </c>
      <c r="E777" t="n">
        <v>120</v>
      </c>
      <c r="F777" t="n">
        <v>0</v>
      </c>
      <c r="G777">
        <f>SUMIF(PRISPELO!B:B, A777, PRISPELO!G:G)</f>
        <v/>
      </c>
      <c r="H777">
        <f>SUMIF(ODPIS!B:B, A777, ODPIS!G:G)</f>
        <v/>
      </c>
      <c r="I777" s="2">
        <f>F777 + G777 - H777</f>
        <v/>
      </c>
    </row>
    <row r="778">
      <c r="A778" t="n">
        <v>2634</v>
      </c>
      <c r="B778" t="inlineStr">
        <is>
          <t>Perigold MATT Condat</t>
        </is>
      </c>
      <c r="C778" t="n">
        <v>102</v>
      </c>
      <c r="D778" t="n">
        <v>72</v>
      </c>
      <c r="E778" t="n">
        <v>115</v>
      </c>
      <c r="F778" t="n">
        <v>0</v>
      </c>
      <c r="G778">
        <f>SUMIF(PRISPELO!B:B, A778, PRISPELO!G:G)</f>
        <v/>
      </c>
      <c r="H778">
        <f>SUMIF(ODPIS!B:B, A778, ODPIS!G:G)</f>
        <v/>
      </c>
      <c r="I778" s="2">
        <f>F778 + G778 - H778</f>
        <v/>
      </c>
    </row>
    <row r="779">
      <c r="A779" t="n">
        <v>2635</v>
      </c>
      <c r="B779" t="inlineStr">
        <is>
          <t>Munken KRISTALL</t>
        </is>
      </c>
      <c r="C779" t="n">
        <v>102</v>
      </c>
      <c r="D779" t="n">
        <v>72</v>
      </c>
      <c r="E779" t="n">
        <v>240</v>
      </c>
      <c r="F779" t="n">
        <v>0</v>
      </c>
      <c r="G779">
        <f>SUMIF(PRISPELO!B:B, A779, PRISPELO!G:G)</f>
        <v/>
      </c>
      <c r="H779">
        <f>SUMIF(ODPIS!B:B, A779, ODPIS!G:G)</f>
        <v/>
      </c>
      <c r="I779" s="2">
        <f>F779 + G779 - H779</f>
        <v/>
      </c>
    </row>
    <row r="780">
      <c r="A780" t="n">
        <v>2636</v>
      </c>
      <c r="B780" t="inlineStr">
        <is>
          <t>Magno satin</t>
        </is>
      </c>
      <c r="C780" t="n">
        <v>90</v>
      </c>
      <c r="D780" t="n">
        <v>64</v>
      </c>
      <c r="E780" t="n">
        <v>170</v>
      </c>
      <c r="F780" t="n">
        <v>0</v>
      </c>
      <c r="G780">
        <f>SUMIF(PRISPELO!B:B, A780, PRISPELO!G:G)</f>
        <v/>
      </c>
      <c r="H780">
        <f>SUMIF(ODPIS!B:B, A780, ODPIS!G:G)</f>
        <v/>
      </c>
      <c r="I780" s="2">
        <f>F780 + G780 - H780</f>
        <v/>
      </c>
    </row>
    <row r="781">
      <c r="A781" t="n">
        <v>2637</v>
      </c>
      <c r="B781" t="inlineStr">
        <is>
          <t>Magno satin</t>
        </is>
      </c>
      <c r="C781" t="n">
        <v>100</v>
      </c>
      <c r="D781" t="n">
        <v>70</v>
      </c>
      <c r="E781" t="n">
        <v>350</v>
      </c>
      <c r="F781" t="n">
        <v>0</v>
      </c>
      <c r="G781">
        <f>SUMIF(PRISPELO!B:B, A781, PRISPELO!G:G)</f>
        <v/>
      </c>
      <c r="H781">
        <f>SUMIF(ODPIS!B:B, A781, ODPIS!G:G)</f>
        <v/>
      </c>
      <c r="I781" s="2">
        <f>F781 + G781 - H781</f>
        <v/>
      </c>
    </row>
    <row r="782">
      <c r="A782" t="n">
        <v>2638</v>
      </c>
      <c r="B782" t="inlineStr">
        <is>
          <t>Magno natural offset</t>
        </is>
      </c>
      <c r="C782" t="n">
        <v>64</v>
      </c>
      <c r="D782" t="n">
        <v>90</v>
      </c>
      <c r="E782" t="n">
        <v>140</v>
      </c>
      <c r="F782" t="n">
        <v>0</v>
      </c>
      <c r="G782">
        <f>SUMIF(PRISPELO!B:B, A782, PRISPELO!G:G)</f>
        <v/>
      </c>
      <c r="H782">
        <f>SUMIF(ODPIS!B:B, A782, ODPIS!G:G)</f>
        <v/>
      </c>
      <c r="I782" s="2">
        <f>F782 + G782 - H782</f>
        <v/>
      </c>
    </row>
    <row r="783">
      <c r="A783" t="n">
        <v>2639</v>
      </c>
      <c r="B783" t="inlineStr">
        <is>
          <t>IQ MODER</t>
        </is>
      </c>
      <c r="C783" t="n">
        <v>70</v>
      </c>
      <c r="D783" t="n">
        <v>100</v>
      </c>
      <c r="E783" t="n">
        <v>120</v>
      </c>
      <c r="F783" t="n">
        <v>0</v>
      </c>
      <c r="G783">
        <f>SUMIF(PRISPELO!B:B, A783, PRISPELO!G:G)</f>
        <v/>
      </c>
      <c r="H783">
        <f>SUMIF(ODPIS!B:B, A783, ODPIS!G:G)</f>
        <v/>
      </c>
      <c r="I783" s="2">
        <f>F783 + G783 - H783</f>
        <v/>
      </c>
    </row>
    <row r="784">
      <c r="A784" t="n">
        <v>2641</v>
      </c>
      <c r="B784" t="inlineStr">
        <is>
          <t>Garda matt</t>
        </is>
      </c>
      <c r="C784" t="n">
        <v>64</v>
      </c>
      <c r="D784" t="n">
        <v>90</v>
      </c>
      <c r="E784" t="n">
        <v>100</v>
      </c>
      <c r="F784" t="n">
        <v>0</v>
      </c>
      <c r="G784">
        <f>SUMIF(PRISPELO!B:B, A784, PRISPELO!G:G)</f>
        <v/>
      </c>
      <c r="H784">
        <f>SUMIF(ODPIS!B:B, A784, ODPIS!G:G)</f>
        <v/>
      </c>
      <c r="I784" s="2">
        <f>F784 + G784 - H784</f>
        <v/>
      </c>
    </row>
    <row r="785">
      <c r="A785" t="n">
        <v>2644</v>
      </c>
      <c r="B785" t="inlineStr">
        <is>
          <t>SERIXO OFFSET WHITE</t>
        </is>
      </c>
      <c r="C785" t="n">
        <v>100</v>
      </c>
      <c r="D785" t="n">
        <v>70</v>
      </c>
      <c r="E785" t="n">
        <v>80</v>
      </c>
      <c r="F785" t="n">
        <v>0</v>
      </c>
      <c r="G785">
        <f>SUMIF(PRISPELO!B:B, A785, PRISPELO!G:G)</f>
        <v/>
      </c>
      <c r="H785">
        <f>SUMIF(ODPIS!B:B, A785, ODPIS!G:G)</f>
        <v/>
      </c>
      <c r="I785" s="2">
        <f>F785 + G785 - H785</f>
        <v/>
      </c>
    </row>
    <row r="786">
      <c r="A786" t="n">
        <v>2645</v>
      </c>
      <c r="B786" t="inlineStr">
        <is>
          <t>G-PRINT</t>
        </is>
      </c>
      <c r="C786" t="n">
        <v>90</v>
      </c>
      <c r="D786" t="n">
        <v>64</v>
      </c>
      <c r="E786" t="n">
        <v>115</v>
      </c>
      <c r="F786" t="n">
        <v>1600</v>
      </c>
      <c r="G786">
        <f>SUMIF(PRISPELO!B:B, A786, PRISPELO!G:G)</f>
        <v/>
      </c>
      <c r="H786">
        <f>SUMIF(ODPIS!B:B, A786, ODPIS!G:G)</f>
        <v/>
      </c>
      <c r="I786" s="2">
        <f>F786 + G786 - H786</f>
        <v/>
      </c>
    </row>
    <row r="787">
      <c r="A787" t="n">
        <v>2646</v>
      </c>
      <c r="B787" t="inlineStr">
        <is>
          <t>G-PRINT</t>
        </is>
      </c>
      <c r="C787" t="n">
        <v>90</v>
      </c>
      <c r="D787" t="n">
        <v>64</v>
      </c>
      <c r="E787" t="n">
        <v>150</v>
      </c>
      <c r="F787" t="n">
        <v>500</v>
      </c>
      <c r="G787">
        <f>SUMIF(PRISPELO!B:B, A787, PRISPELO!G:G)</f>
        <v/>
      </c>
      <c r="H787">
        <f>SUMIF(ODPIS!B:B, A787, ODPIS!G:G)</f>
        <v/>
      </c>
      <c r="I787" s="2">
        <f>F787 + G787 - H787</f>
        <v/>
      </c>
    </row>
    <row r="788">
      <c r="A788" t="n">
        <v>2648</v>
      </c>
      <c r="B788" t="inlineStr">
        <is>
          <t>Magno gloss</t>
        </is>
      </c>
      <c r="C788" t="n">
        <v>44.8</v>
      </c>
      <c r="D788" t="n">
        <v>63.8</v>
      </c>
      <c r="E788" t="n">
        <v>250</v>
      </c>
      <c r="F788" t="n">
        <v>0</v>
      </c>
      <c r="G788">
        <f>SUMIF(PRISPELO!B:B, A788, PRISPELO!G:G)</f>
        <v/>
      </c>
      <c r="H788">
        <f>SUMIF(ODPIS!B:B, A788, ODPIS!G:G)</f>
        <v/>
      </c>
      <c r="I788" s="2">
        <f>F788 + G788 - H788</f>
        <v/>
      </c>
    </row>
    <row r="789">
      <c r="A789" t="n">
        <v>2649</v>
      </c>
      <c r="B789" t="inlineStr">
        <is>
          <t>IQ PRINT</t>
        </is>
      </c>
      <c r="C789" t="n">
        <v>88</v>
      </c>
      <c r="D789" t="n">
        <v>64</v>
      </c>
      <c r="E789" t="n">
        <v>90</v>
      </c>
      <c r="F789" t="n">
        <v>0</v>
      </c>
      <c r="G789">
        <f>SUMIF(PRISPELO!B:B, A789, PRISPELO!G:G)</f>
        <v/>
      </c>
      <c r="H789">
        <f>SUMIF(ODPIS!B:B, A789, ODPIS!G:G)</f>
        <v/>
      </c>
      <c r="I789" s="2">
        <f>F789 + G789 - H789</f>
        <v/>
      </c>
    </row>
    <row r="790">
      <c r="A790" t="n">
        <v>2650</v>
      </c>
      <c r="B790" t="inlineStr">
        <is>
          <t>IQ PRINT</t>
        </is>
      </c>
      <c r="C790" t="n">
        <v>63.8</v>
      </c>
      <c r="D790" t="n">
        <v>43.8</v>
      </c>
      <c r="E790" t="n">
        <v>90</v>
      </c>
      <c r="F790" t="n">
        <v>0</v>
      </c>
      <c r="G790">
        <f>SUMIF(PRISPELO!B:B, A790, PRISPELO!G:G)</f>
        <v/>
      </c>
      <c r="H790">
        <f>SUMIF(ODPIS!B:B, A790, ODPIS!G:G)</f>
        <v/>
      </c>
      <c r="I790" s="2">
        <f>F790 + G790 - H790</f>
        <v/>
      </c>
    </row>
    <row r="791">
      <c r="A791" t="n">
        <v>2651</v>
      </c>
      <c r="B791" t="inlineStr">
        <is>
          <t>Olin Regular natural White</t>
        </is>
      </c>
      <c r="C791" t="n">
        <v>72</v>
      </c>
      <c r="D791" t="n">
        <v>102</v>
      </c>
      <c r="E791" t="n">
        <v>80</v>
      </c>
      <c r="F791" t="n">
        <v>0</v>
      </c>
      <c r="G791">
        <f>SUMIF(PRISPELO!B:B, A791, PRISPELO!G:G)</f>
        <v/>
      </c>
      <c r="H791">
        <f>SUMIF(ODPIS!B:B, A791, ODPIS!G:G)</f>
        <v/>
      </c>
      <c r="I791" s="2">
        <f>F791 + G791 - H791</f>
        <v/>
      </c>
    </row>
    <row r="792">
      <c r="A792" t="n">
        <v>2652</v>
      </c>
      <c r="B792" t="inlineStr">
        <is>
          <t>IDEM SUPERIRIOR - CF roza</t>
        </is>
      </c>
      <c r="C792" t="n">
        <v>45</v>
      </c>
      <c r="D792" t="n">
        <v>64</v>
      </c>
      <c r="E792" t="n">
        <v>60</v>
      </c>
      <c r="F792" t="n">
        <v>0</v>
      </c>
      <c r="G792">
        <f>SUMIF(PRISPELO!B:B, A792, PRISPELO!G:G)</f>
        <v/>
      </c>
      <c r="H792">
        <f>SUMIF(ODPIS!B:B, A792, ODPIS!G:G)</f>
        <v/>
      </c>
      <c r="I792" s="2">
        <f>F792 + G792 - H792</f>
        <v/>
      </c>
    </row>
    <row r="793">
      <c r="A793" t="n">
        <v>2653</v>
      </c>
      <c r="B793" t="inlineStr">
        <is>
          <t>Magno natural offset</t>
        </is>
      </c>
      <c r="C793" t="n">
        <v>100</v>
      </c>
      <c r="D793" t="n">
        <v>70</v>
      </c>
      <c r="E793" t="n">
        <v>120</v>
      </c>
      <c r="F793" t="n">
        <v>0</v>
      </c>
      <c r="G793">
        <f>SUMIF(PRISPELO!B:B, A793, PRISPELO!G:G)</f>
        <v/>
      </c>
      <c r="H793">
        <f>SUMIF(ODPIS!B:B, A793, ODPIS!G:G)</f>
        <v/>
      </c>
      <c r="I793" s="2">
        <f>F793 + G793 - H793</f>
        <v/>
      </c>
    </row>
    <row r="794">
      <c r="A794" t="n">
        <v>2654</v>
      </c>
      <c r="B794" t="inlineStr">
        <is>
          <t>Mastercoat gloss</t>
        </is>
      </c>
      <c r="C794" t="n">
        <v>64</v>
      </c>
      <c r="D794" t="n">
        <v>88</v>
      </c>
      <c r="E794" t="n">
        <v>90</v>
      </c>
      <c r="F794" t="n">
        <v>0</v>
      </c>
      <c r="G794">
        <f>SUMIF(PRISPELO!B:B, A794, PRISPELO!G:G)</f>
        <v/>
      </c>
      <c r="H794">
        <f>SUMIF(ODPIS!B:B, A794, ODPIS!G:G)</f>
        <v/>
      </c>
      <c r="I794" s="2">
        <f>F794 + G794 - H794</f>
        <v/>
      </c>
    </row>
    <row r="795">
      <c r="A795" t="n">
        <v>2655</v>
      </c>
      <c r="B795" t="inlineStr">
        <is>
          <t>SERIXO OFFSET WHITE</t>
        </is>
      </c>
      <c r="C795" t="n">
        <v>64</v>
      </c>
      <c r="D795" t="n">
        <v>90</v>
      </c>
      <c r="E795" t="n">
        <v>80</v>
      </c>
      <c r="F795" t="n">
        <v>0</v>
      </c>
      <c r="G795">
        <f>SUMIF(PRISPELO!B:B, A795, PRISPELO!G:G)</f>
        <v/>
      </c>
      <c r="H795">
        <f>SUMIF(ODPIS!B:B, A795, ODPIS!G:G)</f>
        <v/>
      </c>
      <c r="I795" s="2">
        <f>F795 + G795 - H795</f>
        <v/>
      </c>
    </row>
    <row r="796">
      <c r="A796" t="n">
        <v>2657</v>
      </c>
      <c r="B796" t="inlineStr">
        <is>
          <t>DITO OFFSET</t>
        </is>
      </c>
      <c r="C796" t="n">
        <v>64</v>
      </c>
      <c r="D796" t="n">
        <v>90</v>
      </c>
      <c r="E796" t="n">
        <v>250</v>
      </c>
      <c r="F796" t="n">
        <v>0</v>
      </c>
      <c r="G796">
        <f>SUMIF(PRISPELO!B:B, A796, PRISPELO!G:G)</f>
        <v/>
      </c>
      <c r="H796">
        <f>SUMIF(ODPIS!B:B, A796, ODPIS!G:G)</f>
        <v/>
      </c>
      <c r="I796" s="2">
        <f>F796 + G796 - H796</f>
        <v/>
      </c>
    </row>
    <row r="797">
      <c r="A797" t="n">
        <v>2658</v>
      </c>
      <c r="B797" t="inlineStr">
        <is>
          <t>Garda matt</t>
        </is>
      </c>
      <c r="C797" t="n">
        <v>70</v>
      </c>
      <c r="D797" t="n">
        <v>51.5</v>
      </c>
      <c r="E797" t="n">
        <v>115</v>
      </c>
      <c r="F797" t="n">
        <v>0</v>
      </c>
      <c r="G797">
        <f>SUMIF(PRISPELO!B:B, A797, PRISPELO!G:G)</f>
        <v/>
      </c>
      <c r="H797">
        <f>SUMIF(ODPIS!B:B, A797, ODPIS!G:G)</f>
        <v/>
      </c>
      <c r="I797" s="2">
        <f>F797 + G797 - H797</f>
        <v/>
      </c>
    </row>
    <row r="798">
      <c r="A798" t="n">
        <v>2661</v>
      </c>
      <c r="B798" t="inlineStr">
        <is>
          <t>Multicolor special</t>
        </is>
      </c>
      <c r="C798" t="n">
        <v>70</v>
      </c>
      <c r="D798" t="n">
        <v>100</v>
      </c>
      <c r="E798" t="n">
        <v>300</v>
      </c>
      <c r="F798" t="n">
        <v>0</v>
      </c>
      <c r="G798">
        <f>SUMIF(PRISPELO!B:B, A798, PRISPELO!G:G)</f>
        <v/>
      </c>
      <c r="H798">
        <f>SUMIF(ODPIS!B:B, A798, ODPIS!G:G)</f>
        <v/>
      </c>
      <c r="I798" s="2">
        <f>F798 + G798 - H798</f>
        <v/>
      </c>
    </row>
    <row r="799">
      <c r="A799" t="n">
        <v>2662</v>
      </c>
      <c r="B799" t="inlineStr">
        <is>
          <t>Magno gloss</t>
        </is>
      </c>
      <c r="C799" t="n">
        <v>68</v>
      </c>
      <c r="D799" t="n">
        <v>52</v>
      </c>
      <c r="E799" t="n">
        <v>130</v>
      </c>
      <c r="F799" t="n">
        <v>0</v>
      </c>
      <c r="G799">
        <f>SUMIF(PRISPELO!B:B, A799, PRISPELO!G:G)</f>
        <v/>
      </c>
      <c r="H799">
        <f>SUMIF(ODPIS!B:B, A799, ODPIS!G:G)</f>
        <v/>
      </c>
      <c r="I799" s="2">
        <f>F799 + G799 - H799</f>
        <v/>
      </c>
    </row>
    <row r="800">
      <c r="A800" t="n">
        <v>2663</v>
      </c>
      <c r="B800" t="inlineStr">
        <is>
          <t>Magno gloss</t>
        </is>
      </c>
      <c r="C800" t="n">
        <v>50</v>
      </c>
      <c r="D800" t="n">
        <v>70</v>
      </c>
      <c r="E800" t="n">
        <v>130</v>
      </c>
      <c r="F800" t="n">
        <v>0</v>
      </c>
      <c r="G800">
        <f>SUMIF(PRISPELO!B:B, A800, PRISPELO!G:G)</f>
        <v/>
      </c>
      <c r="H800">
        <f>SUMIF(ODPIS!B:B, A800, ODPIS!G:G)</f>
        <v/>
      </c>
      <c r="I800" s="2">
        <f>F800 + G800 - H800</f>
        <v/>
      </c>
    </row>
    <row r="801">
      <c r="A801" t="n">
        <v>2664</v>
      </c>
      <c r="B801" t="inlineStr">
        <is>
          <t>Magno gloss</t>
        </is>
      </c>
      <c r="C801" t="n">
        <v>64</v>
      </c>
      <c r="D801" t="n">
        <v>48</v>
      </c>
      <c r="E801" t="n">
        <v>130</v>
      </c>
      <c r="F801" t="n">
        <v>0</v>
      </c>
      <c r="G801">
        <f>SUMIF(PRISPELO!B:B, A801, PRISPELO!G:G)</f>
        <v/>
      </c>
      <c r="H801">
        <f>SUMIF(ODPIS!B:B, A801, ODPIS!G:G)</f>
        <v/>
      </c>
      <c r="I801" s="2">
        <f>F801 + G801 - H801</f>
        <v/>
      </c>
    </row>
    <row r="802">
      <c r="A802" t="n">
        <v>2665</v>
      </c>
      <c r="B802" t="inlineStr">
        <is>
          <t>Magno gloss</t>
        </is>
      </c>
      <c r="C802" t="n">
        <v>70</v>
      </c>
      <c r="D802" t="n">
        <v>50</v>
      </c>
      <c r="E802" t="n">
        <v>250</v>
      </c>
      <c r="F802" t="n">
        <v>0</v>
      </c>
      <c r="G802">
        <f>SUMIF(PRISPELO!B:B, A802, PRISPELO!G:G)</f>
        <v/>
      </c>
      <c r="H802">
        <f>SUMIF(ODPIS!B:B, A802, ODPIS!G:G)</f>
        <v/>
      </c>
      <c r="I802" s="2">
        <f>F802 + G802 - H802</f>
        <v/>
      </c>
    </row>
    <row r="803">
      <c r="A803" t="n">
        <v>2666</v>
      </c>
      <c r="B803" t="inlineStr">
        <is>
          <t>Magno satin</t>
        </is>
      </c>
      <c r="C803" t="n">
        <v>100</v>
      </c>
      <c r="D803" t="n">
        <v>70</v>
      </c>
      <c r="E803" t="n">
        <v>200</v>
      </c>
      <c r="F803" t="n">
        <v>0</v>
      </c>
      <c r="G803">
        <f>SUMIF(PRISPELO!B:B, A803, PRISPELO!G:G)</f>
        <v/>
      </c>
      <c r="H803">
        <f>SUMIF(ODPIS!B:B, A803, ODPIS!G:G)</f>
        <v/>
      </c>
      <c r="I803" s="2">
        <f>F803 + G803 - H803</f>
        <v/>
      </c>
    </row>
    <row r="804">
      <c r="A804" t="n">
        <v>2667</v>
      </c>
      <c r="B804" t="inlineStr">
        <is>
          <t>Magno gloss</t>
        </is>
      </c>
      <c r="C804" t="n">
        <v>100</v>
      </c>
      <c r="D804" t="n">
        <v>70</v>
      </c>
      <c r="E804" t="n">
        <v>300</v>
      </c>
      <c r="F804" t="n">
        <v>0</v>
      </c>
      <c r="G804">
        <f>SUMIF(PRISPELO!B:B, A804, PRISPELO!G:G)</f>
        <v/>
      </c>
      <c r="H804">
        <f>SUMIF(ODPIS!B:B, A804, ODPIS!G:G)</f>
        <v/>
      </c>
      <c r="I804" s="2">
        <f>F804 + G804 - H804</f>
        <v/>
      </c>
    </row>
    <row r="805">
      <c r="A805" t="n">
        <v>2668</v>
      </c>
      <c r="B805" t="inlineStr">
        <is>
          <t>AMBER GRAPHIC</t>
        </is>
      </c>
      <c r="C805" t="n">
        <v>90</v>
      </c>
      <c r="D805" t="n">
        <v>64</v>
      </c>
      <c r="E805" t="n">
        <v>80</v>
      </c>
      <c r="F805" t="n">
        <v>0</v>
      </c>
      <c r="G805">
        <f>SUMIF(PRISPELO!B:B, A805, PRISPELO!G:G)</f>
        <v/>
      </c>
      <c r="H805">
        <f>SUMIF(ODPIS!B:B, A805, ODPIS!G:G)</f>
        <v/>
      </c>
      <c r="I805" s="2">
        <f>F805 + G805 - H805</f>
        <v/>
      </c>
    </row>
    <row r="806">
      <c r="A806" t="n">
        <v>2669</v>
      </c>
      <c r="B806" t="inlineStr">
        <is>
          <t>NiklaSelect</t>
        </is>
      </c>
      <c r="C806" t="n">
        <v>64</v>
      </c>
      <c r="D806" t="n">
        <v>88</v>
      </c>
      <c r="E806" t="n">
        <v>80</v>
      </c>
      <c r="F806" t="n">
        <v>0</v>
      </c>
      <c r="G806">
        <f>SUMIF(PRISPELO!B:B, A806, PRISPELO!G:G)</f>
        <v/>
      </c>
      <c r="H806">
        <f>SUMIF(ODPIS!B:B, A806, ODPIS!G:G)</f>
        <v/>
      </c>
      <c r="I806" s="2">
        <f>F806 + G806 - H806</f>
        <v/>
      </c>
    </row>
    <row r="807">
      <c r="A807" t="n">
        <v>2670</v>
      </c>
      <c r="B807" t="inlineStr">
        <is>
          <t>Magno natural offset</t>
        </is>
      </c>
      <c r="C807" t="n">
        <v>90</v>
      </c>
      <c r="D807" t="n">
        <v>64</v>
      </c>
      <c r="E807" t="n">
        <v>80</v>
      </c>
      <c r="F807" t="n">
        <v>0</v>
      </c>
      <c r="G807">
        <f>SUMIF(PRISPELO!B:B, A807, PRISPELO!G:G)</f>
        <v/>
      </c>
      <c r="H807">
        <f>SUMIF(ODPIS!B:B, A807, ODPIS!G:G)</f>
        <v/>
      </c>
      <c r="I807" s="2">
        <f>F807 + G807 - H807</f>
        <v/>
      </c>
    </row>
    <row r="808">
      <c r="A808" t="n">
        <v>2671</v>
      </c>
      <c r="B808" t="inlineStr">
        <is>
          <t>OLIN regular absolute white</t>
        </is>
      </c>
      <c r="C808" t="n">
        <v>46</v>
      </c>
      <c r="D808" t="n">
        <v>64</v>
      </c>
      <c r="E808" t="n">
        <v>100</v>
      </c>
      <c r="F808" t="n">
        <v>0</v>
      </c>
      <c r="G808">
        <f>SUMIF(PRISPELO!B:B, A808, PRISPELO!G:G)</f>
        <v/>
      </c>
      <c r="H808">
        <f>SUMIF(ODPIS!B:B, A808, ODPIS!G:G)</f>
        <v/>
      </c>
      <c r="I808" s="2">
        <f>F808 + G808 - H808</f>
        <v/>
      </c>
    </row>
    <row r="809">
      <c r="A809" t="n">
        <v>2678</v>
      </c>
      <c r="B809" t="inlineStr">
        <is>
          <t>Magno gloss</t>
        </is>
      </c>
      <c r="C809" t="n">
        <v>64</v>
      </c>
      <c r="D809" t="n">
        <v>48</v>
      </c>
      <c r="E809" t="n">
        <v>150</v>
      </c>
      <c r="F809" t="n">
        <v>0</v>
      </c>
      <c r="G809">
        <f>SUMIF(PRISPELO!B:B, A809, PRISPELO!G:G)</f>
        <v/>
      </c>
      <c r="H809">
        <f>SUMIF(ODPIS!B:B, A809, ODPIS!G:G)</f>
        <v/>
      </c>
      <c r="I809" s="2">
        <f>F809 + G809 - H809</f>
        <v/>
      </c>
    </row>
    <row r="810">
      <c r="A810" t="n">
        <v>2679</v>
      </c>
      <c r="B810" t="inlineStr">
        <is>
          <t>Claro glos</t>
        </is>
      </c>
      <c r="C810" t="n">
        <v>64</v>
      </c>
      <c r="D810" t="n">
        <v>48</v>
      </c>
      <c r="E810" t="n">
        <v>135</v>
      </c>
      <c r="F810" t="n">
        <v>0</v>
      </c>
      <c r="G810">
        <f>SUMIF(PRISPELO!B:B, A810, PRISPELO!G:G)</f>
        <v/>
      </c>
      <c r="H810">
        <f>SUMIF(ODPIS!B:B, A810, ODPIS!G:G)</f>
        <v/>
      </c>
      <c r="I810" s="2">
        <f>F810 + G810 - H810</f>
        <v/>
      </c>
    </row>
    <row r="811">
      <c r="A811" t="n">
        <v>2680</v>
      </c>
      <c r="B811" t="inlineStr">
        <is>
          <t>ARCTIC MATT</t>
        </is>
      </c>
      <c r="C811" t="n">
        <v>70</v>
      </c>
      <c r="D811" t="n">
        <v>51.5</v>
      </c>
      <c r="E811" t="n">
        <v>115</v>
      </c>
      <c r="F811" t="n">
        <v>0</v>
      </c>
      <c r="G811">
        <f>SUMIF(PRISPELO!B:B, A811, PRISPELO!G:G)</f>
        <v/>
      </c>
      <c r="H811">
        <f>SUMIF(ODPIS!B:B, A811, ODPIS!G:G)</f>
        <v/>
      </c>
      <c r="I811" s="2">
        <f>F811 + G811 - H811</f>
        <v/>
      </c>
    </row>
    <row r="812">
      <c r="A812" t="n">
        <v>2681</v>
      </c>
      <c r="B812" t="inlineStr">
        <is>
          <t>IDEM GIROFORM CB 60</t>
        </is>
      </c>
      <c r="C812" t="n">
        <v>45</v>
      </c>
      <c r="D812" t="n">
        <v>64</v>
      </c>
      <c r="E812" t="n">
        <v>60</v>
      </c>
      <c r="F812" t="n">
        <v>0</v>
      </c>
      <c r="G812">
        <f>SUMIF(PRISPELO!B:B, A812, PRISPELO!G:G)</f>
        <v/>
      </c>
      <c r="H812">
        <f>SUMIF(ODPIS!B:B, A812, ODPIS!G:G)</f>
        <v/>
      </c>
      <c r="I812" s="2">
        <f>F812 + G812 - H812</f>
        <v/>
      </c>
    </row>
    <row r="813">
      <c r="A813" t="n">
        <v>2682</v>
      </c>
      <c r="B813" t="inlineStr">
        <is>
          <t>IDEM GIROFORM CF</t>
        </is>
      </c>
      <c r="C813" t="n">
        <v>45</v>
      </c>
      <c r="D813" t="n">
        <v>64</v>
      </c>
      <c r="E813" t="n">
        <v>60</v>
      </c>
      <c r="F813" t="n">
        <v>400</v>
      </c>
      <c r="G813">
        <f>SUMIF(PRISPELO!B:B, A813, PRISPELO!G:G)</f>
        <v/>
      </c>
      <c r="H813">
        <f>SUMIF(ODPIS!B:B, A813, ODPIS!G:G)</f>
        <v/>
      </c>
      <c r="I813" s="2">
        <f>F813 + G813 - H813</f>
        <v/>
      </c>
    </row>
    <row r="814">
      <c r="A814" t="n">
        <v>2683</v>
      </c>
      <c r="B814" t="inlineStr">
        <is>
          <t>AMBER GRAPHIC</t>
        </is>
      </c>
      <c r="C814" t="n">
        <v>43</v>
      </c>
      <c r="D814" t="n">
        <v>73</v>
      </c>
      <c r="E814" t="n">
        <v>80</v>
      </c>
      <c r="F814" t="n">
        <v>0</v>
      </c>
      <c r="G814">
        <f>SUMIF(PRISPELO!B:B, A814, PRISPELO!G:G)</f>
        <v/>
      </c>
      <c r="H814">
        <f>SUMIF(ODPIS!B:B, A814, ODPIS!G:G)</f>
        <v/>
      </c>
      <c r="I814" s="2">
        <f>F814 + G814 - H814</f>
        <v/>
      </c>
    </row>
    <row r="815">
      <c r="A815" t="n">
        <v>2684</v>
      </c>
      <c r="B815" t="inlineStr">
        <is>
          <t>ZENIT</t>
        </is>
      </c>
      <c r="C815" t="n">
        <v>102</v>
      </c>
      <c r="D815" t="n">
        <v>72</v>
      </c>
      <c r="E815" t="n">
        <v>325</v>
      </c>
      <c r="F815" t="n">
        <v>0</v>
      </c>
      <c r="G815">
        <f>SUMIF(PRISPELO!B:B, A815, PRISPELO!G:G)</f>
        <v/>
      </c>
      <c r="H815">
        <f>SUMIF(ODPIS!B:B, A815, ODPIS!G:G)</f>
        <v/>
      </c>
      <c r="I815" s="2">
        <f>F815 + G815 - H815</f>
        <v/>
      </c>
    </row>
    <row r="816">
      <c r="A816" t="n">
        <v>2685</v>
      </c>
      <c r="B816" t="inlineStr">
        <is>
          <t>Magno satin</t>
        </is>
      </c>
      <c r="C816" t="n">
        <v>90</v>
      </c>
      <c r="D816" t="n">
        <v>64</v>
      </c>
      <c r="E816" t="n">
        <v>250</v>
      </c>
      <c r="F816" t="n">
        <v>0</v>
      </c>
      <c r="G816">
        <f>SUMIF(PRISPELO!B:B, A816, PRISPELO!G:G)</f>
        <v/>
      </c>
      <c r="H816">
        <f>SUMIF(ODPIS!B:B, A816, ODPIS!G:G)</f>
        <v/>
      </c>
      <c r="I816" s="2">
        <f>F816 + G816 - H816</f>
        <v/>
      </c>
    </row>
    <row r="817">
      <c r="A817" t="n">
        <v>2686</v>
      </c>
      <c r="B817" t="inlineStr">
        <is>
          <t>IDEM SUPERIOR-CF rumen</t>
        </is>
      </c>
      <c r="C817" t="n">
        <v>45</v>
      </c>
      <c r="D817" t="n">
        <v>64</v>
      </c>
      <c r="E817" t="n">
        <v>60</v>
      </c>
      <c r="F817" t="n">
        <v>0</v>
      </c>
      <c r="G817">
        <f>SUMIF(PRISPELO!B:B, A817, PRISPELO!G:G)</f>
        <v/>
      </c>
      <c r="H817">
        <f>SUMIF(ODPIS!B:B, A817, ODPIS!G:G)</f>
        <v/>
      </c>
      <c r="I817" s="2">
        <f>F817 + G817 - H817</f>
        <v/>
      </c>
    </row>
    <row r="818">
      <c r="A818" t="n">
        <v>2688</v>
      </c>
      <c r="B818" t="inlineStr">
        <is>
          <t>Fedrigoni sirio NERO</t>
        </is>
      </c>
      <c r="C818" t="n">
        <v>70</v>
      </c>
      <c r="D818" t="n">
        <v>100</v>
      </c>
      <c r="E818" t="n">
        <v>210</v>
      </c>
      <c r="F818" t="n">
        <v>0</v>
      </c>
      <c r="G818">
        <f>SUMIF(PRISPELO!B:B, A818, PRISPELO!G:G)</f>
        <v/>
      </c>
      <c r="H818">
        <f>SUMIF(ODPIS!B:B, A818, ODPIS!G:G)</f>
        <v/>
      </c>
      <c r="I818" s="2">
        <f>F818 + G818 - H818</f>
        <v/>
      </c>
    </row>
    <row r="819">
      <c r="A819" t="n">
        <v>2690</v>
      </c>
      <c r="B819" t="inlineStr">
        <is>
          <t>IQ  print</t>
        </is>
      </c>
      <c r="C819" t="n">
        <v>70</v>
      </c>
      <c r="D819" t="n">
        <v>100</v>
      </c>
      <c r="E819" t="n">
        <v>80</v>
      </c>
      <c r="F819" t="n">
        <v>0</v>
      </c>
      <c r="G819">
        <f>SUMIF(PRISPELO!B:B, A819, PRISPELO!G:G)</f>
        <v/>
      </c>
      <c r="H819">
        <f>SUMIF(ODPIS!B:B, A819, ODPIS!G:G)</f>
        <v/>
      </c>
      <c r="I819" s="2">
        <f>F819 + G819 - H819</f>
        <v/>
      </c>
    </row>
    <row r="820">
      <c r="A820" t="n">
        <v>2692</v>
      </c>
      <c r="B820" t="inlineStr">
        <is>
          <t>Magno satin</t>
        </is>
      </c>
      <c r="C820" t="n">
        <v>100</v>
      </c>
      <c r="D820" t="n">
        <v>70</v>
      </c>
      <c r="E820" t="n">
        <v>250</v>
      </c>
      <c r="F820" t="n">
        <v>0</v>
      </c>
      <c r="G820">
        <f>SUMIF(PRISPELO!B:B, A820, PRISPELO!G:G)</f>
        <v/>
      </c>
      <c r="H820">
        <f>SUMIF(ODPIS!B:B, A820, ODPIS!G:G)</f>
        <v/>
      </c>
      <c r="I820" s="2">
        <f>F820 + G820 - H820</f>
        <v/>
      </c>
    </row>
    <row r="821">
      <c r="A821" t="n">
        <v>2693</v>
      </c>
      <c r="B821" t="inlineStr">
        <is>
          <t>Magno satin</t>
        </is>
      </c>
      <c r="C821" t="n">
        <v>64</v>
      </c>
      <c r="D821" t="n">
        <v>90</v>
      </c>
      <c r="E821" t="n">
        <v>200</v>
      </c>
      <c r="F821" t="n">
        <v>0</v>
      </c>
      <c r="G821">
        <f>SUMIF(PRISPELO!B:B, A821, PRISPELO!G:G)</f>
        <v/>
      </c>
      <c r="H821">
        <f>SUMIF(ODPIS!B:B, A821, ODPIS!G:G)</f>
        <v/>
      </c>
      <c r="I821" s="2">
        <f>F821 + G821 - H821</f>
        <v/>
      </c>
    </row>
    <row r="822">
      <c r="A822" t="n">
        <v>2694</v>
      </c>
      <c r="B822" t="inlineStr">
        <is>
          <t>SAMMATT PREMIUM</t>
        </is>
      </c>
      <c r="C822" t="n">
        <v>70</v>
      </c>
      <c r="D822" t="n">
        <v>51.5</v>
      </c>
      <c r="E822" t="n">
        <v>115</v>
      </c>
      <c r="F822" t="n">
        <v>0</v>
      </c>
      <c r="G822">
        <f>SUMIF(PRISPELO!B:B, A822, PRISPELO!G:G)</f>
        <v/>
      </c>
      <c r="H822">
        <f>SUMIF(ODPIS!B:B, A822, ODPIS!G:G)</f>
        <v/>
      </c>
      <c r="I822" s="2">
        <f>F822 + G822 - H822</f>
        <v/>
      </c>
    </row>
    <row r="823">
      <c r="A823" t="n">
        <v>2696</v>
      </c>
      <c r="B823" t="inlineStr">
        <is>
          <t>Claro silk</t>
        </is>
      </c>
      <c r="C823" t="n">
        <v>45</v>
      </c>
      <c r="D823" t="n">
        <v>64</v>
      </c>
      <c r="E823" t="n">
        <v>150</v>
      </c>
      <c r="F823" t="n">
        <v>0</v>
      </c>
      <c r="G823">
        <f>SUMIF(PRISPELO!B:B, A823, PRISPELO!G:G)</f>
        <v/>
      </c>
      <c r="H823">
        <f>SUMIF(ODPIS!B:B, A823, ODPIS!G:G)</f>
        <v/>
      </c>
      <c r="I823" s="2">
        <f>F823 + G823 - H823</f>
        <v/>
      </c>
    </row>
    <row r="824">
      <c r="A824" t="n">
        <v>2698</v>
      </c>
      <c r="B824" t="inlineStr">
        <is>
          <t>IDEM GIROFORM CF RUMEN</t>
        </is>
      </c>
      <c r="C824" t="n">
        <v>45</v>
      </c>
      <c r="D824" t="n">
        <v>64</v>
      </c>
      <c r="E824" t="n">
        <v>60</v>
      </c>
      <c r="F824" t="n">
        <v>0</v>
      </c>
      <c r="G824">
        <f>SUMIF(PRISPELO!B:B, A824, PRISPELO!G:G)</f>
        <v/>
      </c>
      <c r="H824">
        <f>SUMIF(ODPIS!B:B, A824, ODPIS!G:G)</f>
        <v/>
      </c>
      <c r="I824" s="2">
        <f>F824 + G824 - H824</f>
        <v/>
      </c>
    </row>
    <row r="825">
      <c r="A825" t="n">
        <v>2699</v>
      </c>
      <c r="B825" t="inlineStr">
        <is>
          <t>SERIXO OFFSET WHITE</t>
        </is>
      </c>
      <c r="C825" t="n">
        <v>70</v>
      </c>
      <c r="D825" t="n">
        <v>100</v>
      </c>
      <c r="E825" t="n">
        <v>80</v>
      </c>
      <c r="F825" t="n">
        <v>0</v>
      </c>
      <c r="G825">
        <f>SUMIF(PRISPELO!B:B, A825, PRISPELO!G:G)</f>
        <v/>
      </c>
      <c r="H825">
        <f>SUMIF(ODPIS!B:B, A825, ODPIS!G:G)</f>
        <v/>
      </c>
      <c r="I825" s="2">
        <f>F825 + G825 - H825</f>
        <v/>
      </c>
    </row>
    <row r="826">
      <c r="A826" t="n">
        <v>2700</v>
      </c>
      <c r="B826" t="inlineStr">
        <is>
          <t>Magno gloss</t>
        </is>
      </c>
      <c r="C826" t="n">
        <v>64</v>
      </c>
      <c r="D826" t="n">
        <v>90</v>
      </c>
      <c r="E826" t="n">
        <v>150</v>
      </c>
      <c r="F826" t="n">
        <v>0</v>
      </c>
      <c r="G826">
        <f>SUMIF(PRISPELO!B:B, A826, PRISPELO!G:G)</f>
        <v/>
      </c>
      <c r="H826">
        <f>SUMIF(ODPIS!B:B, A826, ODPIS!G:G)</f>
        <v/>
      </c>
      <c r="I826" s="2">
        <f>F826 + G826 - H826</f>
        <v/>
      </c>
    </row>
    <row r="827">
      <c r="A827" t="n">
        <v>2701</v>
      </c>
      <c r="B827" t="inlineStr">
        <is>
          <t>Magno gloss</t>
        </is>
      </c>
      <c r="C827" t="n">
        <v>100</v>
      </c>
      <c r="D827" t="n">
        <v>70</v>
      </c>
      <c r="E827" t="n">
        <v>130</v>
      </c>
      <c r="F827" t="n">
        <v>0</v>
      </c>
      <c r="G827">
        <f>SUMIF(PRISPELO!B:B, A827, PRISPELO!G:G)</f>
        <v/>
      </c>
      <c r="H827">
        <f>SUMIF(ODPIS!B:B, A827, ODPIS!G:G)</f>
        <v/>
      </c>
      <c r="I827" s="2">
        <f>F827 + G827 - H827</f>
        <v/>
      </c>
    </row>
    <row r="828">
      <c r="A828" t="n">
        <v>3514</v>
      </c>
      <c r="B828" t="inlineStr">
        <is>
          <t>KUVERTE C4 BD SIL. ELKO</t>
        </is>
      </c>
      <c r="C828" t="n">
        <v>22.9</v>
      </c>
      <c r="D828" t="n">
        <v>0</v>
      </c>
      <c r="E828" t="n">
        <v>0</v>
      </c>
      <c r="F828" t="n">
        <v>0</v>
      </c>
      <c r="G828">
        <f>SUMIF(PRISPELO!B:B, A828, PRISPELO!G:G)</f>
        <v/>
      </c>
      <c r="H828">
        <f>SUMIF(ODPIS!B:B, A828, ODPIS!G:G)</f>
        <v/>
      </c>
      <c r="I828" s="2">
        <f>F828 + G828 - H828</f>
        <v/>
      </c>
    </row>
    <row r="829">
      <c r="A829" t="n">
        <v>3515</v>
      </c>
      <c r="B829" t="inlineStr">
        <is>
          <t>KUVERTE MATERICA GESSO</t>
        </is>
      </c>
      <c r="C829" t="n">
        <v>17</v>
      </c>
      <c r="D829" t="n">
        <v>17</v>
      </c>
      <c r="E829" t="n">
        <v>120</v>
      </c>
      <c r="F829" t="n">
        <v>0</v>
      </c>
      <c r="G829">
        <f>SUMIF(PRISPELO!B:B, A829, PRISPELO!G:G)</f>
        <v/>
      </c>
      <c r="H829">
        <f>SUMIF(ODPIS!B:B, A829, ODPIS!G:G)</f>
        <v/>
      </c>
      <c r="I829" s="2">
        <f>F829 + G829 - H829</f>
        <v/>
      </c>
    </row>
    <row r="830">
      <c r="A830" t="n">
        <v>2703</v>
      </c>
      <c r="B830" t="inlineStr">
        <is>
          <t>Magno gloss</t>
        </is>
      </c>
      <c r="C830" t="n">
        <v>90</v>
      </c>
      <c r="D830" t="n">
        <v>64</v>
      </c>
      <c r="E830" t="n">
        <v>130</v>
      </c>
      <c r="F830" t="n">
        <v>300</v>
      </c>
      <c r="G830">
        <f>SUMIF(PRISPELO!B:B, A830, PRISPELO!G:G)</f>
        <v/>
      </c>
      <c r="H830">
        <f>SUMIF(ODPIS!B:B, A830, ODPIS!G:G)</f>
        <v/>
      </c>
      <c r="I830" s="2">
        <f>F830 + G830 - H830</f>
        <v/>
      </c>
    </row>
    <row r="831">
      <c r="A831" t="n">
        <v>2705</v>
      </c>
      <c r="B831" t="inlineStr">
        <is>
          <t>Fedrigoni Sirio Pearl SILVER</t>
        </is>
      </c>
      <c r="C831" t="n">
        <v>72</v>
      </c>
      <c r="D831" t="n">
        <v>102</v>
      </c>
      <c r="E831" t="n">
        <v>125</v>
      </c>
      <c r="F831" t="n">
        <v>0</v>
      </c>
      <c r="G831">
        <f>SUMIF(PRISPELO!B:B, A831, PRISPELO!G:G)</f>
        <v/>
      </c>
      <c r="H831">
        <f>SUMIF(ODPIS!B:B, A831, ODPIS!G:G)</f>
        <v/>
      </c>
      <c r="I831" s="2">
        <f>F831 + G831 - H831</f>
        <v/>
      </c>
    </row>
    <row r="832">
      <c r="A832" t="n">
        <v>2706</v>
      </c>
      <c r="B832" t="inlineStr">
        <is>
          <t>CYCLUS OFFSET</t>
        </is>
      </c>
      <c r="C832" t="n">
        <v>72</v>
      </c>
      <c r="D832" t="n">
        <v>102</v>
      </c>
      <c r="E832" t="n">
        <v>300</v>
      </c>
      <c r="F832" t="n">
        <v>0</v>
      </c>
      <c r="G832">
        <f>SUMIF(PRISPELO!B:B, A832, PRISPELO!G:G)</f>
        <v/>
      </c>
      <c r="H832">
        <f>SUMIF(ODPIS!B:B, A832, ODPIS!G:G)</f>
        <v/>
      </c>
      <c r="I832" s="2">
        <f>F832 + G832 - H832</f>
        <v/>
      </c>
    </row>
    <row r="833">
      <c r="A833" t="n">
        <v>2047</v>
      </c>
      <c r="B833" t="inlineStr">
        <is>
          <t>Kuverta olin regular</t>
        </is>
      </c>
      <c r="C833" t="n">
        <v>11</v>
      </c>
      <c r="D833" t="n">
        <v>22</v>
      </c>
      <c r="E833" t="n">
        <v>120</v>
      </c>
      <c r="F833" t="n">
        <v>0</v>
      </c>
      <c r="G833">
        <f>SUMIF(PRISPELO!B:B, A833, PRISPELO!G:G)</f>
        <v/>
      </c>
      <c r="H833">
        <f>SUMIF(ODPIS!B:B, A833, ODPIS!G:G)</f>
        <v/>
      </c>
      <c r="I833" s="2">
        <f>F833 + G833 - H833</f>
        <v/>
      </c>
    </row>
    <row r="834">
      <c r="A834" t="n">
        <v>2707</v>
      </c>
      <c r="B834" t="inlineStr">
        <is>
          <t>PRINTA</t>
        </is>
      </c>
      <c r="C834" t="n">
        <v>70</v>
      </c>
      <c r="D834" t="n">
        <v>100</v>
      </c>
      <c r="E834" t="n">
        <v>250</v>
      </c>
      <c r="F834" t="n">
        <v>0</v>
      </c>
      <c r="G834">
        <f>SUMIF(PRISPELO!B:B, A834, PRISPELO!G:G)</f>
        <v/>
      </c>
      <c r="H834">
        <f>SUMIF(ODPIS!B:B, A834, ODPIS!G:G)</f>
        <v/>
      </c>
      <c r="I834" s="2">
        <f>F834 + G834 - H834</f>
        <v/>
      </c>
    </row>
    <row r="835">
      <c r="A835" t="n">
        <v>2709</v>
      </c>
      <c r="B835" t="inlineStr">
        <is>
          <t>Magno satin</t>
        </is>
      </c>
      <c r="C835" t="n">
        <v>100</v>
      </c>
      <c r="D835" t="n">
        <v>70</v>
      </c>
      <c r="E835" t="n">
        <v>300</v>
      </c>
      <c r="F835" t="n">
        <v>0</v>
      </c>
      <c r="G835">
        <f>SUMIF(PRISPELO!B:B, A835, PRISPELO!G:G)</f>
        <v/>
      </c>
      <c r="H835">
        <f>SUMIF(ODPIS!B:B, A835, ODPIS!G:G)</f>
        <v/>
      </c>
      <c r="I835" s="2">
        <f>F835 + G835 - H835</f>
        <v/>
      </c>
    </row>
    <row r="836">
      <c r="A836" t="n">
        <v>2716</v>
      </c>
      <c r="B836" t="inlineStr">
        <is>
          <t>Garda matt</t>
        </is>
      </c>
      <c r="C836" t="n">
        <v>100</v>
      </c>
      <c r="D836" t="n">
        <v>70</v>
      </c>
      <c r="E836" t="n">
        <v>350</v>
      </c>
      <c r="F836" t="n">
        <v>2500</v>
      </c>
      <c r="G836">
        <f>SUMIF(PRISPELO!B:B, A836, PRISPELO!G:G)</f>
        <v/>
      </c>
      <c r="H836">
        <f>SUMIF(ODPIS!B:B, A836, ODPIS!G:G)</f>
        <v/>
      </c>
      <c r="I836" s="2">
        <f>F836 + G836 - H836</f>
        <v/>
      </c>
    </row>
    <row r="837">
      <c r="A837" t="n">
        <v>2717</v>
      </c>
      <c r="B837" t="inlineStr">
        <is>
          <t>Magno natural offset</t>
        </is>
      </c>
      <c r="C837" t="n">
        <v>70</v>
      </c>
      <c r="D837" t="n">
        <v>100</v>
      </c>
      <c r="E837" t="n">
        <v>90</v>
      </c>
      <c r="F837" t="n">
        <v>0</v>
      </c>
      <c r="G837">
        <f>SUMIF(PRISPELO!B:B, A837, PRISPELO!G:G)</f>
        <v/>
      </c>
      <c r="H837">
        <f>SUMIF(ODPIS!B:B, A837, ODPIS!G:G)</f>
        <v/>
      </c>
      <c r="I837" s="2">
        <f>F837 + G837 - H837</f>
        <v/>
      </c>
    </row>
    <row r="838">
      <c r="A838" t="n">
        <v>2718</v>
      </c>
      <c r="B838" t="inlineStr">
        <is>
          <t>G-PRINT</t>
        </is>
      </c>
      <c r="C838" t="n">
        <v>70</v>
      </c>
      <c r="D838" t="n">
        <v>100</v>
      </c>
      <c r="E838" t="n">
        <v>100</v>
      </c>
      <c r="F838" t="n">
        <v>0</v>
      </c>
      <c r="G838">
        <f>SUMIF(PRISPELO!B:B, A838, PRISPELO!G:G)</f>
        <v/>
      </c>
      <c r="H838">
        <f>SUMIF(ODPIS!B:B, A838, ODPIS!G:G)</f>
        <v/>
      </c>
      <c r="I838" s="2">
        <f>F838 + G838 - H838</f>
        <v/>
      </c>
    </row>
    <row r="839">
      <c r="A839" t="n">
        <v>2719</v>
      </c>
      <c r="B839" t="inlineStr">
        <is>
          <t>Magno Satin</t>
        </is>
      </c>
      <c r="C839" t="n">
        <v>64</v>
      </c>
      <c r="D839" t="n">
        <v>90</v>
      </c>
      <c r="E839" t="n">
        <v>350</v>
      </c>
      <c r="F839" t="n">
        <v>0</v>
      </c>
      <c r="G839">
        <f>SUMIF(PRISPELO!B:B, A839, PRISPELO!G:G)</f>
        <v/>
      </c>
      <c r="H839">
        <f>SUMIF(ODPIS!B:B, A839, ODPIS!G:G)</f>
        <v/>
      </c>
      <c r="I839" s="2">
        <f>F839 + G839 - H839</f>
        <v/>
      </c>
    </row>
    <row r="840">
      <c r="A840" t="n">
        <v>2723</v>
      </c>
      <c r="B840" t="inlineStr">
        <is>
          <t>AMBER GRAPHIC</t>
        </is>
      </c>
      <c r="C840" t="n">
        <v>64</v>
      </c>
      <c r="D840" t="n">
        <v>90</v>
      </c>
      <c r="E840" t="n">
        <v>120</v>
      </c>
      <c r="F840" t="n">
        <v>0</v>
      </c>
      <c r="G840">
        <f>SUMIF(PRISPELO!B:B, A840, PRISPELO!G:G)</f>
        <v/>
      </c>
      <c r="H840">
        <f>SUMIF(ODPIS!B:B, A840, ODPIS!G:G)</f>
        <v/>
      </c>
      <c r="I840" s="2">
        <f>F840 + G840 - H840</f>
        <v/>
      </c>
    </row>
    <row r="841">
      <c r="A841" t="n">
        <v>2724</v>
      </c>
      <c r="B841" t="inlineStr">
        <is>
          <t>AMBER GRAPHIC</t>
        </is>
      </c>
      <c r="C841" t="n">
        <v>100</v>
      </c>
      <c r="D841" t="n">
        <v>70</v>
      </c>
      <c r="E841" t="n">
        <v>100</v>
      </c>
      <c r="F841" t="n">
        <v>0</v>
      </c>
      <c r="G841">
        <f>SUMIF(PRISPELO!B:B, A841, PRISPELO!G:G)</f>
        <v/>
      </c>
      <c r="H841">
        <f>SUMIF(ODPIS!B:B, A841, ODPIS!G:G)</f>
        <v/>
      </c>
      <c r="I841" s="2">
        <f>F841 + G841 - H841</f>
        <v/>
      </c>
    </row>
    <row r="842">
      <c r="A842" t="n">
        <v>2725</v>
      </c>
      <c r="B842" t="inlineStr">
        <is>
          <t>AMBER GRAPHIC</t>
        </is>
      </c>
      <c r="C842" t="n">
        <v>90</v>
      </c>
      <c r="D842" t="n">
        <v>64</v>
      </c>
      <c r="E842" t="n">
        <v>240</v>
      </c>
      <c r="F842" t="n">
        <v>0</v>
      </c>
      <c r="G842">
        <f>SUMIF(PRISPELO!B:B, A842, PRISPELO!G:G)</f>
        <v/>
      </c>
      <c r="H842">
        <f>SUMIF(ODPIS!B:B, A842, ODPIS!G:G)</f>
        <v/>
      </c>
      <c r="I842" s="2">
        <f>F842 + G842 - H842</f>
        <v/>
      </c>
    </row>
    <row r="843">
      <c r="A843" t="n">
        <v>2726</v>
      </c>
      <c r="B843" t="inlineStr">
        <is>
          <t>Magno gloss</t>
        </is>
      </c>
      <c r="C843" t="n">
        <v>64</v>
      </c>
      <c r="D843" t="n">
        <v>90</v>
      </c>
      <c r="E843" t="n">
        <v>130</v>
      </c>
      <c r="F843" t="n">
        <v>200</v>
      </c>
      <c r="G843">
        <f>SUMIF(PRISPELO!B:B, A843, PRISPELO!G:G)</f>
        <v/>
      </c>
      <c r="H843">
        <f>SUMIF(ODPIS!B:B, A843, ODPIS!G:G)</f>
        <v/>
      </c>
      <c r="I843" s="2">
        <f>F843 + G843 - H843</f>
        <v/>
      </c>
    </row>
    <row r="844">
      <c r="A844" t="n">
        <v>3130</v>
      </c>
      <c r="B844" t="inlineStr">
        <is>
          <t>Kuverta C5 ELCO BO s.trak</t>
        </is>
      </c>
      <c r="C844" t="n">
        <v>16.2</v>
      </c>
      <c r="D844" t="n">
        <v>22.9</v>
      </c>
      <c r="E844" t="n">
        <v>100</v>
      </c>
      <c r="F844" t="n">
        <v>0</v>
      </c>
      <c r="G844">
        <f>SUMIF(PRISPELO!B:B, A844, PRISPELO!G:G)</f>
        <v/>
      </c>
      <c r="H844">
        <f>SUMIF(ODPIS!B:B, A844, ODPIS!G:G)</f>
        <v/>
      </c>
      <c r="I844" s="2">
        <f>F844 + G844 - H844</f>
        <v/>
      </c>
    </row>
    <row r="845">
      <c r="A845" t="n">
        <v>2727</v>
      </c>
      <c r="B845" t="inlineStr">
        <is>
          <t>Magno natural offset</t>
        </is>
      </c>
      <c r="C845" t="n">
        <v>70</v>
      </c>
      <c r="D845" t="n">
        <v>100</v>
      </c>
      <c r="E845" t="n">
        <v>300</v>
      </c>
      <c r="F845" t="n">
        <v>0</v>
      </c>
      <c r="G845">
        <f>SUMIF(PRISPELO!B:B, A845, PRISPELO!G:G)</f>
        <v/>
      </c>
      <c r="H845">
        <f>SUMIF(ODPIS!B:B, A845, ODPIS!G:G)</f>
        <v/>
      </c>
      <c r="I845" s="2">
        <f>F845 + G845 - H845</f>
        <v/>
      </c>
    </row>
    <row r="846">
      <c r="A846" t="n">
        <v>2728</v>
      </c>
      <c r="B846" t="inlineStr">
        <is>
          <t>Magno gloss</t>
        </is>
      </c>
      <c r="C846" t="n">
        <v>70</v>
      </c>
      <c r="D846" t="n">
        <v>100</v>
      </c>
      <c r="E846" t="n">
        <v>350</v>
      </c>
      <c r="F846" t="n">
        <v>0</v>
      </c>
      <c r="G846">
        <f>SUMIF(PRISPELO!B:B, A846, PRISPELO!G:G)</f>
        <v/>
      </c>
      <c r="H846">
        <f>SUMIF(ODPIS!B:B, A846, ODPIS!G:G)</f>
        <v/>
      </c>
      <c r="I846" s="2">
        <f>F846 + G846 - H846</f>
        <v/>
      </c>
    </row>
    <row r="847">
      <c r="A847" t="n">
        <v>2729</v>
      </c>
      <c r="B847" t="inlineStr">
        <is>
          <t>Magno satin</t>
        </is>
      </c>
      <c r="C847" t="n">
        <v>70</v>
      </c>
      <c r="D847" t="n">
        <v>100</v>
      </c>
      <c r="E847" t="n">
        <v>350</v>
      </c>
      <c r="F847" t="n">
        <v>0</v>
      </c>
      <c r="G847">
        <f>SUMIF(PRISPELO!B:B, A847, PRISPELO!G:G)</f>
        <v/>
      </c>
      <c r="H847">
        <f>SUMIF(ODPIS!B:B, A847, ODPIS!G:G)</f>
        <v/>
      </c>
      <c r="I847" s="2">
        <f>F847 + G847 - H847</f>
        <v/>
      </c>
    </row>
    <row r="848">
      <c r="A848" t="n">
        <v>2730</v>
      </c>
      <c r="B848" t="inlineStr">
        <is>
          <t>Magno natural offset</t>
        </is>
      </c>
      <c r="C848" t="n">
        <v>70</v>
      </c>
      <c r="D848" t="n">
        <v>100</v>
      </c>
      <c r="E848" t="n">
        <v>120</v>
      </c>
      <c r="F848" t="n">
        <v>0</v>
      </c>
      <c r="G848">
        <f>SUMIF(PRISPELO!B:B, A848, PRISPELO!G:G)</f>
        <v/>
      </c>
      <c r="H848">
        <f>SUMIF(ODPIS!B:B, A848, ODPIS!G:G)</f>
        <v/>
      </c>
      <c r="I848" s="2">
        <f>F848 + G848 - H848</f>
        <v/>
      </c>
    </row>
    <row r="849">
      <c r="A849" t="n">
        <v>2731</v>
      </c>
      <c r="B849" t="inlineStr">
        <is>
          <t>AMBER PREPRINT</t>
        </is>
      </c>
      <c r="C849" t="n">
        <v>45</v>
      </c>
      <c r="D849" t="n">
        <v>64</v>
      </c>
      <c r="E849" t="n">
        <v>100</v>
      </c>
      <c r="F849" t="n">
        <v>0</v>
      </c>
      <c r="G849">
        <f>SUMIF(PRISPELO!B:B, A849, PRISPELO!G:G)</f>
        <v/>
      </c>
      <c r="H849">
        <f>SUMIF(ODPIS!B:B, A849, ODPIS!G:G)</f>
        <v/>
      </c>
      <c r="I849" s="2">
        <f>F849 + G849 - H849</f>
        <v/>
      </c>
    </row>
    <row r="850">
      <c r="A850" t="n">
        <v>2732</v>
      </c>
      <c r="B850" t="inlineStr">
        <is>
          <t>IDEM SUPERIOR - CFB zelen</t>
        </is>
      </c>
      <c r="C850" t="n">
        <v>61</v>
      </c>
      <c r="D850" t="n">
        <v>86</v>
      </c>
      <c r="E850" t="n">
        <v>60</v>
      </c>
      <c r="F850" t="n">
        <v>0</v>
      </c>
      <c r="G850">
        <f>SUMIF(PRISPELO!B:B, A850, PRISPELO!G:G)</f>
        <v/>
      </c>
      <c r="H850">
        <f>SUMIF(ODPIS!B:B, A850, ODPIS!G:G)</f>
        <v/>
      </c>
      <c r="I850" s="2">
        <f>F850 + G850 - H850</f>
        <v/>
      </c>
    </row>
    <row r="851">
      <c r="A851" t="n">
        <v>2735</v>
      </c>
      <c r="B851" t="inlineStr">
        <is>
          <t>Quatro silk</t>
        </is>
      </c>
      <c r="C851" t="n">
        <v>100</v>
      </c>
      <c r="D851" t="n">
        <v>70</v>
      </c>
      <c r="E851" t="n">
        <v>300</v>
      </c>
      <c r="F851" t="n">
        <v>0</v>
      </c>
      <c r="G851">
        <f>SUMIF(PRISPELO!B:B, A851, PRISPELO!G:G)</f>
        <v/>
      </c>
      <c r="H851">
        <f>SUMIF(ODPIS!B:B, A851, ODPIS!G:G)</f>
        <v/>
      </c>
      <c r="I851" s="2">
        <f>F851 + G851 - H851</f>
        <v/>
      </c>
    </row>
    <row r="852">
      <c r="A852" t="n">
        <v>2736</v>
      </c>
      <c r="B852" t="inlineStr">
        <is>
          <t>AMBER GRAPHIC</t>
        </is>
      </c>
      <c r="C852" t="n">
        <v>90</v>
      </c>
      <c r="D852" t="n">
        <v>64</v>
      </c>
      <c r="E852" t="n">
        <v>170</v>
      </c>
      <c r="F852" t="n">
        <v>200</v>
      </c>
      <c r="G852">
        <f>SUMIF(PRISPELO!B:B, A852, PRISPELO!G:G)</f>
        <v/>
      </c>
      <c r="H852">
        <f>SUMIF(ODPIS!B:B, A852, ODPIS!G:G)</f>
        <v/>
      </c>
      <c r="I852" s="2">
        <f>F852 + G852 - H852</f>
        <v/>
      </c>
    </row>
    <row r="853">
      <c r="A853" t="n">
        <v>2742</v>
      </c>
      <c r="B853" t="inlineStr">
        <is>
          <t>IDEM GIROFORM-CFB zelen</t>
        </is>
      </c>
      <c r="C853" t="n">
        <v>45</v>
      </c>
      <c r="D853" t="n">
        <v>64</v>
      </c>
      <c r="E853" t="n">
        <v>60</v>
      </c>
      <c r="F853" t="n">
        <v>0</v>
      </c>
      <c r="G853">
        <f>SUMIF(PRISPELO!B:B, A853, PRISPELO!G:G)</f>
        <v/>
      </c>
      <c r="H853">
        <f>SUMIF(ODPIS!B:B, A853, ODPIS!G:G)</f>
        <v/>
      </c>
      <c r="I853" s="2">
        <f>F853 + G853 - H853</f>
        <v/>
      </c>
    </row>
    <row r="854">
      <c r="A854" t="n">
        <v>2743</v>
      </c>
      <c r="B854" t="inlineStr">
        <is>
          <t>CYCLUS OFFSET</t>
        </is>
      </c>
      <c r="C854" t="n">
        <v>70</v>
      </c>
      <c r="D854" t="n">
        <v>100</v>
      </c>
      <c r="E854" t="n">
        <v>100</v>
      </c>
      <c r="F854" t="n">
        <v>0</v>
      </c>
      <c r="G854">
        <f>SUMIF(PRISPELO!B:B, A854, PRISPELO!G:G)</f>
        <v/>
      </c>
      <c r="H854">
        <f>SUMIF(ODPIS!B:B, A854, ODPIS!G:G)</f>
        <v/>
      </c>
      <c r="I854" s="2">
        <f>F854 + G854 - H854</f>
        <v/>
      </c>
    </row>
    <row r="855">
      <c r="A855" t="n">
        <v>2744</v>
      </c>
      <c r="B855" t="inlineStr">
        <is>
          <t>CYCLUS OFFSET</t>
        </is>
      </c>
      <c r="C855" t="n">
        <v>64</v>
      </c>
      <c r="D855" t="n">
        <v>92</v>
      </c>
      <c r="E855" t="n">
        <v>300</v>
      </c>
      <c r="F855" t="n">
        <v>0</v>
      </c>
      <c r="G855">
        <f>SUMIF(PRISPELO!B:B, A855, PRISPELO!G:G)</f>
        <v/>
      </c>
      <c r="H855">
        <f>SUMIF(ODPIS!B:B, A855, ODPIS!G:G)</f>
        <v/>
      </c>
      <c r="I855" s="2">
        <f>F855 + G855 - H855</f>
        <v/>
      </c>
    </row>
    <row r="856">
      <c r="A856" t="n">
        <v>2745</v>
      </c>
      <c r="B856" t="inlineStr">
        <is>
          <t>DITO OFSET</t>
        </is>
      </c>
      <c r="C856" t="n">
        <v>90</v>
      </c>
      <c r="D856" t="n">
        <v>64</v>
      </c>
      <c r="E856" t="n">
        <v>250</v>
      </c>
      <c r="F856" t="n">
        <v>0</v>
      </c>
      <c r="G856">
        <f>SUMIF(PRISPELO!B:B, A856, PRISPELO!G:G)</f>
        <v/>
      </c>
      <c r="H856">
        <f>SUMIF(ODPIS!B:B, A856, ODPIS!G:G)</f>
        <v/>
      </c>
      <c r="I856" s="2">
        <f>F856 + G856 - H856</f>
        <v/>
      </c>
    </row>
    <row r="857">
      <c r="A857" t="n">
        <v>2747</v>
      </c>
      <c r="B857" t="inlineStr">
        <is>
          <t>Magno gloss</t>
        </is>
      </c>
      <c r="C857" t="n">
        <v>100</v>
      </c>
      <c r="D857" t="n">
        <v>70</v>
      </c>
      <c r="E857" t="n">
        <v>100</v>
      </c>
      <c r="F857" t="n">
        <v>0</v>
      </c>
      <c r="G857">
        <f>SUMIF(PRISPELO!B:B, A857, PRISPELO!G:G)</f>
        <v/>
      </c>
      <c r="H857">
        <f>SUMIF(ODPIS!B:B, A857, ODPIS!G:G)</f>
        <v/>
      </c>
      <c r="I857" s="2">
        <f>F857 + G857 - H857</f>
        <v/>
      </c>
    </row>
    <row r="858">
      <c r="A858" t="n">
        <v>2748</v>
      </c>
      <c r="B858" t="inlineStr">
        <is>
          <t>SERIXO  OFFSET WHITE</t>
        </is>
      </c>
      <c r="C858" t="n">
        <v>45</v>
      </c>
      <c r="D858" t="n">
        <v>64</v>
      </c>
      <c r="E858" t="n">
        <v>90</v>
      </c>
      <c r="F858" t="n">
        <v>0</v>
      </c>
      <c r="G858">
        <f>SUMIF(PRISPELO!B:B, A858, PRISPELO!G:G)</f>
        <v/>
      </c>
      <c r="H858">
        <f>SUMIF(ODPIS!B:B, A858, ODPIS!G:G)</f>
        <v/>
      </c>
      <c r="I858" s="2">
        <f>F858 + G858 - H858</f>
        <v/>
      </c>
    </row>
    <row r="859">
      <c r="A859" t="n">
        <v>2749</v>
      </c>
      <c r="B859" t="inlineStr">
        <is>
          <t>novatech satin 2c</t>
        </is>
      </c>
      <c r="C859" t="n">
        <v>64</v>
      </c>
      <c r="D859" t="n">
        <v>90</v>
      </c>
      <c r="E859" t="n">
        <v>250</v>
      </c>
      <c r="F859" t="n">
        <v>0</v>
      </c>
      <c r="G859">
        <f>SUMIF(PRISPELO!B:B, A859, PRISPELO!G:G)</f>
        <v/>
      </c>
      <c r="H859">
        <f>SUMIF(ODPIS!B:B, A859, ODPIS!G:G)</f>
        <v/>
      </c>
      <c r="I859" s="2">
        <f>F859 + G859 - H859</f>
        <v/>
      </c>
    </row>
    <row r="860">
      <c r="A860" t="n">
        <v>2752</v>
      </c>
      <c r="B860" t="inlineStr">
        <is>
          <t>Smart board duo</t>
        </is>
      </c>
      <c r="C860" t="n">
        <v>72</v>
      </c>
      <c r="D860" t="n">
        <v>102</v>
      </c>
      <c r="E860" t="n">
        <v>350</v>
      </c>
      <c r="F860" t="n">
        <v>0</v>
      </c>
      <c r="G860">
        <f>SUMIF(PRISPELO!B:B, A860, PRISPELO!G:G)</f>
        <v/>
      </c>
      <c r="H860">
        <f>SUMIF(ODPIS!B:B, A860, ODPIS!G:G)</f>
        <v/>
      </c>
      <c r="I860" s="2">
        <f>F860 + G860 - H860</f>
        <v/>
      </c>
    </row>
    <row r="861">
      <c r="A861" t="n">
        <v>2753</v>
      </c>
      <c r="B861" t="inlineStr">
        <is>
          <t>SERIXO OFFSET WHITE</t>
        </is>
      </c>
      <c r="C861" t="n">
        <v>45</v>
      </c>
      <c r="D861" t="n">
        <v>64</v>
      </c>
      <c r="E861" t="n">
        <v>70</v>
      </c>
      <c r="F861" t="n">
        <v>0</v>
      </c>
      <c r="G861">
        <f>SUMIF(PRISPELO!B:B, A861, PRISPELO!G:G)</f>
        <v/>
      </c>
      <c r="H861">
        <f>SUMIF(ODPIS!B:B, A861, ODPIS!G:G)</f>
        <v/>
      </c>
      <c r="I861" s="2">
        <f>F861 + G861 - H861</f>
        <v/>
      </c>
    </row>
    <row r="862">
      <c r="A862" t="n">
        <v>2755</v>
      </c>
      <c r="B862" t="inlineStr">
        <is>
          <t>Fedrigoni SYMBOL CARD</t>
        </is>
      </c>
      <c r="C862" t="n">
        <v>72</v>
      </c>
      <c r="D862" t="n">
        <v>102</v>
      </c>
      <c r="E862" t="n">
        <v>270</v>
      </c>
      <c r="F862" t="n">
        <v>100</v>
      </c>
      <c r="G862">
        <f>SUMIF(PRISPELO!B:B, A862, PRISPELO!G:G)</f>
        <v/>
      </c>
      <c r="H862">
        <f>SUMIF(ODPIS!B:B, A862, ODPIS!G:G)</f>
        <v/>
      </c>
      <c r="I862" s="2">
        <f>F862 + G862 - H862</f>
        <v/>
      </c>
    </row>
    <row r="863">
      <c r="A863" t="n">
        <v>2756</v>
      </c>
      <c r="B863" t="inlineStr">
        <is>
          <t>Magno gloss</t>
        </is>
      </c>
      <c r="C863" t="n">
        <v>70</v>
      </c>
      <c r="D863" t="n">
        <v>100</v>
      </c>
      <c r="E863" t="n">
        <v>200</v>
      </c>
      <c r="F863" t="n">
        <v>0</v>
      </c>
      <c r="G863">
        <f>SUMIF(PRISPELO!B:B, A863, PRISPELO!G:G)</f>
        <v/>
      </c>
      <c r="H863">
        <f>SUMIF(ODPIS!B:B, A863, ODPIS!G:G)</f>
        <v/>
      </c>
      <c r="I863" s="2">
        <f>F863 + G863 - H863</f>
        <v/>
      </c>
    </row>
    <row r="864">
      <c r="A864" t="n">
        <v>2757</v>
      </c>
      <c r="B864" t="inlineStr">
        <is>
          <t>AMBER GRAPHIC</t>
        </is>
      </c>
      <c r="C864" t="n">
        <v>45</v>
      </c>
      <c r="D864" t="n">
        <v>64</v>
      </c>
      <c r="E864" t="n">
        <v>200</v>
      </c>
      <c r="F864" t="n">
        <v>0</v>
      </c>
      <c r="G864">
        <f>SUMIF(PRISPELO!B:B, A864, PRISPELO!G:G)</f>
        <v/>
      </c>
      <c r="H864">
        <f>SUMIF(ODPIS!B:B, A864, ODPIS!G:G)</f>
        <v/>
      </c>
      <c r="I864" s="2">
        <f>F864 + G864 - H864</f>
        <v/>
      </c>
    </row>
    <row r="865">
      <c r="A865" t="n">
        <v>2758</v>
      </c>
      <c r="B865" t="inlineStr">
        <is>
          <t>KROMOPAK</t>
        </is>
      </c>
      <c r="C865" t="n">
        <v>101</v>
      </c>
      <c r="D865" t="n">
        <v>71</v>
      </c>
      <c r="E865" t="n">
        <v>350</v>
      </c>
      <c r="F865" t="n">
        <v>0</v>
      </c>
      <c r="G865">
        <f>SUMIF(PRISPELO!B:B, A865, PRISPELO!G:G)</f>
        <v/>
      </c>
      <c r="H865">
        <f>SUMIF(ODPIS!B:B, A865, ODPIS!G:G)</f>
        <v/>
      </c>
      <c r="I865" s="2">
        <f>F865 + G865 - H865</f>
        <v/>
      </c>
    </row>
    <row r="866">
      <c r="A866" t="n">
        <v>2759</v>
      </c>
      <c r="B866" t="inlineStr">
        <is>
          <t>Claro silk</t>
        </is>
      </c>
      <c r="C866" t="n">
        <v>45</v>
      </c>
      <c r="D866" t="n">
        <v>64</v>
      </c>
      <c r="E866" t="n">
        <v>100</v>
      </c>
      <c r="F866" t="n">
        <v>0</v>
      </c>
      <c r="G866">
        <f>SUMIF(PRISPELO!B:B, A866, PRISPELO!G:G)</f>
        <v/>
      </c>
      <c r="H866">
        <f>SUMIF(ODPIS!B:B, A866, ODPIS!G:G)</f>
        <v/>
      </c>
      <c r="I866" s="2">
        <f>F866 + G866 - H866</f>
        <v/>
      </c>
    </row>
    <row r="867">
      <c r="A867" t="n">
        <v>2760</v>
      </c>
      <c r="B867" t="inlineStr">
        <is>
          <t>Claro silk</t>
        </is>
      </c>
      <c r="C867" t="n">
        <v>45</v>
      </c>
      <c r="D867" t="n">
        <v>64</v>
      </c>
      <c r="E867" t="n">
        <v>200</v>
      </c>
      <c r="F867" t="n">
        <v>0</v>
      </c>
      <c r="G867">
        <f>SUMIF(PRISPELO!B:B, A867, PRISPELO!G:G)</f>
        <v/>
      </c>
      <c r="H867">
        <f>SUMIF(ODPIS!B:B, A867, ODPIS!G:G)</f>
        <v/>
      </c>
      <c r="I867" s="2">
        <f>F867 + G867 - H867</f>
        <v/>
      </c>
    </row>
    <row r="868">
      <c r="A868" t="n">
        <v>2761</v>
      </c>
      <c r="B868" t="inlineStr">
        <is>
          <t>Magno satin</t>
        </is>
      </c>
      <c r="C868" t="n">
        <v>90</v>
      </c>
      <c r="D868" t="n">
        <v>64</v>
      </c>
      <c r="E868" t="n">
        <v>100</v>
      </c>
      <c r="F868" t="n">
        <v>100</v>
      </c>
      <c r="G868">
        <f>SUMIF(PRISPELO!B:B, A868, PRISPELO!G:G)</f>
        <v/>
      </c>
      <c r="H868">
        <f>SUMIF(ODPIS!B:B, A868, ODPIS!G:G)</f>
        <v/>
      </c>
      <c r="I868" s="2">
        <f>F868 + G868 - H868</f>
        <v/>
      </c>
    </row>
    <row r="869">
      <c r="A869" t="n">
        <v>2762</v>
      </c>
      <c r="B869" t="inlineStr">
        <is>
          <t>novatech satin b1 bb</t>
        </is>
      </c>
      <c r="C869" t="n">
        <v>100</v>
      </c>
      <c r="D869" t="n">
        <v>70.7</v>
      </c>
      <c r="E869" t="n">
        <v>300</v>
      </c>
      <c r="F869" t="n">
        <v>0</v>
      </c>
      <c r="G869">
        <f>SUMIF(PRISPELO!B:B, A869, PRISPELO!G:G)</f>
        <v/>
      </c>
      <c r="H869">
        <f>SUMIF(ODPIS!B:B, A869, ODPIS!G:G)</f>
        <v/>
      </c>
      <c r="I869" s="2">
        <f>F869 + G869 - H869</f>
        <v/>
      </c>
    </row>
    <row r="870">
      <c r="A870" t="n">
        <v>2763</v>
      </c>
      <c r="B870" t="inlineStr">
        <is>
          <t>Magno satin</t>
        </is>
      </c>
      <c r="C870" t="n">
        <v>64</v>
      </c>
      <c r="D870" t="n">
        <v>90</v>
      </c>
      <c r="E870" t="n">
        <v>250</v>
      </c>
      <c r="F870" t="n">
        <v>100</v>
      </c>
      <c r="G870">
        <f>SUMIF(PRISPELO!B:B, A870, PRISPELO!G:G)</f>
        <v/>
      </c>
      <c r="H870">
        <f>SUMIF(ODPIS!B:B, A870, ODPIS!G:G)</f>
        <v/>
      </c>
      <c r="I870" s="2">
        <f>F870 + G870 - H870</f>
        <v/>
      </c>
    </row>
    <row r="871">
      <c r="A871" t="n">
        <v>2910</v>
      </c>
      <c r="B871" t="inlineStr">
        <is>
          <t>kuverta C5 OL NK NE SILIKON</t>
        </is>
      </c>
      <c r="C871" t="n">
        <v>16.2</v>
      </c>
      <c r="D871" t="n">
        <v>22.9</v>
      </c>
      <c r="E871" t="n">
        <v>90</v>
      </c>
      <c r="F871" t="n">
        <v>0</v>
      </c>
      <c r="G871">
        <f>SUMIF(PRISPELO!B:B, A871, PRISPELO!G:G)</f>
        <v/>
      </c>
      <c r="H871">
        <f>SUMIF(ODPIS!B:B, A871, ODPIS!G:G)</f>
        <v/>
      </c>
      <c r="I871" s="2">
        <f>F871 + G871 - H871</f>
        <v/>
      </c>
    </row>
    <row r="872">
      <c r="A872" t="n">
        <v>2764</v>
      </c>
      <c r="B872" t="inlineStr">
        <is>
          <t>G-PRINT</t>
        </is>
      </c>
      <c r="C872" t="n">
        <v>100</v>
      </c>
      <c r="D872" t="n">
        <v>70</v>
      </c>
      <c r="E872" t="n">
        <v>115</v>
      </c>
      <c r="F872" t="n">
        <v>150</v>
      </c>
      <c r="G872">
        <f>SUMIF(PRISPELO!B:B, A872, PRISPELO!G:G)</f>
        <v/>
      </c>
      <c r="H872">
        <f>SUMIF(ODPIS!B:B, A872, ODPIS!G:G)</f>
        <v/>
      </c>
      <c r="I872" s="2">
        <f>F872 + G872 - H872</f>
        <v/>
      </c>
    </row>
    <row r="873">
      <c r="A873" t="n">
        <v>2765</v>
      </c>
      <c r="B873" t="inlineStr">
        <is>
          <t>G-PRINT</t>
        </is>
      </c>
      <c r="C873" t="n">
        <v>100</v>
      </c>
      <c r="D873" t="n">
        <v>70</v>
      </c>
      <c r="E873" t="n">
        <v>250</v>
      </c>
      <c r="F873" t="n">
        <v>0</v>
      </c>
      <c r="G873">
        <f>SUMIF(PRISPELO!B:B, A873, PRISPELO!G:G)</f>
        <v/>
      </c>
      <c r="H873">
        <f>SUMIF(ODPIS!B:B, A873, ODPIS!G:G)</f>
        <v/>
      </c>
      <c r="I873" s="2">
        <f>F873 + G873 - H873</f>
        <v/>
      </c>
    </row>
    <row r="874">
      <c r="A874" t="n">
        <v>2767</v>
      </c>
      <c r="B874" t="inlineStr">
        <is>
          <t>Magno gloss</t>
        </is>
      </c>
      <c r="C874" t="n">
        <v>64</v>
      </c>
      <c r="D874" t="n">
        <v>90</v>
      </c>
      <c r="E874" t="n">
        <v>100</v>
      </c>
      <c r="F874" t="n">
        <v>0</v>
      </c>
      <c r="G874">
        <f>SUMIF(PRISPELO!B:B, A874, PRISPELO!G:G)</f>
        <v/>
      </c>
      <c r="H874">
        <f>SUMIF(ODPIS!B:B, A874, ODPIS!G:G)</f>
        <v/>
      </c>
      <c r="I874" s="2">
        <f>F874 + G874 - H874</f>
        <v/>
      </c>
    </row>
    <row r="875">
      <c r="A875" t="n">
        <v>2770</v>
      </c>
      <c r="B875" t="inlineStr">
        <is>
          <t>Magno gloss</t>
        </is>
      </c>
      <c r="C875" t="n">
        <v>100</v>
      </c>
      <c r="D875" t="n">
        <v>70</v>
      </c>
      <c r="E875" t="n">
        <v>250</v>
      </c>
      <c r="F875" t="n">
        <v>0</v>
      </c>
      <c r="G875">
        <f>SUMIF(PRISPELO!B:B, A875, PRISPELO!G:G)</f>
        <v/>
      </c>
      <c r="H875">
        <f>SUMIF(ODPIS!B:B, A875, ODPIS!G:G)</f>
        <v/>
      </c>
      <c r="I875" s="2">
        <f>F875 + G875 - H875</f>
        <v/>
      </c>
    </row>
    <row r="876">
      <c r="A876" t="n">
        <v>2771</v>
      </c>
      <c r="B876" t="inlineStr">
        <is>
          <t>Magno satin</t>
        </is>
      </c>
      <c r="C876" t="n">
        <v>100</v>
      </c>
      <c r="D876" t="n">
        <v>70</v>
      </c>
      <c r="E876" t="n">
        <v>100</v>
      </c>
      <c r="F876" t="n">
        <v>450</v>
      </c>
      <c r="G876">
        <f>SUMIF(PRISPELO!B:B, A876, PRISPELO!G:G)</f>
        <v/>
      </c>
      <c r="H876">
        <f>SUMIF(ODPIS!B:B, A876, ODPIS!G:G)</f>
        <v/>
      </c>
      <c r="I876" s="2">
        <f>F876 + G876 - H876</f>
        <v/>
      </c>
    </row>
    <row r="877">
      <c r="A877" t="n">
        <v>2772</v>
      </c>
      <c r="B877" t="inlineStr">
        <is>
          <t>CYCLUS OFFSET</t>
        </is>
      </c>
      <c r="C877" t="n">
        <v>45</v>
      </c>
      <c r="D877" t="n">
        <v>64</v>
      </c>
      <c r="E877" t="n">
        <v>300</v>
      </c>
      <c r="F877" t="n">
        <v>0</v>
      </c>
      <c r="G877">
        <f>SUMIF(PRISPELO!B:B, A877, PRISPELO!G:G)</f>
        <v/>
      </c>
      <c r="H877">
        <f>SUMIF(ODPIS!B:B, A877, ODPIS!G:G)</f>
        <v/>
      </c>
      <c r="I877" s="2">
        <f>F877 + G877 - H877</f>
        <v/>
      </c>
    </row>
    <row r="878">
      <c r="A878" t="n">
        <v>2773</v>
      </c>
      <c r="B878" t="inlineStr">
        <is>
          <t>Magno gloss</t>
        </is>
      </c>
      <c r="C878" t="n">
        <v>90</v>
      </c>
      <c r="D878" t="n">
        <v>64</v>
      </c>
      <c r="E878" t="n">
        <v>170</v>
      </c>
      <c r="F878" t="n">
        <v>0</v>
      </c>
      <c r="G878">
        <f>SUMIF(PRISPELO!B:B, A878, PRISPELO!G:G)</f>
        <v/>
      </c>
      <c r="H878">
        <f>SUMIF(ODPIS!B:B, A878, ODPIS!G:G)</f>
        <v/>
      </c>
      <c r="I878" s="2">
        <f>F878 + G878 - H878</f>
        <v/>
      </c>
    </row>
    <row r="879">
      <c r="A879" t="n">
        <v>2774</v>
      </c>
      <c r="B879" t="inlineStr">
        <is>
          <t>Fedrigoni SYMBOL CARD PW</t>
        </is>
      </c>
      <c r="C879" t="n">
        <v>102</v>
      </c>
      <c r="D879" t="n">
        <v>72</v>
      </c>
      <c r="E879" t="n">
        <v>240</v>
      </c>
      <c r="F879" t="n">
        <v>0</v>
      </c>
      <c r="G879">
        <f>SUMIF(PRISPELO!B:B, A879, PRISPELO!G:G)</f>
        <v/>
      </c>
      <c r="H879">
        <f>SUMIF(ODPIS!B:B, A879, ODPIS!G:G)</f>
        <v/>
      </c>
      <c r="I879" s="2">
        <f>F879 + G879 - H879</f>
        <v/>
      </c>
    </row>
    <row r="880">
      <c r="A880" t="n">
        <v>2775</v>
      </c>
      <c r="B880" t="inlineStr">
        <is>
          <t>Magno gloss</t>
        </is>
      </c>
      <c r="C880" t="n">
        <v>90</v>
      </c>
      <c r="D880" t="n">
        <v>64</v>
      </c>
      <c r="E880" t="n">
        <v>200</v>
      </c>
      <c r="F880" t="n">
        <v>0</v>
      </c>
      <c r="G880">
        <f>SUMIF(PRISPELO!B:B, A880, PRISPELO!G:G)</f>
        <v/>
      </c>
      <c r="H880">
        <f>SUMIF(ODPIS!B:B, A880, ODPIS!G:G)</f>
        <v/>
      </c>
      <c r="I880" s="2">
        <f>F880 + G880 - H880</f>
        <v/>
      </c>
    </row>
    <row r="881">
      <c r="A881" t="n">
        <v>3601</v>
      </c>
      <c r="B881" t="inlineStr">
        <is>
          <t>IQ COLOR NEON ZELEN</t>
        </is>
      </c>
      <c r="C881" t="n">
        <v>42</v>
      </c>
      <c r="D881" t="n">
        <v>29.7</v>
      </c>
      <c r="E881" t="n">
        <v>80</v>
      </c>
      <c r="F881" t="n">
        <v>0</v>
      </c>
      <c r="G881">
        <f>SUMIF(PRISPELO!B:B, A881, PRISPELO!G:G)</f>
        <v/>
      </c>
      <c r="H881">
        <f>SUMIF(ODPIS!B:B, A881, ODPIS!G:G)</f>
        <v/>
      </c>
      <c r="I881" s="2">
        <f>F881 + G881 - H881</f>
        <v/>
      </c>
    </row>
    <row r="882">
      <c r="A882" t="n">
        <v>2776</v>
      </c>
      <c r="B882" t="inlineStr">
        <is>
          <t>AMBER GRAPHIC</t>
        </is>
      </c>
      <c r="C882" t="n">
        <v>100</v>
      </c>
      <c r="D882" t="n">
        <v>70</v>
      </c>
      <c r="E882" t="n">
        <v>80</v>
      </c>
      <c r="F882" t="n">
        <v>0</v>
      </c>
      <c r="G882">
        <f>SUMIF(PRISPELO!B:B, A882, PRISPELO!G:G)</f>
        <v/>
      </c>
      <c r="H882">
        <f>SUMIF(ODPIS!B:B, A882, ODPIS!G:G)</f>
        <v/>
      </c>
      <c r="I882" s="2">
        <f>F882 + G882 - H882</f>
        <v/>
      </c>
    </row>
    <row r="883">
      <c r="A883" t="n">
        <v>2777</v>
      </c>
      <c r="B883" t="inlineStr">
        <is>
          <t>AMBER GRAPHIC</t>
        </is>
      </c>
      <c r="C883" t="n">
        <v>70</v>
      </c>
      <c r="D883" t="n">
        <v>100</v>
      </c>
      <c r="E883" t="n">
        <v>80</v>
      </c>
      <c r="F883" t="n">
        <v>1200</v>
      </c>
      <c r="G883">
        <f>SUMIF(PRISPELO!B:B, A883, PRISPELO!G:G)</f>
        <v/>
      </c>
      <c r="H883">
        <f>SUMIF(ODPIS!B:B, A883, ODPIS!G:G)</f>
        <v/>
      </c>
      <c r="I883" s="2">
        <f>F883 + G883 - H883</f>
        <v/>
      </c>
    </row>
    <row r="884">
      <c r="A884" t="n">
        <v>2780</v>
      </c>
      <c r="B884" t="inlineStr">
        <is>
          <t>IDEM GIROFORM CFB 60 RUMEN</t>
        </is>
      </c>
      <c r="C884" t="n">
        <v>45</v>
      </c>
      <c r="D884" t="n">
        <v>64</v>
      </c>
      <c r="E884" t="n">
        <v>60</v>
      </c>
      <c r="F884" t="n">
        <v>0</v>
      </c>
      <c r="G884">
        <f>SUMIF(PRISPELO!B:B, A884, PRISPELO!G:G)</f>
        <v/>
      </c>
      <c r="H884">
        <f>SUMIF(ODPIS!B:B, A884, ODPIS!G:G)</f>
        <v/>
      </c>
      <c r="I884" s="2">
        <f>F884 + G884 - H884</f>
        <v/>
      </c>
    </row>
    <row r="885">
      <c r="A885" t="n">
        <v>2781</v>
      </c>
      <c r="B885" t="inlineStr">
        <is>
          <t>IDEM GIROFORM CFB 60 ROZA</t>
        </is>
      </c>
      <c r="C885" t="n">
        <v>45</v>
      </c>
      <c r="D885" t="n">
        <v>64</v>
      </c>
      <c r="E885" t="n">
        <v>60</v>
      </c>
      <c r="F885" t="n">
        <v>0</v>
      </c>
      <c r="G885">
        <f>SUMIF(PRISPELO!B:B, A885, PRISPELO!G:G)</f>
        <v/>
      </c>
      <c r="H885">
        <f>SUMIF(ODPIS!B:B, A885, ODPIS!G:G)</f>
        <v/>
      </c>
      <c r="I885" s="2">
        <f>F885 + G885 - H885</f>
        <v/>
      </c>
    </row>
    <row r="886">
      <c r="A886" t="n">
        <v>2878</v>
      </c>
      <c r="B886" t="inlineStr">
        <is>
          <t>IQ COLOR A4 MED.BLUE</t>
        </is>
      </c>
      <c r="C886" t="n">
        <v>21</v>
      </c>
      <c r="D886" t="n">
        <v>29.7</v>
      </c>
      <c r="E886" t="n">
        <v>80</v>
      </c>
      <c r="F886" t="n">
        <v>0</v>
      </c>
      <c r="G886">
        <f>SUMIF(PRISPELO!B:B, A886, PRISPELO!G:G)</f>
        <v/>
      </c>
      <c r="H886">
        <f>SUMIF(ODPIS!B:B, A886, ODPIS!G:G)</f>
        <v/>
      </c>
      <c r="I886" s="2">
        <f>F886 + G886 - H886</f>
        <v/>
      </c>
    </row>
    <row r="887">
      <c r="A887" t="n">
        <v>2784</v>
      </c>
      <c r="B887" t="inlineStr">
        <is>
          <t>Garda gloss</t>
        </is>
      </c>
      <c r="C887" t="n">
        <v>45</v>
      </c>
      <c r="D887" t="n">
        <v>64</v>
      </c>
      <c r="E887" t="n">
        <v>300</v>
      </c>
      <c r="F887" t="n">
        <v>0</v>
      </c>
      <c r="G887">
        <f>SUMIF(PRISPELO!B:B, A887, PRISPELO!G:G)</f>
        <v/>
      </c>
      <c r="H887">
        <f>SUMIF(ODPIS!B:B, A887, ODPIS!G:G)</f>
        <v/>
      </c>
      <c r="I887" s="2">
        <f>F887 + G887 - H887</f>
        <v/>
      </c>
    </row>
    <row r="888">
      <c r="A888" t="n">
        <v>2785</v>
      </c>
      <c r="B888" t="inlineStr">
        <is>
          <t>Stafix static uv inkjet</t>
        </is>
      </c>
      <c r="C888" t="n">
        <v>70.7</v>
      </c>
      <c r="D888" t="n">
        <v>100</v>
      </c>
      <c r="E888" t="n">
        <v>0</v>
      </c>
      <c r="F888" t="n">
        <v>0</v>
      </c>
      <c r="G888">
        <f>SUMIF(PRISPELO!B:B, A888, PRISPELO!G:G)</f>
        <v/>
      </c>
      <c r="H888">
        <f>SUMIF(ODPIS!B:B, A888, ODPIS!G:G)</f>
        <v/>
      </c>
      <c r="I888" s="2">
        <f>F888 + G888 - H888</f>
        <v/>
      </c>
    </row>
    <row r="889">
      <c r="A889" t="n">
        <v>2786</v>
      </c>
      <c r="B889" t="inlineStr">
        <is>
          <t>Stafix grip offset</t>
        </is>
      </c>
      <c r="C889" t="n">
        <v>45</v>
      </c>
      <c r="D889" t="n">
        <v>64</v>
      </c>
      <c r="E889" t="n">
        <v>0</v>
      </c>
      <c r="F889" t="n">
        <v>0</v>
      </c>
      <c r="G889">
        <f>SUMIF(PRISPELO!B:B, A889, PRISPELO!G:G)</f>
        <v/>
      </c>
      <c r="H889">
        <f>SUMIF(ODPIS!B:B, A889, ODPIS!G:G)</f>
        <v/>
      </c>
      <c r="I889" s="2">
        <f>F889 + G889 - H889</f>
        <v/>
      </c>
    </row>
    <row r="890">
      <c r="A890" t="n">
        <v>2787</v>
      </c>
      <c r="B890" t="inlineStr">
        <is>
          <t>Sora matt</t>
        </is>
      </c>
      <c r="C890" t="n">
        <v>63</v>
      </c>
      <c r="D890" t="n">
        <v>88</v>
      </c>
      <c r="E890" t="n">
        <v>80</v>
      </c>
      <c r="F890" t="n">
        <v>0</v>
      </c>
      <c r="G890">
        <f>SUMIF(PRISPELO!B:B, A890, PRISPELO!G:G)</f>
        <v/>
      </c>
      <c r="H890">
        <f>SUMIF(ODPIS!B:B, A890, ODPIS!G:G)</f>
        <v/>
      </c>
      <c r="I890" s="2">
        <f>F890 + G890 - H890</f>
        <v/>
      </c>
    </row>
    <row r="891">
      <c r="A891" t="n">
        <v>2788</v>
      </c>
      <c r="B891" t="inlineStr">
        <is>
          <t>MAGNO SATIN</t>
        </is>
      </c>
      <c r="C891" t="n">
        <v>70</v>
      </c>
      <c r="D891" t="n">
        <v>100</v>
      </c>
      <c r="E891" t="n">
        <v>250</v>
      </c>
      <c r="F891" t="n">
        <v>500</v>
      </c>
      <c r="G891">
        <f>SUMIF(PRISPELO!B:B, A891, PRISPELO!G:G)</f>
        <v/>
      </c>
      <c r="H891">
        <f>SUMIF(ODPIS!B:B, A891, ODPIS!G:G)</f>
        <v/>
      </c>
      <c r="I891" s="2">
        <f>F891 + G891 - H891</f>
        <v/>
      </c>
    </row>
    <row r="892">
      <c r="A892" t="n">
        <v>2788</v>
      </c>
      <c r="B892" t="inlineStr">
        <is>
          <t>MAGNO SATIN</t>
        </is>
      </c>
      <c r="C892" t="n">
        <v>70</v>
      </c>
      <c r="D892" t="n">
        <v>100</v>
      </c>
      <c r="E892" t="n">
        <v>250</v>
      </c>
      <c r="F892" t="n">
        <v>0</v>
      </c>
      <c r="G892">
        <f>SUMIF(PRISPELO!B:B, A892, PRISPELO!G:G)</f>
        <v/>
      </c>
      <c r="H892">
        <f>SUMIF(ODPIS!B:B, A892, ODPIS!G:G)</f>
        <v/>
      </c>
      <c r="I892" s="2">
        <f>F892 + G892 - H892</f>
        <v/>
      </c>
    </row>
    <row r="893">
      <c r="A893" t="n">
        <v>2789</v>
      </c>
      <c r="B893" t="inlineStr">
        <is>
          <t>Magno natural</t>
        </is>
      </c>
      <c r="C893" t="n">
        <v>70</v>
      </c>
      <c r="D893" t="n">
        <v>100</v>
      </c>
      <c r="E893" t="n">
        <v>140</v>
      </c>
      <c r="F893" t="n">
        <v>0</v>
      </c>
      <c r="G893">
        <f>SUMIF(PRISPELO!B:B, A893, PRISPELO!G:G)</f>
        <v/>
      </c>
      <c r="H893">
        <f>SUMIF(ODPIS!B:B, A893, ODPIS!G:G)</f>
        <v/>
      </c>
      <c r="I893" s="2">
        <f>F893 + G893 - H893</f>
        <v/>
      </c>
    </row>
    <row r="894">
      <c r="A894" t="n">
        <v>2790</v>
      </c>
      <c r="B894" t="inlineStr">
        <is>
          <t>AMBER GRAPHIC</t>
        </is>
      </c>
      <c r="C894" t="n">
        <v>64</v>
      </c>
      <c r="D894" t="n">
        <v>90</v>
      </c>
      <c r="E894" t="n">
        <v>60</v>
      </c>
      <c r="F894" t="n">
        <v>0</v>
      </c>
      <c r="G894">
        <f>SUMIF(PRISPELO!B:B, A894, PRISPELO!G:G)</f>
        <v/>
      </c>
      <c r="H894">
        <f>SUMIF(ODPIS!B:B, A894, ODPIS!G:G)</f>
        <v/>
      </c>
      <c r="I894" s="2">
        <f>F894 + G894 - H894</f>
        <v/>
      </c>
    </row>
    <row r="895">
      <c r="A895" t="n">
        <v>2791</v>
      </c>
      <c r="B895" t="inlineStr">
        <is>
          <t>Samol. coatedOFFSET 85 pov. lepl.</t>
        </is>
      </c>
      <c r="C895" t="n">
        <v>50</v>
      </c>
      <c r="D895" t="n">
        <v>70</v>
      </c>
      <c r="E895" t="n">
        <v>85</v>
      </c>
      <c r="F895" t="n">
        <v>0</v>
      </c>
      <c r="G895">
        <f>SUMIF(PRISPELO!B:B, A895, PRISPELO!G:G)</f>
        <v/>
      </c>
      <c r="H895">
        <f>SUMIF(ODPIS!B:B, A895, ODPIS!G:G)</f>
        <v/>
      </c>
      <c r="I895" s="2">
        <f>F895 + G895 - H895</f>
        <v/>
      </c>
    </row>
    <row r="896">
      <c r="A896" t="n">
        <v>2792</v>
      </c>
      <c r="B896" t="inlineStr">
        <is>
          <t>AMBER GRAPHIC</t>
        </is>
      </c>
      <c r="C896" t="n">
        <v>100</v>
      </c>
      <c r="D896" t="n">
        <v>70</v>
      </c>
      <c r="E896" t="n">
        <v>60</v>
      </c>
      <c r="F896" t="n">
        <v>0</v>
      </c>
      <c r="G896">
        <f>SUMIF(PRISPELO!B:B, A896, PRISPELO!G:G)</f>
        <v/>
      </c>
      <c r="H896">
        <f>SUMIF(ODPIS!B:B, A896, ODPIS!G:G)</f>
        <v/>
      </c>
      <c r="I896" s="2">
        <f>F896 + G896 - H896</f>
        <v/>
      </c>
    </row>
    <row r="897">
      <c r="A897" t="n">
        <v>2795</v>
      </c>
      <c r="B897" t="inlineStr">
        <is>
          <t>Quatro silk</t>
        </is>
      </c>
      <c r="C897" t="n">
        <v>90</v>
      </c>
      <c r="D897" t="n">
        <v>64</v>
      </c>
      <c r="E897" t="n">
        <v>200</v>
      </c>
      <c r="F897" t="n">
        <v>0</v>
      </c>
      <c r="G897">
        <f>SUMIF(PRISPELO!B:B, A897, PRISPELO!G:G)</f>
        <v/>
      </c>
      <c r="H897">
        <f>SUMIF(ODPIS!B:B, A897, ODPIS!G:G)</f>
        <v/>
      </c>
      <c r="I897" s="2">
        <f>F897 + G897 - H897</f>
        <v/>
      </c>
    </row>
    <row r="898">
      <c r="A898" t="n">
        <v>2796</v>
      </c>
      <c r="B898" t="inlineStr">
        <is>
          <t>ENSOCOAT 2S</t>
        </is>
      </c>
      <c r="C898" t="n">
        <v>70</v>
      </c>
      <c r="D898" t="n">
        <v>100</v>
      </c>
      <c r="E898" t="n">
        <v>270</v>
      </c>
      <c r="F898" t="n">
        <v>0</v>
      </c>
      <c r="G898">
        <f>SUMIF(PRISPELO!B:B, A898, PRISPELO!G:G)</f>
        <v/>
      </c>
      <c r="H898">
        <f>SUMIF(ODPIS!B:B, A898, ODPIS!G:G)</f>
        <v/>
      </c>
      <c r="I898" s="2">
        <f>F898 + G898 - H898</f>
        <v/>
      </c>
    </row>
    <row r="899">
      <c r="A899" t="n">
        <v>2797</v>
      </c>
      <c r="B899" t="inlineStr">
        <is>
          <t>Magno gloss</t>
        </is>
      </c>
      <c r="C899" t="n">
        <v>100</v>
      </c>
      <c r="D899" t="n">
        <v>70</v>
      </c>
      <c r="E899" t="n">
        <v>90</v>
      </c>
      <c r="F899" t="n">
        <v>0</v>
      </c>
      <c r="G899">
        <f>SUMIF(PRISPELO!B:B, A899, PRISPELO!G:G)</f>
        <v/>
      </c>
      <c r="H899">
        <f>SUMIF(ODPIS!B:B, A899, ODPIS!G:G)</f>
        <v/>
      </c>
      <c r="I899" s="2">
        <f>F899 + G899 - H899</f>
        <v/>
      </c>
    </row>
    <row r="900">
      <c r="A900" t="n">
        <v>2448</v>
      </c>
      <c r="B900" t="inlineStr">
        <is>
          <t>kuverta Olin REGULAR absolute W.BO</t>
        </is>
      </c>
      <c r="C900" t="n">
        <v>17</v>
      </c>
      <c r="D900" t="n">
        <v>17</v>
      </c>
      <c r="E900" t="n">
        <v>120</v>
      </c>
      <c r="F900" t="n">
        <v>0</v>
      </c>
      <c r="G900">
        <f>SUMIF(PRISPELO!B:B, A900, PRISPELO!G:G)</f>
        <v/>
      </c>
      <c r="H900">
        <f>SUMIF(ODPIS!B:B, A900, ODPIS!G:G)</f>
        <v/>
      </c>
      <c r="I900" s="2">
        <f>F900 + G900 - H900</f>
        <v/>
      </c>
    </row>
    <row r="901">
      <c r="A901" t="n">
        <v>2798</v>
      </c>
      <c r="B901" t="inlineStr">
        <is>
          <t>Magno gloss</t>
        </is>
      </c>
      <c r="C901" t="n">
        <v>70</v>
      </c>
      <c r="D901" t="n">
        <v>100</v>
      </c>
      <c r="E901" t="n">
        <v>90</v>
      </c>
      <c r="F901" t="n">
        <v>0</v>
      </c>
      <c r="G901">
        <f>SUMIF(PRISPELO!B:B, A901, PRISPELO!G:G)</f>
        <v/>
      </c>
      <c r="H901">
        <f>SUMIF(ODPIS!B:B, A901, ODPIS!G:G)</f>
        <v/>
      </c>
      <c r="I901" s="2">
        <f>F901 + G901 - H901</f>
        <v/>
      </c>
    </row>
    <row r="902">
      <c r="A902" t="n">
        <v>2799</v>
      </c>
      <c r="B902" t="inlineStr">
        <is>
          <t>MAGNO NATURAL OFFSET</t>
        </is>
      </c>
      <c r="C902" t="n">
        <v>100</v>
      </c>
      <c r="D902" t="n">
        <v>70</v>
      </c>
      <c r="E902" t="n">
        <v>90</v>
      </c>
      <c r="F902" t="n">
        <v>0</v>
      </c>
      <c r="G902">
        <f>SUMIF(PRISPELO!B:B, A902, PRISPELO!G:G)</f>
        <v/>
      </c>
      <c r="H902">
        <f>SUMIF(ODPIS!B:B, A902, ODPIS!G:G)</f>
        <v/>
      </c>
      <c r="I902" s="2">
        <f>F902 + G902 - H902</f>
        <v/>
      </c>
    </row>
    <row r="903">
      <c r="A903" t="n">
        <v>2800</v>
      </c>
      <c r="B903" t="inlineStr">
        <is>
          <t>Magno satin</t>
        </is>
      </c>
      <c r="C903" t="n">
        <v>70</v>
      </c>
      <c r="D903" t="n">
        <v>100</v>
      </c>
      <c r="E903" t="n">
        <v>150</v>
      </c>
      <c r="F903" t="n">
        <v>0</v>
      </c>
      <c r="G903">
        <f>SUMIF(PRISPELO!B:B, A903, PRISPELO!G:G)</f>
        <v/>
      </c>
      <c r="H903">
        <f>SUMIF(ODPIS!B:B, A903, ODPIS!G:G)</f>
        <v/>
      </c>
      <c r="I903" s="2">
        <f>F903 + G903 - H903</f>
        <v/>
      </c>
    </row>
    <row r="904">
      <c r="A904" t="n">
        <v>2801</v>
      </c>
      <c r="B904" t="inlineStr">
        <is>
          <t>Samol.pov.leplj.CHROM</t>
        </is>
      </c>
      <c r="C904" t="n">
        <v>50</v>
      </c>
      <c r="D904" t="n">
        <v>70</v>
      </c>
      <c r="E904" t="n">
        <v>85</v>
      </c>
      <c r="F904" t="n">
        <v>0</v>
      </c>
      <c r="G904">
        <f>SUMIF(PRISPELO!B:B, A904, PRISPELO!G:G)</f>
        <v/>
      </c>
      <c r="H904">
        <f>SUMIF(ODPIS!B:B, A904, ODPIS!G:G)</f>
        <v/>
      </c>
      <c r="I904" s="2">
        <f>F904 + G904 - H904</f>
        <v/>
      </c>
    </row>
    <row r="905">
      <c r="A905" t="n">
        <v>2802</v>
      </c>
      <c r="B905" t="inlineStr">
        <is>
          <t>Magno satin</t>
        </is>
      </c>
      <c r="C905" t="n">
        <v>70</v>
      </c>
      <c r="D905" t="n">
        <v>100</v>
      </c>
      <c r="E905" t="n">
        <v>100</v>
      </c>
      <c r="F905" t="n">
        <v>200</v>
      </c>
      <c r="G905">
        <f>SUMIF(PRISPELO!B:B, A905, PRISPELO!G:G)</f>
        <v/>
      </c>
      <c r="H905">
        <f>SUMIF(ODPIS!B:B, A905, ODPIS!G:G)</f>
        <v/>
      </c>
      <c r="I905" s="2">
        <f>F905 + G905 - H905</f>
        <v/>
      </c>
    </row>
    <row r="906">
      <c r="A906" t="n">
        <v>2806</v>
      </c>
      <c r="B906" t="inlineStr">
        <is>
          <t>AMBER GRAPHIC</t>
        </is>
      </c>
      <c r="C906" t="n">
        <v>70</v>
      </c>
      <c r="D906" t="n">
        <v>100</v>
      </c>
      <c r="E906" t="n">
        <v>90</v>
      </c>
      <c r="F906" t="n">
        <v>350</v>
      </c>
      <c r="G906">
        <f>SUMIF(PRISPELO!B:B, A906, PRISPELO!G:G)</f>
        <v/>
      </c>
      <c r="H906">
        <f>SUMIF(ODPIS!B:B, A906, ODPIS!G:G)</f>
        <v/>
      </c>
      <c r="I906" s="2">
        <f>F906 + G906 - H906</f>
        <v/>
      </c>
    </row>
    <row r="907">
      <c r="A907" t="n">
        <v>2807</v>
      </c>
      <c r="B907" t="inlineStr">
        <is>
          <t>Magno satin</t>
        </is>
      </c>
      <c r="C907" t="n">
        <v>90</v>
      </c>
      <c r="D907" t="n">
        <v>64</v>
      </c>
      <c r="E907" t="n">
        <v>115</v>
      </c>
      <c r="F907" t="n">
        <v>0</v>
      </c>
      <c r="G907">
        <f>SUMIF(PRISPELO!B:B, A907, PRISPELO!G:G)</f>
        <v/>
      </c>
      <c r="H907">
        <f>SUMIF(ODPIS!B:B, A907, ODPIS!G:G)</f>
        <v/>
      </c>
      <c r="I907" s="2">
        <f>F907 + G907 - H907</f>
        <v/>
      </c>
    </row>
    <row r="908">
      <c r="A908" t="n">
        <v>2808</v>
      </c>
      <c r="B908" t="inlineStr">
        <is>
          <t>Magno satin</t>
        </is>
      </c>
      <c r="C908" t="n">
        <v>70</v>
      </c>
      <c r="D908" t="n">
        <v>100</v>
      </c>
      <c r="E908" t="n">
        <v>200</v>
      </c>
      <c r="F908" t="n">
        <v>0</v>
      </c>
      <c r="G908">
        <f>SUMIF(PRISPELO!B:B, A908, PRISPELO!G:G)</f>
        <v/>
      </c>
      <c r="H908">
        <f>SUMIF(ODPIS!B:B, A908, ODPIS!G:G)</f>
        <v/>
      </c>
      <c r="I908" s="2">
        <f>F908 + G908 - H908</f>
        <v/>
      </c>
    </row>
    <row r="909">
      <c r="A909" t="n">
        <v>2809</v>
      </c>
      <c r="B909" t="inlineStr">
        <is>
          <t>Garda matt</t>
        </is>
      </c>
      <c r="C909" t="n">
        <v>45</v>
      </c>
      <c r="D909" t="n">
        <v>64</v>
      </c>
      <c r="E909" t="n">
        <v>300</v>
      </c>
      <c r="F909" t="n">
        <v>0</v>
      </c>
      <c r="G909">
        <f>SUMIF(PRISPELO!B:B, A909, PRISPELO!G:G)</f>
        <v/>
      </c>
      <c r="H909">
        <f>SUMIF(ODPIS!B:B, A909, ODPIS!G:G)</f>
        <v/>
      </c>
      <c r="I909" s="2">
        <f>F909 + G909 - H909</f>
        <v/>
      </c>
    </row>
    <row r="910">
      <c r="A910" t="n">
        <v>2811</v>
      </c>
      <c r="B910" t="inlineStr">
        <is>
          <t>Quatro silk</t>
        </is>
      </c>
      <c r="C910" t="n">
        <v>100</v>
      </c>
      <c r="D910" t="n">
        <v>70</v>
      </c>
      <c r="E910" t="n">
        <v>250</v>
      </c>
      <c r="F910" t="n">
        <v>0</v>
      </c>
      <c r="G910">
        <f>SUMIF(PRISPELO!B:B, A910, PRISPELO!G:G)</f>
        <v/>
      </c>
      <c r="H910">
        <f>SUMIF(ODPIS!B:B, A910, ODPIS!G:G)</f>
        <v/>
      </c>
      <c r="I910" s="2">
        <f>F910 + G910 - H910</f>
        <v/>
      </c>
    </row>
    <row r="911">
      <c r="A911" t="n">
        <v>2812</v>
      </c>
      <c r="B911" t="inlineStr">
        <is>
          <t>Magno gloss</t>
        </is>
      </c>
      <c r="C911" t="n">
        <v>70</v>
      </c>
      <c r="D911" t="n">
        <v>100</v>
      </c>
      <c r="E911" t="n">
        <v>170</v>
      </c>
      <c r="F911" t="n">
        <v>0</v>
      </c>
      <c r="G911">
        <f>SUMIF(PRISPELO!B:B, A911, PRISPELO!G:G)</f>
        <v/>
      </c>
      <c r="H911">
        <f>SUMIF(ODPIS!B:B, A911, ODPIS!G:G)</f>
        <v/>
      </c>
      <c r="I911" s="2">
        <f>F911 + G911 - H911</f>
        <v/>
      </c>
    </row>
    <row r="912">
      <c r="A912" t="n">
        <v>1981</v>
      </c>
      <c r="B912" t="inlineStr">
        <is>
          <t>CENT. SIRIO BLACK</t>
        </is>
      </c>
      <c r="C912" t="n">
        <v>16.2</v>
      </c>
      <c r="D912" t="n">
        <v>22.9</v>
      </c>
      <c r="E912" t="n">
        <v>115</v>
      </c>
      <c r="F912" t="n">
        <v>0</v>
      </c>
      <c r="G912">
        <f>SUMIF(PRISPELO!B:B, A912, PRISPELO!G:G)</f>
        <v/>
      </c>
      <c r="H912">
        <f>SUMIF(ODPIS!B:B, A912, ODPIS!G:G)</f>
        <v/>
      </c>
      <c r="I912" s="2">
        <f>F912 + G912 - H912</f>
        <v/>
      </c>
    </row>
    <row r="913">
      <c r="A913" t="n">
        <v>2813</v>
      </c>
      <c r="B913" t="inlineStr">
        <is>
          <t>Magno gloss</t>
        </is>
      </c>
      <c r="C913" t="n">
        <v>70</v>
      </c>
      <c r="D913" t="n">
        <v>100</v>
      </c>
      <c r="E913" t="n">
        <v>150</v>
      </c>
      <c r="F913" t="n">
        <v>0</v>
      </c>
      <c r="G913">
        <f>SUMIF(PRISPELO!B:B, A913, PRISPELO!G:G)</f>
        <v/>
      </c>
      <c r="H913">
        <f>SUMIF(ODPIS!B:B, A913, ODPIS!G:G)</f>
        <v/>
      </c>
      <c r="I913" s="2">
        <f>F913 + G913 - H913</f>
        <v/>
      </c>
    </row>
    <row r="914">
      <c r="A914" t="n">
        <v>2814</v>
      </c>
      <c r="B914" t="inlineStr">
        <is>
          <t>Munken pure rough</t>
        </is>
      </c>
      <c r="C914" t="n">
        <v>72</v>
      </c>
      <c r="D914" t="n">
        <v>102</v>
      </c>
      <c r="E914" t="n">
        <v>150</v>
      </c>
      <c r="F914" t="n">
        <v>0</v>
      </c>
      <c r="G914">
        <f>SUMIF(PRISPELO!B:B, A914, PRISPELO!G:G)</f>
        <v/>
      </c>
      <c r="H914">
        <f>SUMIF(ODPIS!B:B, A914, ODPIS!G:G)</f>
        <v/>
      </c>
      <c r="I914" s="2">
        <f>F914 + G914 - H914</f>
        <v/>
      </c>
    </row>
    <row r="915">
      <c r="A915" t="n">
        <v>2815</v>
      </c>
      <c r="B915" t="inlineStr">
        <is>
          <t>AMBER GRAPHIC</t>
        </is>
      </c>
      <c r="C915" t="n">
        <v>70</v>
      </c>
      <c r="D915" t="n">
        <v>100</v>
      </c>
      <c r="E915" t="n">
        <v>200</v>
      </c>
      <c r="F915" t="n">
        <v>0</v>
      </c>
      <c r="G915">
        <f>SUMIF(PRISPELO!B:B, A915, PRISPELO!G:G)</f>
        <v/>
      </c>
      <c r="H915">
        <f>SUMIF(ODPIS!B:B, A915, ODPIS!G:G)</f>
        <v/>
      </c>
      <c r="I915" s="2">
        <f>F915 + G915 - H915</f>
        <v/>
      </c>
    </row>
    <row r="916">
      <c r="A916" t="n">
        <v>2817</v>
      </c>
      <c r="B916" t="inlineStr">
        <is>
          <t>Magno natural offset</t>
        </is>
      </c>
      <c r="C916" t="n">
        <v>100</v>
      </c>
      <c r="D916" t="n">
        <v>70</v>
      </c>
      <c r="E916" t="n">
        <v>80</v>
      </c>
      <c r="F916" t="n">
        <v>0</v>
      </c>
      <c r="G916">
        <f>SUMIF(PRISPELO!B:B, A916, PRISPELO!G:G)</f>
        <v/>
      </c>
      <c r="H916">
        <f>SUMIF(ODPIS!B:B, A916, ODPIS!G:G)</f>
        <v/>
      </c>
      <c r="I916" s="2">
        <f>F916 + G916 - H916</f>
        <v/>
      </c>
    </row>
    <row r="917">
      <c r="A917" t="n">
        <v>2818</v>
      </c>
      <c r="B917" t="inlineStr">
        <is>
          <t>Terraprint silk</t>
        </is>
      </c>
      <c r="C917" t="n">
        <v>64</v>
      </c>
      <c r="D917" t="n">
        <v>90</v>
      </c>
      <c r="E917" t="n">
        <v>70</v>
      </c>
      <c r="F917" t="n">
        <v>0</v>
      </c>
      <c r="G917">
        <f>SUMIF(PRISPELO!B:B, A917, PRISPELO!G:G)</f>
        <v/>
      </c>
      <c r="H917">
        <f>SUMIF(ODPIS!B:B, A917, ODPIS!G:G)</f>
        <v/>
      </c>
      <c r="I917" s="2">
        <f>F917 + G917 - H917</f>
        <v/>
      </c>
    </row>
    <row r="918">
      <c r="A918" t="n">
        <v>2819</v>
      </c>
      <c r="B918" t="inlineStr">
        <is>
          <t>AMBER GRAPHIC</t>
        </is>
      </c>
      <c r="C918" t="n">
        <v>45</v>
      </c>
      <c r="D918" t="n">
        <v>64</v>
      </c>
      <c r="E918" t="n">
        <v>70</v>
      </c>
      <c r="F918" t="n">
        <v>0</v>
      </c>
      <c r="G918">
        <f>SUMIF(PRISPELO!B:B, A918, PRISPELO!G:G)</f>
        <v/>
      </c>
      <c r="H918">
        <f>SUMIF(ODPIS!B:B, A918, ODPIS!G:G)</f>
        <v/>
      </c>
      <c r="I918" s="2">
        <f>F918 + G918 - H918</f>
        <v/>
      </c>
    </row>
    <row r="919">
      <c r="A919" t="n">
        <v>2820</v>
      </c>
      <c r="B919" t="inlineStr">
        <is>
          <t>Quatro silk</t>
        </is>
      </c>
      <c r="C919" t="n">
        <v>64</v>
      </c>
      <c r="D919" t="n">
        <v>90</v>
      </c>
      <c r="E919" t="n">
        <v>130</v>
      </c>
      <c r="F919" t="n">
        <v>0</v>
      </c>
      <c r="G919">
        <f>SUMIF(PRISPELO!B:B, A919, PRISPELO!G:G)</f>
        <v/>
      </c>
      <c r="H919">
        <f>SUMIF(ODPIS!B:B, A919, ODPIS!G:G)</f>
        <v/>
      </c>
      <c r="I919" s="2">
        <f>F919 + G919 - H919</f>
        <v/>
      </c>
    </row>
    <row r="920">
      <c r="A920" t="n">
        <v>1982</v>
      </c>
      <c r="B920" t="inlineStr">
        <is>
          <t>Kuverta Fed Splendorgel E.W.</t>
        </is>
      </c>
      <c r="C920" t="n">
        <v>22.9</v>
      </c>
      <c r="D920" t="n">
        <v>32.4</v>
      </c>
      <c r="E920" t="n">
        <v>115</v>
      </c>
      <c r="F920" t="n">
        <v>0</v>
      </c>
      <c r="G920">
        <f>SUMIF(PRISPELO!B:B, A920, PRISPELO!G:G)</f>
        <v/>
      </c>
      <c r="H920">
        <f>SUMIF(ODPIS!B:B, A920, ODPIS!G:G)</f>
        <v/>
      </c>
      <c r="I920" s="2">
        <f>F920 + G920 - H920</f>
        <v/>
      </c>
    </row>
    <row r="921">
      <c r="A921" t="n">
        <v>2823</v>
      </c>
      <c r="B921" t="inlineStr">
        <is>
          <t>Garda gloss</t>
        </is>
      </c>
      <c r="C921" t="n">
        <v>64</v>
      </c>
      <c r="D921" t="n">
        <v>48</v>
      </c>
      <c r="E921" t="n">
        <v>150</v>
      </c>
      <c r="F921" t="n">
        <v>0</v>
      </c>
      <c r="G921">
        <f>SUMIF(PRISPELO!B:B, A921, PRISPELO!G:G)</f>
        <v/>
      </c>
      <c r="H921">
        <f>SUMIF(ODPIS!B:B, A921, ODPIS!G:G)</f>
        <v/>
      </c>
      <c r="I921" s="2">
        <f>F921 + G921 - H921</f>
        <v/>
      </c>
    </row>
    <row r="922">
      <c r="A922" t="n">
        <v>2825</v>
      </c>
      <c r="B922" t="inlineStr">
        <is>
          <t>Quatro gloss</t>
        </is>
      </c>
      <c r="C922" t="n">
        <v>64</v>
      </c>
      <c r="D922" t="n">
        <v>46</v>
      </c>
      <c r="E922" t="n">
        <v>150</v>
      </c>
      <c r="F922" t="n">
        <v>0</v>
      </c>
      <c r="G922">
        <f>SUMIF(PRISPELO!B:B, A922, PRISPELO!G:G)</f>
        <v/>
      </c>
      <c r="H922">
        <f>SUMIF(ODPIS!B:B, A922, ODPIS!G:G)</f>
        <v/>
      </c>
      <c r="I922" s="2">
        <f>F922 + G922 - H922</f>
        <v/>
      </c>
    </row>
    <row r="923">
      <c r="A923" t="n">
        <v>2827</v>
      </c>
      <c r="B923" t="inlineStr">
        <is>
          <t>Quatro silk</t>
        </is>
      </c>
      <c r="C923" t="n">
        <v>90</v>
      </c>
      <c r="D923" t="n">
        <v>64</v>
      </c>
      <c r="E923" t="n">
        <v>170</v>
      </c>
      <c r="F923" t="n">
        <v>0</v>
      </c>
      <c r="G923">
        <f>SUMIF(PRISPELO!B:B, A923, PRISPELO!G:G)</f>
        <v/>
      </c>
      <c r="H923">
        <f>SUMIF(ODPIS!B:B, A923, ODPIS!G:G)</f>
        <v/>
      </c>
      <c r="I923" s="2">
        <f>F923 + G923 - H923</f>
        <v/>
      </c>
    </row>
    <row r="924">
      <c r="A924" t="n">
        <v>2828</v>
      </c>
      <c r="B924" t="inlineStr">
        <is>
          <t>Quatro Silk</t>
        </is>
      </c>
      <c r="C924" t="n">
        <v>64</v>
      </c>
      <c r="D924" t="n">
        <v>90</v>
      </c>
      <c r="E924" t="n">
        <v>170</v>
      </c>
      <c r="F924" t="n">
        <v>0</v>
      </c>
      <c r="G924">
        <f>SUMIF(PRISPELO!B:B, A924, PRISPELO!G:G)</f>
        <v/>
      </c>
      <c r="H924">
        <f>SUMIF(ODPIS!B:B, A924, ODPIS!G:G)</f>
        <v/>
      </c>
      <c r="I924" s="2">
        <f>F924 + G924 - H924</f>
        <v/>
      </c>
    </row>
    <row r="925">
      <c r="A925" t="n">
        <v>2829</v>
      </c>
      <c r="B925" t="inlineStr">
        <is>
          <t>CYCLUS OFFSET</t>
        </is>
      </c>
      <c r="C925" t="n">
        <v>100</v>
      </c>
      <c r="D925" t="n">
        <v>70</v>
      </c>
      <c r="E925" t="n">
        <v>100</v>
      </c>
      <c r="F925" t="n">
        <v>3400</v>
      </c>
      <c r="G925">
        <f>SUMIF(PRISPELO!B:B, A925, PRISPELO!G:G)</f>
        <v/>
      </c>
      <c r="H925">
        <f>SUMIF(ODPIS!B:B, A925, ODPIS!G:G)</f>
        <v/>
      </c>
      <c r="I925" s="2">
        <f>F925 + G925 - H925</f>
        <v/>
      </c>
    </row>
    <row r="926">
      <c r="A926" t="n">
        <v>2832</v>
      </c>
      <c r="B926" t="inlineStr">
        <is>
          <t>Quatro Silk</t>
        </is>
      </c>
      <c r="C926" t="n">
        <v>64</v>
      </c>
      <c r="D926" t="n">
        <v>90</v>
      </c>
      <c r="E926" t="n">
        <v>150</v>
      </c>
      <c r="F926" t="n">
        <v>0</v>
      </c>
      <c r="G926">
        <f>SUMIF(PRISPELO!B:B, A926, PRISPELO!G:G)</f>
        <v/>
      </c>
      <c r="H926">
        <f>SUMIF(ODPIS!B:B, A926, ODPIS!G:G)</f>
        <v/>
      </c>
      <c r="I926" s="2">
        <f>F926 + G926 - H926</f>
        <v/>
      </c>
    </row>
    <row r="927">
      <c r="A927" t="n">
        <v>2834</v>
      </c>
      <c r="B927" t="inlineStr">
        <is>
          <t>Magno satin</t>
        </is>
      </c>
      <c r="C927" t="n">
        <v>100</v>
      </c>
      <c r="D927" t="n">
        <v>70</v>
      </c>
      <c r="E927" t="n">
        <v>115</v>
      </c>
      <c r="F927" t="n">
        <v>5500</v>
      </c>
      <c r="G927">
        <f>SUMIF(PRISPELO!B:B, A927, PRISPELO!G:G)</f>
        <v/>
      </c>
      <c r="H927">
        <f>SUMIF(ODPIS!B:B, A927, ODPIS!G:G)</f>
        <v/>
      </c>
      <c r="I927" s="2">
        <f>F927 + G927 - H927</f>
        <v/>
      </c>
    </row>
    <row r="928">
      <c r="A928" t="n">
        <v>2835</v>
      </c>
      <c r="B928" t="inlineStr">
        <is>
          <t>CHROMOSTAR</t>
        </is>
      </c>
      <c r="C928" t="n">
        <v>102</v>
      </c>
      <c r="D928" t="n">
        <v>72</v>
      </c>
      <c r="E928" t="n">
        <v>295</v>
      </c>
      <c r="F928" t="n">
        <v>0</v>
      </c>
      <c r="G928">
        <f>SUMIF(PRISPELO!B:B, A928, PRISPELO!G:G)</f>
        <v/>
      </c>
      <c r="H928">
        <f>SUMIF(ODPIS!B:B, A928, ODPIS!G:G)</f>
        <v/>
      </c>
      <c r="I928" s="2">
        <f>F928 + G928 - H928</f>
        <v/>
      </c>
    </row>
    <row r="929">
      <c r="A929" t="n">
        <v>2836</v>
      </c>
      <c r="B929" t="inlineStr">
        <is>
          <t>Quatro silk</t>
        </is>
      </c>
      <c r="C929" t="n">
        <v>90</v>
      </c>
      <c r="D929" t="n">
        <v>64</v>
      </c>
      <c r="E929" t="n">
        <v>250</v>
      </c>
      <c r="F929" t="n">
        <v>0</v>
      </c>
      <c r="G929">
        <f>SUMIF(PRISPELO!B:B, A929, PRISPELO!G:G)</f>
        <v/>
      </c>
      <c r="H929">
        <f>SUMIF(ODPIS!B:B, A929, ODPIS!G:G)</f>
        <v/>
      </c>
      <c r="I929" s="2">
        <f>F929 + G929 - H929</f>
        <v/>
      </c>
    </row>
    <row r="930">
      <c r="A930" t="n">
        <v>2837</v>
      </c>
      <c r="B930" t="inlineStr">
        <is>
          <t>Quatro silk</t>
        </is>
      </c>
      <c r="C930" t="n">
        <v>100</v>
      </c>
      <c r="D930" t="n">
        <v>70</v>
      </c>
      <c r="E930" t="n">
        <v>200</v>
      </c>
      <c r="F930" t="n">
        <v>0</v>
      </c>
      <c r="G930">
        <f>SUMIF(PRISPELO!B:B, A930, PRISPELO!G:G)</f>
        <v/>
      </c>
      <c r="H930">
        <f>SUMIF(ODPIS!B:B, A930, ODPIS!G:G)</f>
        <v/>
      </c>
      <c r="I930" s="2">
        <f>F930 + G930 - H930</f>
        <v/>
      </c>
    </row>
    <row r="931">
      <c r="A931" t="n">
        <v>2838</v>
      </c>
      <c r="B931" t="inlineStr">
        <is>
          <t>Magno gloss</t>
        </is>
      </c>
      <c r="C931" t="n">
        <v>68</v>
      </c>
      <c r="D931" t="n">
        <v>52</v>
      </c>
      <c r="E931" t="n">
        <v>135</v>
      </c>
      <c r="F931" t="n">
        <v>0</v>
      </c>
      <c r="G931">
        <f>SUMIF(PRISPELO!B:B, A931, PRISPELO!G:G)</f>
        <v/>
      </c>
      <c r="H931">
        <f>SUMIF(ODPIS!B:B, A931, ODPIS!G:G)</f>
        <v/>
      </c>
      <c r="I931" s="2">
        <f>F931 + G931 - H931</f>
        <v/>
      </c>
    </row>
    <row r="932">
      <c r="A932" t="n">
        <v>2839</v>
      </c>
      <c r="B932" t="inlineStr">
        <is>
          <t>Quatro silk</t>
        </is>
      </c>
      <c r="C932" t="n">
        <v>63.8</v>
      </c>
      <c r="D932" t="n">
        <v>35.8</v>
      </c>
      <c r="E932" t="n">
        <v>250</v>
      </c>
      <c r="F932" t="n">
        <v>0</v>
      </c>
      <c r="G932">
        <f>SUMIF(PRISPELO!B:B, A932, PRISPELO!G:G)</f>
        <v/>
      </c>
      <c r="H932">
        <f>SUMIF(ODPIS!B:B, A932, ODPIS!G:G)</f>
        <v/>
      </c>
      <c r="I932" s="2">
        <f>F932 + G932 - H932</f>
        <v/>
      </c>
    </row>
    <row r="933">
      <c r="A933" t="n">
        <v>2840</v>
      </c>
      <c r="B933" t="inlineStr">
        <is>
          <t>TARGET</t>
        </is>
      </c>
      <c r="C933" t="n">
        <v>90</v>
      </c>
      <c r="D933" t="n">
        <v>64</v>
      </c>
      <c r="E933" t="n">
        <v>100</v>
      </c>
      <c r="F933" t="n">
        <v>0</v>
      </c>
      <c r="G933">
        <f>SUMIF(PRISPELO!B:B, A933, PRISPELO!G:G)</f>
        <v/>
      </c>
      <c r="H933">
        <f>SUMIF(ODPIS!B:B, A933, ODPIS!G:G)</f>
        <v/>
      </c>
      <c r="I933" s="2">
        <f>F933 + G933 - H933</f>
        <v/>
      </c>
    </row>
    <row r="934">
      <c r="A934" t="n">
        <v>2841</v>
      </c>
      <c r="B934" t="inlineStr">
        <is>
          <t>Terraprint silk</t>
        </is>
      </c>
      <c r="C934" t="n">
        <v>64</v>
      </c>
      <c r="D934" t="n">
        <v>90</v>
      </c>
      <c r="E934" t="n">
        <v>80</v>
      </c>
      <c r="F934" t="n">
        <v>0</v>
      </c>
      <c r="G934">
        <f>SUMIF(PRISPELO!B:B, A934, PRISPELO!G:G)</f>
        <v/>
      </c>
      <c r="H934">
        <f>SUMIF(ODPIS!B:B, A934, ODPIS!G:G)</f>
        <v/>
      </c>
      <c r="I934" s="2">
        <f>F934 + G934 - H934</f>
        <v/>
      </c>
    </row>
    <row r="935">
      <c r="A935" t="n">
        <v>2843</v>
      </c>
      <c r="B935" t="inlineStr">
        <is>
          <t>biogloss</t>
        </is>
      </c>
      <c r="C935" t="n">
        <v>70</v>
      </c>
      <c r="D935" t="n">
        <v>100</v>
      </c>
      <c r="E935" t="n">
        <v>90</v>
      </c>
      <c r="F935" t="n">
        <v>0</v>
      </c>
      <c r="G935">
        <f>SUMIF(PRISPELO!B:B, A935, PRISPELO!G:G)</f>
        <v/>
      </c>
      <c r="H935">
        <f>SUMIF(ODPIS!B:B, A935, ODPIS!G:G)</f>
        <v/>
      </c>
      <c r="I935" s="2">
        <f>F935 + G935 - H935</f>
        <v/>
      </c>
    </row>
    <row r="936">
      <c r="A936" t="n">
        <v>2845</v>
      </c>
      <c r="B936" t="inlineStr">
        <is>
          <t>Samolepilni Coated OFFS120g podl.</t>
        </is>
      </c>
      <c r="C936" t="n">
        <v>50</v>
      </c>
      <c r="D936" t="n">
        <v>70</v>
      </c>
      <c r="E936" t="n">
        <v>120</v>
      </c>
      <c r="F936" t="n">
        <v>0</v>
      </c>
      <c r="G936">
        <f>SUMIF(PRISPELO!B:B, A936, PRISPELO!G:G)</f>
        <v/>
      </c>
      <c r="H936">
        <f>SUMIF(ODPIS!B:B, A936, ODPIS!G:G)</f>
        <v/>
      </c>
      <c r="I936" s="2">
        <f>F936 + G936 - H936</f>
        <v/>
      </c>
    </row>
    <row r="937">
      <c r="A937" t="n">
        <v>2846</v>
      </c>
      <c r="B937" t="inlineStr">
        <is>
          <t>IQ PRINT</t>
        </is>
      </c>
      <c r="C937" t="n">
        <v>90</v>
      </c>
      <c r="D937" t="n">
        <v>64</v>
      </c>
      <c r="E937" t="n">
        <v>160</v>
      </c>
      <c r="F937" t="n">
        <v>0</v>
      </c>
      <c r="G937">
        <f>SUMIF(PRISPELO!B:B, A937, PRISPELO!G:G)</f>
        <v/>
      </c>
      <c r="H937">
        <f>SUMIF(ODPIS!B:B, A937, ODPIS!G:G)</f>
        <v/>
      </c>
      <c r="I937" s="2">
        <f>F937 + G937 - H937</f>
        <v/>
      </c>
    </row>
    <row r="938">
      <c r="A938" t="n">
        <v>2847</v>
      </c>
      <c r="B938" t="inlineStr">
        <is>
          <t>ZENITH</t>
        </is>
      </c>
      <c r="C938" t="n">
        <v>72</v>
      </c>
      <c r="D938" t="n">
        <v>102</v>
      </c>
      <c r="E938" t="n">
        <v>300</v>
      </c>
      <c r="F938" t="n">
        <v>0</v>
      </c>
      <c r="G938">
        <f>SUMIF(PRISPELO!B:B, A938, PRISPELO!G:G)</f>
        <v/>
      </c>
      <c r="H938">
        <f>SUMIF(ODPIS!B:B, A938, ODPIS!G:G)</f>
        <v/>
      </c>
      <c r="I938" s="2">
        <f>F938 + G938 - H938</f>
        <v/>
      </c>
    </row>
    <row r="939">
      <c r="A939" t="n">
        <v>2848</v>
      </c>
      <c r="B939" t="inlineStr">
        <is>
          <t>INVERCOTE CREATO</t>
        </is>
      </c>
      <c r="C939" t="n">
        <v>102</v>
      </c>
      <c r="D939" t="n">
        <v>72</v>
      </c>
      <c r="E939" t="n">
        <v>300</v>
      </c>
      <c r="F939" t="n">
        <v>0</v>
      </c>
      <c r="G939">
        <f>SUMIF(PRISPELO!B:B, A939, PRISPELO!G:G)</f>
        <v/>
      </c>
      <c r="H939">
        <f>SUMIF(ODPIS!B:B, A939, ODPIS!G:G)</f>
        <v/>
      </c>
      <c r="I939" s="2">
        <f>F939 + G939 - H939</f>
        <v/>
      </c>
    </row>
    <row r="940">
      <c r="A940" t="n">
        <v>2849</v>
      </c>
      <c r="B940" t="inlineStr">
        <is>
          <t>INVERCOTE CREATO</t>
        </is>
      </c>
      <c r="C940" t="n">
        <v>102</v>
      </c>
      <c r="D940" t="n">
        <v>72</v>
      </c>
      <c r="E940" t="n">
        <v>400</v>
      </c>
      <c r="F940" t="n">
        <v>0</v>
      </c>
      <c r="G940">
        <f>SUMIF(PRISPELO!B:B, A940, PRISPELO!G:G)</f>
        <v/>
      </c>
      <c r="H940">
        <f>SUMIF(ODPIS!B:B, A940, ODPIS!G:G)</f>
        <v/>
      </c>
      <c r="I940" s="2">
        <f>F940 + G940 - H940</f>
        <v/>
      </c>
    </row>
    <row r="941">
      <c r="A941" t="n">
        <v>2850</v>
      </c>
      <c r="B941" t="inlineStr">
        <is>
          <t>IQ PREMIUM PRINT</t>
        </is>
      </c>
      <c r="C941" t="n">
        <v>100</v>
      </c>
      <c r="D941" t="n">
        <v>70</v>
      </c>
      <c r="E941" t="n">
        <v>80</v>
      </c>
      <c r="F941" t="n">
        <v>0</v>
      </c>
      <c r="G941">
        <f>SUMIF(PRISPELO!B:B, A941, PRISPELO!G:G)</f>
        <v/>
      </c>
      <c r="H941">
        <f>SUMIF(ODPIS!B:B, A941, ODPIS!G:G)</f>
        <v/>
      </c>
      <c r="I941" s="2">
        <f>F941 + G941 - H941</f>
        <v/>
      </c>
    </row>
    <row r="942">
      <c r="A942" t="n">
        <v>2851</v>
      </c>
      <c r="B942" t="inlineStr">
        <is>
          <t>IQ PRINT</t>
        </is>
      </c>
      <c r="C942" t="n">
        <v>100</v>
      </c>
      <c r="D942" t="n">
        <v>70</v>
      </c>
      <c r="E942" t="n">
        <v>300</v>
      </c>
      <c r="F942" t="n">
        <v>0</v>
      </c>
      <c r="G942">
        <f>SUMIF(PRISPELO!B:B, A942, PRISPELO!G:G)</f>
        <v/>
      </c>
      <c r="H942">
        <f>SUMIF(ODPIS!B:B, A942, ODPIS!G:G)</f>
        <v/>
      </c>
      <c r="I942" s="2">
        <f>F942 + G942 - H942</f>
        <v/>
      </c>
    </row>
    <row r="943">
      <c r="A943" t="n">
        <v>2852</v>
      </c>
      <c r="B943" t="inlineStr">
        <is>
          <t>ARTIKA GC1</t>
        </is>
      </c>
      <c r="C943" t="n">
        <v>100</v>
      </c>
      <c r="D943" t="n">
        <v>70</v>
      </c>
      <c r="E943" t="n">
        <v>300</v>
      </c>
      <c r="F943" t="n">
        <v>0</v>
      </c>
      <c r="G943">
        <f>SUMIF(PRISPELO!B:B, A943, PRISPELO!G:G)</f>
        <v/>
      </c>
      <c r="H943">
        <f>SUMIF(ODPIS!B:B, A943, ODPIS!G:G)</f>
        <v/>
      </c>
      <c r="I943" s="2">
        <f>F943 + G943 - H943</f>
        <v/>
      </c>
    </row>
    <row r="944">
      <c r="A944" t="n">
        <v>2853</v>
      </c>
      <c r="B944" t="inlineStr">
        <is>
          <t>INVERCOTE 1-STRANSKI</t>
        </is>
      </c>
      <c r="C944" t="n">
        <v>102</v>
      </c>
      <c r="D944" t="n">
        <v>72</v>
      </c>
      <c r="E944" t="n">
        <v>380</v>
      </c>
      <c r="F944" t="n">
        <v>0</v>
      </c>
      <c r="G944">
        <f>SUMIF(PRISPELO!B:B, A944, PRISPELO!G:G)</f>
        <v/>
      </c>
      <c r="H944">
        <f>SUMIF(ODPIS!B:B, A944, ODPIS!G:G)</f>
        <v/>
      </c>
      <c r="I944" s="2">
        <f>F944 + G944 - H944</f>
        <v/>
      </c>
    </row>
    <row r="945">
      <c r="A945" t="n">
        <v>2855</v>
      </c>
      <c r="B945" t="inlineStr">
        <is>
          <t>MAGNO GLOSS</t>
        </is>
      </c>
      <c r="C945" t="n">
        <v>100</v>
      </c>
      <c r="D945" t="n">
        <v>70</v>
      </c>
      <c r="E945" t="n">
        <v>115</v>
      </c>
      <c r="F945" t="n">
        <v>0</v>
      </c>
      <c r="G945">
        <f>SUMIF(PRISPELO!B:B, A945, PRISPELO!G:G)</f>
        <v/>
      </c>
      <c r="H945">
        <f>SUMIF(ODPIS!B:B, A945, ODPIS!G:G)</f>
        <v/>
      </c>
      <c r="I945" s="2">
        <f>F945 + G945 - H945</f>
        <v/>
      </c>
    </row>
    <row r="946">
      <c r="A946" t="n">
        <v>2857</v>
      </c>
      <c r="B946" t="inlineStr">
        <is>
          <t>CLARO BULK</t>
        </is>
      </c>
      <c r="C946" t="n">
        <v>45</v>
      </c>
      <c r="D946" t="n">
        <v>64</v>
      </c>
      <c r="E946" t="n">
        <v>90</v>
      </c>
      <c r="F946" t="n">
        <v>0</v>
      </c>
      <c r="G946">
        <f>SUMIF(PRISPELO!B:B, A946, PRISPELO!G:G)</f>
        <v/>
      </c>
      <c r="H946">
        <f>SUMIF(ODPIS!B:B, A946, ODPIS!G:G)</f>
        <v/>
      </c>
      <c r="I946" s="2">
        <f>F946 + G946 - H946</f>
        <v/>
      </c>
    </row>
    <row r="947">
      <c r="A947" t="n">
        <v>2858</v>
      </c>
      <c r="B947" t="inlineStr">
        <is>
          <t>CARTA ELEGA</t>
        </is>
      </c>
      <c r="C947" t="n">
        <v>72</v>
      </c>
      <c r="D947" t="n">
        <v>102</v>
      </c>
      <c r="E947" t="n">
        <v>355</v>
      </c>
      <c r="F947" t="n">
        <v>0</v>
      </c>
      <c r="G947">
        <f>SUMIF(PRISPELO!B:B, A947, PRISPELO!G:G)</f>
        <v/>
      </c>
      <c r="H947">
        <f>SUMIF(ODPIS!B:B, A947, ODPIS!G:G)</f>
        <v/>
      </c>
      <c r="I947" s="2">
        <f>F947 + G947 - H947</f>
        <v/>
      </c>
    </row>
    <row r="948">
      <c r="A948" t="n">
        <v>2859</v>
      </c>
      <c r="B948" t="inlineStr">
        <is>
          <t>BIOMATT</t>
        </is>
      </c>
      <c r="C948" t="n">
        <v>100</v>
      </c>
      <c r="D948" t="n">
        <v>70</v>
      </c>
      <c r="E948" t="n">
        <v>80</v>
      </c>
      <c r="F948" t="n">
        <v>0</v>
      </c>
      <c r="G948">
        <f>SUMIF(PRISPELO!B:B, A948, PRISPELO!G:G)</f>
        <v/>
      </c>
      <c r="H948">
        <f>SUMIF(ODPIS!B:B, A948, ODPIS!G:G)</f>
        <v/>
      </c>
      <c r="I948" s="2">
        <f>F948 + G948 - H948</f>
        <v/>
      </c>
    </row>
    <row r="949">
      <c r="A949" t="n">
        <v>2860</v>
      </c>
      <c r="B949" t="inlineStr">
        <is>
          <t>MASTER BOARD</t>
        </is>
      </c>
      <c r="C949" t="n">
        <v>102</v>
      </c>
      <c r="D949" t="n">
        <v>72</v>
      </c>
      <c r="E949" t="n">
        <v>260</v>
      </c>
      <c r="F949" t="n">
        <v>0</v>
      </c>
      <c r="G949">
        <f>SUMIF(PRISPELO!B:B, A949, PRISPELO!G:G)</f>
        <v/>
      </c>
      <c r="H949">
        <f>SUMIF(ODPIS!B:B, A949, ODPIS!G:G)</f>
        <v/>
      </c>
      <c r="I949" s="2">
        <f>F949 + G949 - H949</f>
        <v/>
      </c>
    </row>
    <row r="950">
      <c r="A950" t="n">
        <v>3405</v>
      </c>
      <c r="B950" t="inlineStr">
        <is>
          <t>GIROFORM CB DIGI</t>
        </is>
      </c>
      <c r="C950" t="n">
        <v>32</v>
      </c>
      <c r="D950" t="n">
        <v>45</v>
      </c>
      <c r="E950" t="n">
        <v>80</v>
      </c>
      <c r="F950" t="n">
        <v>0</v>
      </c>
      <c r="G950">
        <f>SUMIF(PRISPELO!B:B, A950, PRISPELO!G:G)</f>
        <v/>
      </c>
      <c r="H950">
        <f>SUMIF(ODPIS!B:B, A950, ODPIS!G:G)</f>
        <v/>
      </c>
      <c r="I950" s="2">
        <f>F950 + G950 - H950</f>
        <v/>
      </c>
    </row>
    <row r="951">
      <c r="A951" t="n">
        <v>3406</v>
      </c>
      <c r="B951" t="inlineStr">
        <is>
          <t>GIROFORM CF DIGI</t>
        </is>
      </c>
      <c r="C951" t="n">
        <v>32</v>
      </c>
      <c r="D951" t="n">
        <v>45</v>
      </c>
      <c r="E951" t="n">
        <v>80</v>
      </c>
      <c r="F951" t="n">
        <v>0</v>
      </c>
      <c r="G951">
        <f>SUMIF(PRISPELO!B:B, A951, PRISPELO!G:G)</f>
        <v/>
      </c>
      <c r="H951">
        <f>SUMIF(ODPIS!B:B, A951, ODPIS!G:G)</f>
        <v/>
      </c>
      <c r="I951" s="2">
        <f>F951 + G951 - H951</f>
        <v/>
      </c>
    </row>
    <row r="952">
      <c r="A952" t="n">
        <v>2862</v>
      </c>
      <c r="B952" t="inlineStr">
        <is>
          <t>BIOMATT</t>
        </is>
      </c>
      <c r="C952" t="n">
        <v>100</v>
      </c>
      <c r="D952" t="n">
        <v>70</v>
      </c>
      <c r="E952" t="n">
        <v>130</v>
      </c>
      <c r="F952" t="n">
        <v>0</v>
      </c>
      <c r="G952">
        <f>SUMIF(PRISPELO!B:B, A952, PRISPELO!G:G)</f>
        <v/>
      </c>
      <c r="H952">
        <f>SUMIF(ODPIS!B:B, A952, ODPIS!G:G)</f>
        <v/>
      </c>
      <c r="I952" s="2">
        <f>F952 + G952 - H952</f>
        <v/>
      </c>
    </row>
    <row r="953">
      <c r="A953" t="n">
        <v>2863</v>
      </c>
      <c r="B953" t="inlineStr">
        <is>
          <t>AMBER GRAPHIC</t>
        </is>
      </c>
      <c r="C953" t="n">
        <v>64</v>
      </c>
      <c r="D953" t="n">
        <v>90</v>
      </c>
      <c r="E953" t="n">
        <v>100</v>
      </c>
      <c r="F953" t="n">
        <v>0</v>
      </c>
      <c r="G953">
        <f>SUMIF(PRISPELO!B:B, A953, PRISPELO!G:G)</f>
        <v/>
      </c>
      <c r="H953">
        <f>SUMIF(ODPIS!B:B, A953, ODPIS!G:G)</f>
        <v/>
      </c>
      <c r="I953" s="2">
        <f>F953 + G953 - H953</f>
        <v/>
      </c>
    </row>
    <row r="954">
      <c r="A954" t="n">
        <v>3132</v>
      </c>
      <c r="B954" t="inlineStr">
        <is>
          <t>Kuverta ELCO C4 BO s.trak</t>
        </is>
      </c>
      <c r="C954" t="n">
        <v>25</v>
      </c>
      <c r="D954" t="n">
        <v>35.3</v>
      </c>
      <c r="E954" t="n">
        <v>90</v>
      </c>
      <c r="F954" t="n">
        <v>0</v>
      </c>
      <c r="G954">
        <f>SUMIF(PRISPELO!B:B, A954, PRISPELO!G:G)</f>
        <v/>
      </c>
      <c r="H954">
        <f>SUMIF(ODPIS!B:B, A954, ODPIS!G:G)</f>
        <v/>
      </c>
      <c r="I954" s="2">
        <f>F954 + G954 - H954</f>
        <v/>
      </c>
    </row>
    <row r="955">
      <c r="A955" t="n">
        <v>2864</v>
      </c>
      <c r="B955" t="inlineStr">
        <is>
          <t>CYCLUS OFFSET</t>
        </is>
      </c>
      <c r="C955" t="n">
        <v>70</v>
      </c>
      <c r="D955" t="n">
        <v>100</v>
      </c>
      <c r="E955" t="n">
        <v>115</v>
      </c>
      <c r="F955" t="n">
        <v>0</v>
      </c>
      <c r="G955">
        <f>SUMIF(PRISPELO!B:B, A955, PRISPELO!G:G)</f>
        <v/>
      </c>
      <c r="H955">
        <f>SUMIF(ODPIS!B:B, A955, ODPIS!G:G)</f>
        <v/>
      </c>
      <c r="I955" s="2">
        <f>F955 + G955 - H955</f>
        <v/>
      </c>
    </row>
    <row r="956">
      <c r="A956" t="n">
        <v>3694</v>
      </c>
      <c r="B956" t="inlineStr">
        <is>
          <t>Kuverta Munken C5 BO Si</t>
        </is>
      </c>
      <c r="C956" t="n">
        <v>16.2</v>
      </c>
      <c r="D956" t="n">
        <v>22.9</v>
      </c>
      <c r="E956" t="n">
        <v>120</v>
      </c>
      <c r="F956" t="n">
        <v>0</v>
      </c>
      <c r="G956">
        <f>SUMIF(PRISPELO!B:B, A956, PRISPELO!G:G)</f>
        <v/>
      </c>
      <c r="H956">
        <f>SUMIF(ODPIS!B:B, A956, ODPIS!G:G)</f>
        <v/>
      </c>
      <c r="I956" s="2">
        <f>F956 + G956 - H956</f>
        <v/>
      </c>
    </row>
    <row r="957">
      <c r="A957" t="n">
        <v>2865</v>
      </c>
      <c r="B957" t="inlineStr">
        <is>
          <t>INVERCOTE CREATO</t>
        </is>
      </c>
      <c r="C957" t="n">
        <v>72</v>
      </c>
      <c r="D957" t="n">
        <v>102</v>
      </c>
      <c r="E957" t="n">
        <v>400</v>
      </c>
      <c r="F957" t="n">
        <v>0</v>
      </c>
      <c r="G957">
        <f>SUMIF(PRISPELO!B:B, A957, PRISPELO!G:G)</f>
        <v/>
      </c>
      <c r="H957">
        <f>SUMIF(ODPIS!B:B, A957, ODPIS!G:G)</f>
        <v/>
      </c>
      <c r="I957" s="2">
        <f>F957 + G957 - H957</f>
        <v/>
      </c>
    </row>
    <row r="958">
      <c r="A958" t="n">
        <v>2866</v>
      </c>
      <c r="B958" t="inlineStr">
        <is>
          <t>CHROMOSTAR</t>
        </is>
      </c>
      <c r="C958" t="n">
        <v>71</v>
      </c>
      <c r="D958" t="n">
        <v>101</v>
      </c>
      <c r="E958" t="n">
        <v>295</v>
      </c>
      <c r="F958" t="n">
        <v>0</v>
      </c>
      <c r="G958">
        <f>SUMIF(PRISPELO!B:B, A958, PRISPELO!G:G)</f>
        <v/>
      </c>
      <c r="H958">
        <f>SUMIF(ODPIS!B:B, A958, ODPIS!G:G)</f>
        <v/>
      </c>
      <c r="I958" s="2">
        <f>F958 + G958 - H958</f>
        <v/>
      </c>
    </row>
    <row r="959">
      <c r="A959" t="n">
        <v>2867</v>
      </c>
      <c r="B959" t="inlineStr">
        <is>
          <t>Magno natural offset</t>
        </is>
      </c>
      <c r="C959" t="n">
        <v>45</v>
      </c>
      <c r="D959" t="n">
        <v>64</v>
      </c>
      <c r="E959" t="n">
        <v>120</v>
      </c>
      <c r="F959" t="n">
        <v>0</v>
      </c>
      <c r="G959">
        <f>SUMIF(PRISPELO!B:B, A959, PRISPELO!G:G)</f>
        <v/>
      </c>
      <c r="H959">
        <f>SUMIF(ODPIS!B:B, A959, ODPIS!G:G)</f>
        <v/>
      </c>
      <c r="I959" s="2">
        <f>F959 + G959 - H959</f>
        <v/>
      </c>
    </row>
    <row r="960">
      <c r="A960" t="n">
        <v>2870</v>
      </c>
      <c r="B960" t="inlineStr">
        <is>
          <t>MAGNO NATURAL OFFSET</t>
        </is>
      </c>
      <c r="C960" t="n">
        <v>90</v>
      </c>
      <c r="D960" t="n">
        <v>64</v>
      </c>
      <c r="E960" t="n">
        <v>120</v>
      </c>
      <c r="F960" t="n">
        <v>0</v>
      </c>
      <c r="G960">
        <f>SUMIF(PRISPELO!B:B, A960, PRISPELO!G:G)</f>
        <v/>
      </c>
      <c r="H960">
        <f>SUMIF(ODPIS!B:B, A960, ODPIS!G:G)</f>
        <v/>
      </c>
      <c r="I960" s="2">
        <f>F960 + G960 - H960</f>
        <v/>
      </c>
    </row>
    <row r="961">
      <c r="A961" t="n">
        <v>2871</v>
      </c>
      <c r="B961" t="inlineStr">
        <is>
          <t>MAGNO GLOSS</t>
        </is>
      </c>
      <c r="C961" t="n">
        <v>100</v>
      </c>
      <c r="D961" t="n">
        <v>70</v>
      </c>
      <c r="E961" t="n">
        <v>150</v>
      </c>
      <c r="F961" t="n">
        <v>0</v>
      </c>
      <c r="G961">
        <f>SUMIF(PRISPELO!B:B, A961, PRISPELO!G:G)</f>
        <v/>
      </c>
      <c r="H961">
        <f>SUMIF(ODPIS!B:B, A961, ODPIS!G:G)</f>
        <v/>
      </c>
      <c r="I961" s="2">
        <f>F961 + G961 - H961</f>
        <v/>
      </c>
    </row>
    <row r="962">
      <c r="A962" t="n">
        <v>2873</v>
      </c>
      <c r="B962" t="inlineStr">
        <is>
          <t>MULTIART GLOSS</t>
        </is>
      </c>
      <c r="C962" t="n">
        <v>100</v>
      </c>
      <c r="D962" t="n">
        <v>70</v>
      </c>
      <c r="E962" t="n">
        <v>90</v>
      </c>
      <c r="F962" t="n">
        <v>0</v>
      </c>
      <c r="G962">
        <f>SUMIF(PRISPELO!B:B, A962, PRISPELO!G:G)</f>
        <v/>
      </c>
      <c r="H962">
        <f>SUMIF(ODPIS!B:B, A962, ODPIS!G:G)</f>
        <v/>
      </c>
      <c r="I962" s="2">
        <f>F962 + G962 - H962</f>
        <v/>
      </c>
    </row>
    <row r="963">
      <c r="A963" t="n">
        <v>2874</v>
      </c>
      <c r="B963" t="inlineStr">
        <is>
          <t>MultiArt silk</t>
        </is>
      </c>
      <c r="C963" t="n">
        <v>90</v>
      </c>
      <c r="D963" t="n">
        <v>64</v>
      </c>
      <c r="E963" t="n">
        <v>170</v>
      </c>
      <c r="F963" t="n">
        <v>0</v>
      </c>
      <c r="G963">
        <f>SUMIF(PRISPELO!B:B, A963, PRISPELO!G:G)</f>
        <v/>
      </c>
      <c r="H963">
        <f>SUMIF(ODPIS!B:B, A963, ODPIS!G:G)</f>
        <v/>
      </c>
      <c r="I963" s="2">
        <f>F963 + G963 - H963</f>
        <v/>
      </c>
    </row>
    <row r="964">
      <c r="A964" t="n">
        <v>2875</v>
      </c>
      <c r="B964" t="inlineStr">
        <is>
          <t>Multi Art silk</t>
        </is>
      </c>
      <c r="C964" t="n">
        <v>100</v>
      </c>
      <c r="D964" t="n">
        <v>70</v>
      </c>
      <c r="E964" t="n">
        <v>300</v>
      </c>
      <c r="F964" t="n">
        <v>0</v>
      </c>
      <c r="G964">
        <f>SUMIF(PRISPELO!B:B, A964, PRISPELO!G:G)</f>
        <v/>
      </c>
      <c r="H964">
        <f>SUMIF(ODPIS!B:B, A964, ODPIS!G:G)</f>
        <v/>
      </c>
      <c r="I964" s="2">
        <f>F964 + G964 - H964</f>
        <v/>
      </c>
    </row>
    <row r="965">
      <c r="A965" t="n">
        <v>2876</v>
      </c>
      <c r="B965" t="inlineStr">
        <is>
          <t>EOS BLAUWEISS</t>
        </is>
      </c>
      <c r="C965" t="n">
        <v>70</v>
      </c>
      <c r="D965" t="n">
        <v>100</v>
      </c>
      <c r="E965" t="n">
        <v>120</v>
      </c>
      <c r="F965" t="n">
        <v>1500</v>
      </c>
      <c r="G965">
        <f>SUMIF(PRISPELO!B:B, A965, PRISPELO!G:G)</f>
        <v/>
      </c>
      <c r="H965">
        <f>SUMIF(ODPIS!B:B, A965, ODPIS!G:G)</f>
        <v/>
      </c>
      <c r="I965" s="2">
        <f>F965 + G965 - H965</f>
        <v/>
      </c>
    </row>
    <row r="966">
      <c r="A966" t="n">
        <v>2877</v>
      </c>
      <c r="B966" t="inlineStr">
        <is>
          <t>MULTIART SILK</t>
        </is>
      </c>
      <c r="C966" t="n">
        <v>100</v>
      </c>
      <c r="D966" t="n">
        <v>70</v>
      </c>
      <c r="E966" t="n">
        <v>170</v>
      </c>
      <c r="F966" t="n">
        <v>0</v>
      </c>
      <c r="G966">
        <f>SUMIF(PRISPELO!B:B, A966, PRISPELO!G:G)</f>
        <v/>
      </c>
      <c r="H966">
        <f>SUMIF(ODPIS!B:B, A966, ODPIS!G:G)</f>
        <v/>
      </c>
      <c r="I966" s="2">
        <f>F966 + G966 - H966</f>
        <v/>
      </c>
    </row>
    <row r="967">
      <c r="A967" t="n">
        <v>2879</v>
      </c>
      <c r="B967" t="inlineStr">
        <is>
          <t>AMBER GRAPHIC</t>
        </is>
      </c>
      <c r="C967" t="n">
        <v>100</v>
      </c>
      <c r="D967" t="n">
        <v>70</v>
      </c>
      <c r="E967" t="n">
        <v>240</v>
      </c>
      <c r="F967" t="n">
        <v>0</v>
      </c>
      <c r="G967">
        <f>SUMIF(PRISPELO!B:B, A967, PRISPELO!G:G)</f>
        <v/>
      </c>
      <c r="H967">
        <f>SUMIF(ODPIS!B:B, A967, ODPIS!G:G)</f>
        <v/>
      </c>
      <c r="I967" s="2">
        <f>F967 + G967 - H967</f>
        <v/>
      </c>
    </row>
    <row r="968">
      <c r="A968" t="n">
        <v>2880</v>
      </c>
      <c r="B968" t="inlineStr">
        <is>
          <t>IQ SELECTION WHITE BOARD</t>
        </is>
      </c>
      <c r="C968" t="n">
        <v>72</v>
      </c>
      <c r="D968" t="n">
        <v>102</v>
      </c>
      <c r="E968" t="n">
        <v>350</v>
      </c>
      <c r="F968" t="n">
        <v>0</v>
      </c>
      <c r="G968">
        <f>SUMIF(PRISPELO!B:B, A968, PRISPELO!G:G)</f>
        <v/>
      </c>
      <c r="H968">
        <f>SUMIF(ODPIS!B:B, A968, ODPIS!G:G)</f>
        <v/>
      </c>
      <c r="I968" s="2">
        <f>F968 + G968 - H968</f>
        <v/>
      </c>
    </row>
    <row r="969">
      <c r="A969" t="n">
        <v>2881</v>
      </c>
      <c r="B969" t="inlineStr">
        <is>
          <t>AMBER PREPRINT</t>
        </is>
      </c>
      <c r="C969" t="n">
        <v>70</v>
      </c>
      <c r="D969" t="n">
        <v>100</v>
      </c>
      <c r="E969" t="n">
        <v>90</v>
      </c>
      <c r="F969" t="n">
        <v>0</v>
      </c>
      <c r="G969">
        <f>SUMIF(PRISPELO!B:B, A969, PRISPELO!G:G)</f>
        <v/>
      </c>
      <c r="H969">
        <f>SUMIF(ODPIS!B:B, A969, ODPIS!G:G)</f>
        <v/>
      </c>
      <c r="I969" s="2">
        <f>F969 + G969 - H969</f>
        <v/>
      </c>
    </row>
    <row r="970">
      <c r="A970" t="n">
        <v>2882</v>
      </c>
      <c r="B970" t="inlineStr">
        <is>
          <t>QUATRO SILK</t>
        </is>
      </c>
      <c r="C970" t="n">
        <v>70</v>
      </c>
      <c r="D970" t="n">
        <v>100</v>
      </c>
      <c r="E970" t="n">
        <v>250</v>
      </c>
      <c r="F970" t="n">
        <v>0</v>
      </c>
      <c r="G970">
        <f>SUMIF(PRISPELO!B:B, A970, PRISPELO!G:G)</f>
        <v/>
      </c>
      <c r="H970">
        <f>SUMIF(ODPIS!B:B, A970, ODPIS!G:G)</f>
        <v/>
      </c>
      <c r="I970" s="2">
        <f>F970 + G970 - H970</f>
        <v/>
      </c>
    </row>
    <row r="971">
      <c r="A971" t="n">
        <v>2883</v>
      </c>
      <c r="B971" t="inlineStr">
        <is>
          <t>Novatech satin</t>
        </is>
      </c>
      <c r="C971" t="n">
        <v>70</v>
      </c>
      <c r="D971" t="n">
        <v>100</v>
      </c>
      <c r="E971" t="n">
        <v>100</v>
      </c>
      <c r="F971" t="n">
        <v>600</v>
      </c>
      <c r="G971">
        <f>SUMIF(PRISPELO!B:B, A971, PRISPELO!G:G)</f>
        <v/>
      </c>
      <c r="H971">
        <f>SUMIF(ODPIS!B:B, A971, ODPIS!G:G)</f>
        <v/>
      </c>
      <c r="I971" s="2">
        <f>F971 + G971 - H971</f>
        <v/>
      </c>
    </row>
    <row r="972">
      <c r="A972" t="n">
        <v>2884</v>
      </c>
      <c r="B972" t="inlineStr">
        <is>
          <t>Multi Art gloss</t>
        </is>
      </c>
      <c r="C972" t="n">
        <v>64</v>
      </c>
      <c r="D972" t="n">
        <v>90</v>
      </c>
      <c r="E972" t="n">
        <v>200</v>
      </c>
      <c r="F972" t="n">
        <v>0</v>
      </c>
      <c r="G972">
        <f>SUMIF(PRISPELO!B:B, A972, PRISPELO!G:G)</f>
        <v/>
      </c>
      <c r="H972">
        <f>SUMIF(ODPIS!B:B, A972, ODPIS!G:G)</f>
        <v/>
      </c>
      <c r="I972" s="2">
        <f>F972 + G972 - H972</f>
        <v/>
      </c>
    </row>
    <row r="973">
      <c r="A973" t="n">
        <v>2885</v>
      </c>
      <c r="B973" t="inlineStr">
        <is>
          <t>MultiArt silk</t>
        </is>
      </c>
      <c r="C973" t="n">
        <v>90</v>
      </c>
      <c r="D973" t="n">
        <v>64</v>
      </c>
      <c r="E973" t="n">
        <v>200</v>
      </c>
      <c r="F973" t="n">
        <v>0</v>
      </c>
      <c r="G973">
        <f>SUMIF(PRISPELO!B:B, A973, PRISPELO!G:G)</f>
        <v/>
      </c>
      <c r="H973">
        <f>SUMIF(ODPIS!B:B, A973, ODPIS!G:G)</f>
        <v/>
      </c>
      <c r="I973" s="2">
        <f>F973 + G973 - H973</f>
        <v/>
      </c>
    </row>
    <row r="974">
      <c r="A974" t="n">
        <v>2887</v>
      </c>
      <c r="B974" t="inlineStr">
        <is>
          <t>Claro glos</t>
        </is>
      </c>
      <c r="C974" t="n">
        <v>88</v>
      </c>
      <c r="D974" t="n">
        <v>63</v>
      </c>
      <c r="E974" t="n">
        <v>200</v>
      </c>
      <c r="F974" t="n">
        <v>0</v>
      </c>
      <c r="G974">
        <f>SUMIF(PRISPELO!B:B, A974, PRISPELO!G:G)</f>
        <v/>
      </c>
      <c r="H974">
        <f>SUMIF(ODPIS!B:B, A974, ODPIS!G:G)</f>
        <v/>
      </c>
      <c r="I974" s="2">
        <f>F974 + G974 - H974</f>
        <v/>
      </c>
    </row>
    <row r="975">
      <c r="A975" t="n">
        <v>2888</v>
      </c>
      <c r="B975" t="inlineStr">
        <is>
          <t>QUATRO GLOS</t>
        </is>
      </c>
      <c r="C975" t="n">
        <v>88</v>
      </c>
      <c r="D975" t="n">
        <v>64</v>
      </c>
      <c r="E975" t="n">
        <v>90</v>
      </c>
      <c r="F975" t="n">
        <v>0</v>
      </c>
      <c r="G975">
        <f>SUMIF(PRISPELO!B:B, A975, PRISPELO!G:G)</f>
        <v/>
      </c>
      <c r="H975">
        <f>SUMIF(ODPIS!B:B, A975, ODPIS!G:G)</f>
        <v/>
      </c>
      <c r="I975" s="2">
        <f>F975 + G975 - H975</f>
        <v/>
      </c>
    </row>
    <row r="976">
      <c r="A976" t="n">
        <v>2889</v>
      </c>
      <c r="B976" t="inlineStr">
        <is>
          <t>Magno satin</t>
        </is>
      </c>
      <c r="C976" t="n">
        <v>44.8</v>
      </c>
      <c r="D976" t="n">
        <v>63.8</v>
      </c>
      <c r="E976" t="n">
        <v>200</v>
      </c>
      <c r="F976" t="n">
        <v>0</v>
      </c>
      <c r="G976">
        <f>SUMIF(PRISPELO!B:B, A976, PRISPELO!G:G)</f>
        <v/>
      </c>
      <c r="H976">
        <f>SUMIF(ODPIS!B:B, A976, ODPIS!G:G)</f>
        <v/>
      </c>
      <c r="I976" s="2">
        <f>F976 + G976 - H976</f>
        <v/>
      </c>
    </row>
    <row r="977">
      <c r="A977" t="n">
        <v>2892</v>
      </c>
      <c r="B977" t="inlineStr">
        <is>
          <t>Magno satin</t>
        </is>
      </c>
      <c r="C977" t="n">
        <v>70</v>
      </c>
      <c r="D977" t="n">
        <v>100</v>
      </c>
      <c r="E977" t="n">
        <v>90</v>
      </c>
      <c r="F977" t="n">
        <v>2500</v>
      </c>
      <c r="G977">
        <f>SUMIF(PRISPELO!B:B, A977, PRISPELO!G:G)</f>
        <v/>
      </c>
      <c r="H977">
        <f>SUMIF(ODPIS!B:B, A977, ODPIS!G:G)</f>
        <v/>
      </c>
      <c r="I977" s="2">
        <f>F977 + G977 - H977</f>
        <v/>
      </c>
    </row>
    <row r="978">
      <c r="A978" t="n">
        <v>2896</v>
      </c>
      <c r="B978" t="inlineStr">
        <is>
          <t>samolepilni arconvert gloss 60</t>
        </is>
      </c>
      <c r="C978" t="n">
        <v>50</v>
      </c>
      <c r="D978" t="n">
        <v>70</v>
      </c>
      <c r="E978" t="n">
        <v>135</v>
      </c>
      <c r="F978" t="n">
        <v>0</v>
      </c>
      <c r="G978">
        <f>SUMIF(PRISPELO!B:B, A978, PRISPELO!G:G)</f>
        <v/>
      </c>
      <c r="H978">
        <f>SUMIF(ODPIS!B:B, A978, ODPIS!G:G)</f>
        <v/>
      </c>
      <c r="I978" s="2">
        <f>F978 + G978 - H978</f>
        <v/>
      </c>
    </row>
    <row r="979">
      <c r="A979" t="n">
        <v>2898</v>
      </c>
      <c r="B979" t="inlineStr">
        <is>
          <t>Magno satin</t>
        </is>
      </c>
      <c r="C979" t="n">
        <v>70</v>
      </c>
      <c r="D979" t="n">
        <v>53</v>
      </c>
      <c r="E979" t="n">
        <v>130</v>
      </c>
      <c r="F979" t="n">
        <v>0</v>
      </c>
      <c r="G979">
        <f>SUMIF(PRISPELO!B:B, A979, PRISPELO!G:G)</f>
        <v/>
      </c>
      <c r="H979">
        <f>SUMIF(ODPIS!B:B, A979, ODPIS!G:G)</f>
        <v/>
      </c>
      <c r="I979" s="2">
        <f>F979 + G979 - H979</f>
        <v/>
      </c>
    </row>
    <row r="980">
      <c r="A980" t="n">
        <v>2899</v>
      </c>
      <c r="B980" t="inlineStr">
        <is>
          <t>IQ SELECTION WHITE BOARD</t>
        </is>
      </c>
      <c r="C980" t="n">
        <v>72</v>
      </c>
      <c r="D980" t="n">
        <v>102</v>
      </c>
      <c r="E980" t="n">
        <v>300</v>
      </c>
      <c r="F980" t="n">
        <v>0</v>
      </c>
      <c r="G980">
        <f>SUMIF(PRISPELO!B:B, A980, PRISPELO!G:G)</f>
        <v/>
      </c>
      <c r="H980">
        <f>SUMIF(ODPIS!B:B, A980, ODPIS!G:G)</f>
        <v/>
      </c>
      <c r="I980" s="2">
        <f>F980 + G980 - H980</f>
        <v/>
      </c>
    </row>
    <row r="981">
      <c r="A981" t="n">
        <v>2900</v>
      </c>
      <c r="B981" t="inlineStr">
        <is>
          <t>AMBER GRAPHIC</t>
        </is>
      </c>
      <c r="C981" t="n">
        <v>90</v>
      </c>
      <c r="D981" t="n">
        <v>64</v>
      </c>
      <c r="E981" t="n">
        <v>70</v>
      </c>
      <c r="F981" t="n">
        <v>0</v>
      </c>
      <c r="G981">
        <f>SUMIF(PRISPELO!B:B, A981, PRISPELO!G:G)</f>
        <v/>
      </c>
      <c r="H981">
        <f>SUMIF(ODPIS!B:B, A981, ODPIS!G:G)</f>
        <v/>
      </c>
      <c r="I981" s="2">
        <f>F981 + G981 - H981</f>
        <v/>
      </c>
    </row>
    <row r="982">
      <c r="A982" t="n">
        <v>2901</v>
      </c>
      <c r="B982" t="inlineStr">
        <is>
          <t>STARPRINT SILVER</t>
        </is>
      </c>
      <c r="C982" t="n">
        <v>45</v>
      </c>
      <c r="D982" t="n">
        <v>64</v>
      </c>
      <c r="E982" t="n">
        <v>70</v>
      </c>
      <c r="F982" t="n">
        <v>0</v>
      </c>
      <c r="G982">
        <f>SUMIF(PRISPELO!B:B, A982, PRISPELO!G:G)</f>
        <v/>
      </c>
      <c r="H982">
        <f>SUMIF(ODPIS!B:B, A982, ODPIS!G:G)</f>
        <v/>
      </c>
      <c r="I982" s="2">
        <f>F982 + G982 - H982</f>
        <v/>
      </c>
    </row>
    <row r="983">
      <c r="A983" t="n">
        <v>2902</v>
      </c>
      <c r="B983" t="inlineStr">
        <is>
          <t>IQ print</t>
        </is>
      </c>
      <c r="C983" t="n">
        <v>45</v>
      </c>
      <c r="D983" t="n">
        <v>64</v>
      </c>
      <c r="E983" t="n">
        <v>120</v>
      </c>
      <c r="F983" t="n">
        <v>0</v>
      </c>
      <c r="G983">
        <f>SUMIF(PRISPELO!B:B, A983, PRISPELO!G:G)</f>
        <v/>
      </c>
      <c r="H983">
        <f>SUMIF(ODPIS!B:B, A983, ODPIS!G:G)</f>
        <v/>
      </c>
      <c r="I983" s="2">
        <f>F983 + G983 - H983</f>
        <v/>
      </c>
    </row>
    <row r="984">
      <c r="A984" t="n">
        <v>2904</v>
      </c>
      <c r="B984" t="inlineStr">
        <is>
          <t>ESKABOARD 2,0</t>
        </is>
      </c>
      <c r="C984" t="n">
        <v>70</v>
      </c>
      <c r="D984" t="n">
        <v>100</v>
      </c>
      <c r="E984" t="n">
        <v>1260</v>
      </c>
      <c r="F984" t="n">
        <v>0</v>
      </c>
      <c r="G984">
        <f>SUMIF(PRISPELO!B:B, A984, PRISPELO!G:G)</f>
        <v/>
      </c>
      <c r="H984">
        <f>SUMIF(ODPIS!B:B, A984, ODPIS!G:G)</f>
        <v/>
      </c>
      <c r="I984" s="2">
        <f>F984 + G984 - H984</f>
        <v/>
      </c>
    </row>
    <row r="985">
      <c r="A985" t="n">
        <v>2905</v>
      </c>
      <c r="B985" t="inlineStr">
        <is>
          <t>IDEM CB  DIGI</t>
        </is>
      </c>
      <c r="C985" t="n">
        <v>45</v>
      </c>
      <c r="D985" t="n">
        <v>32</v>
      </c>
      <c r="E985" t="n">
        <v>80</v>
      </c>
      <c r="F985" t="n">
        <v>0</v>
      </c>
      <c r="G985">
        <f>SUMIF(PRISPELO!B:B, A985, PRISPELO!G:G)</f>
        <v/>
      </c>
      <c r="H985">
        <f>SUMIF(ODPIS!B:B, A985, ODPIS!G:G)</f>
        <v/>
      </c>
      <c r="I985" s="2">
        <f>F985 + G985 - H985</f>
        <v/>
      </c>
    </row>
    <row r="986">
      <c r="A986" t="n">
        <v>2906</v>
      </c>
      <c r="B986" t="inlineStr">
        <is>
          <t>IDEM CF DIGI</t>
        </is>
      </c>
      <c r="C986" t="n">
        <v>45</v>
      </c>
      <c r="D986" t="n">
        <v>32</v>
      </c>
      <c r="E986" t="n">
        <v>80</v>
      </c>
      <c r="F986" t="n">
        <v>0</v>
      </c>
      <c r="G986">
        <f>SUMIF(PRISPELO!B:B, A986, PRISPELO!G:G)</f>
        <v/>
      </c>
      <c r="H986">
        <f>SUMIF(ODPIS!B:B, A986, ODPIS!G:G)</f>
        <v/>
      </c>
      <c r="I986" s="2">
        <f>F986 + G986 - H986</f>
        <v/>
      </c>
    </row>
    <row r="987">
      <c r="A987" t="n">
        <v>2907</v>
      </c>
      <c r="B987" t="inlineStr">
        <is>
          <t>IDEM CFB DIGI</t>
        </is>
      </c>
      <c r="C987" t="n">
        <v>45</v>
      </c>
      <c r="D987" t="n">
        <v>32</v>
      </c>
      <c r="E987" t="n">
        <v>80</v>
      </c>
      <c r="F987" t="n">
        <v>0</v>
      </c>
      <c r="G987">
        <f>SUMIF(PRISPELO!B:B, A987, PRISPELO!G:G)</f>
        <v/>
      </c>
      <c r="H987">
        <f>SUMIF(ODPIS!B:B, A987, ODPIS!G:G)</f>
        <v/>
      </c>
      <c r="I987" s="2">
        <f>F987 + G987 - H987</f>
        <v/>
      </c>
    </row>
    <row r="988">
      <c r="A988" t="n">
        <v>2908</v>
      </c>
      <c r="B988" t="inlineStr">
        <is>
          <t>Garda matt</t>
        </is>
      </c>
      <c r="C988" t="n">
        <v>90</v>
      </c>
      <c r="D988" t="n">
        <v>64</v>
      </c>
      <c r="E988" t="n">
        <v>115</v>
      </c>
      <c r="F988" t="n">
        <v>600</v>
      </c>
      <c r="G988">
        <f>SUMIF(PRISPELO!B:B, A988, PRISPELO!G:G)</f>
        <v/>
      </c>
      <c r="H988">
        <f>SUMIF(ODPIS!B:B, A988, ODPIS!G:G)</f>
        <v/>
      </c>
      <c r="I988" s="2">
        <f>F988 + G988 - H988</f>
        <v/>
      </c>
    </row>
    <row r="989">
      <c r="A989" t="n">
        <v>2909</v>
      </c>
      <c r="B989" t="inlineStr">
        <is>
          <t>Multi Art silk</t>
        </is>
      </c>
      <c r="C989" t="n">
        <v>90</v>
      </c>
      <c r="D989" t="n">
        <v>64</v>
      </c>
      <c r="E989" t="n">
        <v>350</v>
      </c>
      <c r="F989" t="n">
        <v>0</v>
      </c>
      <c r="G989">
        <f>SUMIF(PRISPELO!B:B, A989, PRISPELO!G:G)</f>
        <v/>
      </c>
      <c r="H989">
        <f>SUMIF(ODPIS!B:B, A989, ODPIS!G:G)</f>
        <v/>
      </c>
      <c r="I989" s="2">
        <f>F989 + G989 - H989</f>
        <v/>
      </c>
    </row>
    <row r="990">
      <c r="A990" t="n">
        <v>2915</v>
      </c>
      <c r="B990" t="inlineStr">
        <is>
          <t>IQ SELECTION</t>
        </is>
      </c>
      <c r="C990" t="n">
        <v>72</v>
      </c>
      <c r="D990" t="n">
        <v>102</v>
      </c>
      <c r="E990" t="n">
        <v>400</v>
      </c>
      <c r="F990" t="n">
        <v>0</v>
      </c>
      <c r="G990">
        <f>SUMIF(PRISPELO!B:B, A990, PRISPELO!G:G)</f>
        <v/>
      </c>
      <c r="H990">
        <f>SUMIF(ODPIS!B:B, A990, ODPIS!G:G)</f>
        <v/>
      </c>
      <c r="I990" s="2">
        <f>F990 + G990 - H990</f>
        <v/>
      </c>
    </row>
    <row r="991">
      <c r="A991" t="n">
        <v>2916</v>
      </c>
      <c r="B991" t="inlineStr">
        <is>
          <t>IQ SELECTION</t>
        </is>
      </c>
      <c r="C991" t="n">
        <v>72</v>
      </c>
      <c r="D991" t="n">
        <v>102</v>
      </c>
      <c r="E991" t="n">
        <v>250</v>
      </c>
      <c r="F991" t="n">
        <v>0</v>
      </c>
      <c r="G991">
        <f>SUMIF(PRISPELO!B:B, A991, PRISPELO!G:G)</f>
        <v/>
      </c>
      <c r="H991">
        <f>SUMIF(ODPIS!B:B, A991, ODPIS!G:G)</f>
        <v/>
      </c>
      <c r="I991" s="2">
        <f>F991 + G991 - H991</f>
        <v/>
      </c>
    </row>
    <row r="992">
      <c r="A992" t="n">
        <v>2919</v>
      </c>
      <c r="B992" t="inlineStr">
        <is>
          <t>BALANCE PURE BA</t>
        </is>
      </c>
      <c r="C992" t="n">
        <v>100</v>
      </c>
      <c r="D992" t="n">
        <v>70</v>
      </c>
      <c r="E992" t="n">
        <v>160</v>
      </c>
      <c r="F992" t="n">
        <v>0</v>
      </c>
      <c r="G992">
        <f>SUMIF(PRISPELO!B:B, A992, PRISPELO!G:G)</f>
        <v/>
      </c>
      <c r="H992">
        <f>SUMIF(ODPIS!B:B, A992, ODPIS!G:G)</f>
        <v/>
      </c>
      <c r="I992" s="2">
        <f>F992 + G992 - H992</f>
        <v/>
      </c>
    </row>
    <row r="993">
      <c r="A993" t="n">
        <v>2920</v>
      </c>
      <c r="B993" t="inlineStr">
        <is>
          <t>Multi Art gloss</t>
        </is>
      </c>
      <c r="C993" t="n">
        <v>64</v>
      </c>
      <c r="D993" t="n">
        <v>90</v>
      </c>
      <c r="E993" t="n">
        <v>170</v>
      </c>
      <c r="F993" t="n">
        <v>0</v>
      </c>
      <c r="G993">
        <f>SUMIF(PRISPELO!B:B, A993, PRISPELO!G:G)</f>
        <v/>
      </c>
      <c r="H993">
        <f>SUMIF(ODPIS!B:B, A993, ODPIS!G:G)</f>
        <v/>
      </c>
      <c r="I993" s="2">
        <f>F993 + G993 - H993</f>
        <v/>
      </c>
    </row>
    <row r="994">
      <c r="A994" t="n">
        <v>2921</v>
      </c>
      <c r="B994" t="inlineStr">
        <is>
          <t>Garda matt</t>
        </is>
      </c>
      <c r="C994" t="n">
        <v>70</v>
      </c>
      <c r="D994" t="n">
        <v>100</v>
      </c>
      <c r="E994" t="n">
        <v>90</v>
      </c>
      <c r="F994" t="n">
        <v>0</v>
      </c>
      <c r="G994">
        <f>SUMIF(PRISPELO!B:B, A994, PRISPELO!G:G)</f>
        <v/>
      </c>
      <c r="H994">
        <f>SUMIF(ODPIS!B:B, A994, ODPIS!G:G)</f>
        <v/>
      </c>
      <c r="I994" s="2">
        <f>F994 + G994 - H994</f>
        <v/>
      </c>
    </row>
    <row r="995">
      <c r="A995" t="n">
        <v>2923</v>
      </c>
      <c r="B995" t="inlineStr">
        <is>
          <t>Garda matt</t>
        </is>
      </c>
      <c r="C995" t="n">
        <v>72</v>
      </c>
      <c r="D995" t="n">
        <v>102</v>
      </c>
      <c r="E995" t="n">
        <v>115</v>
      </c>
      <c r="F995" t="n">
        <v>0</v>
      </c>
      <c r="G995">
        <f>SUMIF(PRISPELO!B:B, A995, PRISPELO!G:G)</f>
        <v/>
      </c>
      <c r="H995">
        <f>SUMIF(ODPIS!B:B, A995, ODPIS!G:G)</f>
        <v/>
      </c>
      <c r="I995" s="2">
        <f>F995 + G995 - H995</f>
        <v/>
      </c>
    </row>
    <row r="996">
      <c r="A996" t="n">
        <v>2924</v>
      </c>
      <c r="B996" t="inlineStr">
        <is>
          <t>CLARO BULK</t>
        </is>
      </c>
      <c r="C996" t="n">
        <v>64</v>
      </c>
      <c r="D996" t="n">
        <v>90</v>
      </c>
      <c r="E996" t="n">
        <v>135</v>
      </c>
      <c r="F996" t="n">
        <v>0</v>
      </c>
      <c r="G996">
        <f>SUMIF(PRISPELO!B:B, A996, PRISPELO!G:G)</f>
        <v/>
      </c>
      <c r="H996">
        <f>SUMIF(ODPIS!B:B, A996, ODPIS!G:G)</f>
        <v/>
      </c>
      <c r="I996" s="2">
        <f>F996 + G996 - H996</f>
        <v/>
      </c>
    </row>
    <row r="997">
      <c r="A997" t="n">
        <v>2925</v>
      </c>
      <c r="B997" t="inlineStr">
        <is>
          <t>SMART BOARD DUO</t>
        </is>
      </c>
      <c r="C997" t="n">
        <v>102</v>
      </c>
      <c r="D997" t="n">
        <v>72</v>
      </c>
      <c r="E997" t="n">
        <v>350</v>
      </c>
      <c r="F997" t="n">
        <v>0</v>
      </c>
      <c r="G997">
        <f>SUMIF(PRISPELO!B:B, A997, PRISPELO!G:G)</f>
        <v/>
      </c>
      <c r="H997">
        <f>SUMIF(ODPIS!B:B, A997, ODPIS!G:G)</f>
        <v/>
      </c>
      <c r="I997" s="2">
        <f>F997 + G997 - H997</f>
        <v/>
      </c>
    </row>
    <row r="998">
      <c r="A998" t="n">
        <v>2926</v>
      </c>
      <c r="B998" t="inlineStr">
        <is>
          <t>BALANCE PURE BA</t>
        </is>
      </c>
      <c r="C998" t="n">
        <v>100</v>
      </c>
      <c r="D998" t="n">
        <v>70</v>
      </c>
      <c r="E998" t="n">
        <v>90</v>
      </c>
      <c r="F998" t="n">
        <v>0</v>
      </c>
      <c r="G998">
        <f>SUMIF(PRISPELO!B:B, A998, PRISPELO!G:G)</f>
        <v/>
      </c>
      <c r="H998">
        <f>SUMIF(ODPIS!B:B, A998, ODPIS!G:G)</f>
        <v/>
      </c>
      <c r="I998" s="2">
        <f>F998 + G998 - H998</f>
        <v/>
      </c>
    </row>
    <row r="999">
      <c r="A999" t="n">
        <v>2927</v>
      </c>
      <c r="B999" t="inlineStr">
        <is>
          <t>CHROMOSTAR</t>
        </is>
      </c>
      <c r="C999" t="n">
        <v>102</v>
      </c>
      <c r="D999" t="n">
        <v>72</v>
      </c>
      <c r="E999" t="n">
        <v>270</v>
      </c>
      <c r="F999" t="n">
        <v>0</v>
      </c>
      <c r="G999">
        <f>SUMIF(PRISPELO!B:B, A999, PRISPELO!G:G)</f>
        <v/>
      </c>
      <c r="H999">
        <f>SUMIF(ODPIS!B:B, A999, ODPIS!G:G)</f>
        <v/>
      </c>
      <c r="I999" s="2">
        <f>F999 + G999 - H999</f>
        <v/>
      </c>
    </row>
    <row r="1000">
      <c r="A1000" t="n">
        <v>2928</v>
      </c>
      <c r="B1000" t="inlineStr">
        <is>
          <t>PREMIUM SILK</t>
        </is>
      </c>
      <c r="C1000" t="n">
        <v>45</v>
      </c>
      <c r="D1000" t="n">
        <v>64</v>
      </c>
      <c r="E1000" t="n">
        <v>100</v>
      </c>
      <c r="F1000" t="n">
        <v>0</v>
      </c>
      <c r="G1000">
        <f>SUMIF(PRISPELO!B:B, A1000, PRISPELO!G:G)</f>
        <v/>
      </c>
      <c r="H1000">
        <f>SUMIF(ODPIS!B:B, A1000, ODPIS!G:G)</f>
        <v/>
      </c>
      <c r="I1000" s="2">
        <f>F1000 + G1000 - H1000</f>
        <v/>
      </c>
    </row>
    <row r="1001">
      <c r="A1001" t="n">
        <v>2929</v>
      </c>
      <c r="B1001" t="inlineStr">
        <is>
          <t>Fedrigoni Symbol Card</t>
        </is>
      </c>
      <c r="C1001" t="n">
        <v>102</v>
      </c>
      <c r="D1001" t="n">
        <v>72</v>
      </c>
      <c r="E1001" t="n">
        <v>330</v>
      </c>
      <c r="F1001" t="n">
        <v>0</v>
      </c>
      <c r="G1001">
        <f>SUMIF(PRISPELO!B:B, A1001, PRISPELO!G:G)</f>
        <v/>
      </c>
      <c r="H1001">
        <f>SUMIF(ODPIS!B:B, A1001, ODPIS!G:G)</f>
        <v/>
      </c>
      <c r="I1001" s="2">
        <f>F1001 + G1001 - H1001</f>
        <v/>
      </c>
    </row>
    <row r="1002">
      <c r="A1002" t="n">
        <v>2933</v>
      </c>
      <c r="B1002" t="inlineStr">
        <is>
          <t>CHROMOLUX ALU -E SILBER</t>
        </is>
      </c>
      <c r="C1002" t="n">
        <v>72</v>
      </c>
      <c r="D1002" t="n">
        <v>102</v>
      </c>
      <c r="E1002" t="n">
        <v>80</v>
      </c>
      <c r="F1002" t="n">
        <v>0</v>
      </c>
      <c r="G1002">
        <f>SUMIF(PRISPELO!B:B, A1002, PRISPELO!G:G)</f>
        <v/>
      </c>
      <c r="H1002">
        <f>SUMIF(ODPIS!B:B, A1002, ODPIS!G:G)</f>
        <v/>
      </c>
      <c r="I1002" s="2">
        <f>F1002 + G1002 - H1002</f>
        <v/>
      </c>
    </row>
    <row r="1003">
      <c r="A1003" t="n">
        <v>2934</v>
      </c>
      <c r="B1003" t="inlineStr">
        <is>
          <t>IQ PRINT</t>
        </is>
      </c>
      <c r="C1003" t="n">
        <v>64</v>
      </c>
      <c r="D1003" t="n">
        <v>90</v>
      </c>
      <c r="E1003" t="n">
        <v>300</v>
      </c>
      <c r="F1003" t="n">
        <v>0</v>
      </c>
      <c r="G1003">
        <f>SUMIF(PRISPELO!B:B, A1003, PRISPELO!G:G)</f>
        <v/>
      </c>
      <c r="H1003">
        <f>SUMIF(ODPIS!B:B, A1003, ODPIS!G:G)</f>
        <v/>
      </c>
      <c r="I1003" s="2">
        <f>F1003 + G1003 - H1003</f>
        <v/>
      </c>
    </row>
    <row r="1004">
      <c r="A1004" t="n">
        <v>2248</v>
      </c>
      <c r="B1004" t="inlineStr">
        <is>
          <t>Kuverta Olin regular LO</t>
        </is>
      </c>
      <c r="C1004" t="n">
        <v>22.9</v>
      </c>
      <c r="D1004" t="n">
        <v>11.4</v>
      </c>
      <c r="E1004" t="n">
        <v>90</v>
      </c>
      <c r="F1004" t="n">
        <v>0</v>
      </c>
      <c r="G1004">
        <f>SUMIF(PRISPELO!B:B, A1004, PRISPELO!G:G)</f>
        <v/>
      </c>
      <c r="H1004">
        <f>SUMIF(ODPIS!B:B, A1004, ODPIS!G:G)</f>
        <v/>
      </c>
      <c r="I1004" s="2">
        <f>F1004 + G1004 - H1004</f>
        <v/>
      </c>
    </row>
    <row r="1005">
      <c r="A1005" t="n">
        <v>2936</v>
      </c>
      <c r="B1005" t="inlineStr">
        <is>
          <t>MOSAICO BURGO CARD</t>
        </is>
      </c>
      <c r="C1005" t="n">
        <v>102</v>
      </c>
      <c r="D1005" t="n">
        <v>72</v>
      </c>
      <c r="E1005" t="n">
        <v>270</v>
      </c>
      <c r="F1005" t="n">
        <v>0</v>
      </c>
      <c r="G1005">
        <f>SUMIF(PRISPELO!B:B, A1005, PRISPELO!G:G)</f>
        <v/>
      </c>
      <c r="H1005">
        <f>SUMIF(ODPIS!B:B, A1005, ODPIS!G:G)</f>
        <v/>
      </c>
      <c r="I1005" s="2">
        <f>F1005 + G1005 - H1005</f>
        <v/>
      </c>
    </row>
    <row r="1006">
      <c r="A1006" t="n">
        <v>2014</v>
      </c>
      <c r="B1006" t="inlineStr">
        <is>
          <t>Kuverta OLIN REGULAR ABSOLUTE W.LO</t>
        </is>
      </c>
      <c r="C1006" t="n">
        <v>17</v>
      </c>
      <c r="D1006" t="n">
        <v>17</v>
      </c>
      <c r="E1006" t="n">
        <v>120</v>
      </c>
      <c r="F1006" t="n">
        <v>0</v>
      </c>
      <c r="G1006">
        <f>SUMIF(PRISPELO!B:B, A1006, PRISPELO!G:G)</f>
        <v/>
      </c>
      <c r="H1006">
        <f>SUMIF(ODPIS!B:B, A1006, ODPIS!G:G)</f>
        <v/>
      </c>
      <c r="I1006" s="2">
        <f>F1006 + G1006 - H1006</f>
        <v/>
      </c>
    </row>
    <row r="1007">
      <c r="A1007" t="n">
        <v>2937</v>
      </c>
      <c r="B1007" t="inlineStr">
        <is>
          <t>PERIGOLD Gardapat 11</t>
        </is>
      </c>
      <c r="C1007" t="n">
        <v>100</v>
      </c>
      <c r="D1007" t="n">
        <v>70</v>
      </c>
      <c r="E1007" t="n">
        <v>300</v>
      </c>
      <c r="F1007" t="n">
        <v>0</v>
      </c>
      <c r="G1007">
        <f>SUMIF(PRISPELO!B:B, A1007, PRISPELO!G:G)</f>
        <v/>
      </c>
      <c r="H1007">
        <f>SUMIF(ODPIS!B:B, A1007, ODPIS!G:G)</f>
        <v/>
      </c>
      <c r="I1007" s="2">
        <f>F1007 + G1007 - H1007</f>
        <v/>
      </c>
    </row>
    <row r="1008">
      <c r="A1008" t="n">
        <v>2939</v>
      </c>
      <c r="B1008" t="inlineStr">
        <is>
          <t>MUSAICO BURGO CARD 1SC</t>
        </is>
      </c>
      <c r="C1008" t="n">
        <v>102</v>
      </c>
      <c r="D1008" t="n">
        <v>72</v>
      </c>
      <c r="E1008" t="n">
        <v>330</v>
      </c>
      <c r="F1008" t="n">
        <v>0</v>
      </c>
      <c r="G1008">
        <f>SUMIF(PRISPELO!B:B, A1008, PRISPELO!G:G)</f>
        <v/>
      </c>
      <c r="H1008">
        <f>SUMIF(ODPIS!B:B, A1008, ODPIS!G:G)</f>
        <v/>
      </c>
      <c r="I1008" s="2">
        <f>F1008 + G1008 - H1008</f>
        <v/>
      </c>
    </row>
    <row r="1009">
      <c r="A1009" t="n">
        <v>2941</v>
      </c>
      <c r="B1009" t="inlineStr">
        <is>
          <t>Magno gloss</t>
        </is>
      </c>
      <c r="C1009" t="n">
        <v>70</v>
      </c>
      <c r="D1009" t="n">
        <v>100</v>
      </c>
      <c r="E1009" t="n">
        <v>115</v>
      </c>
      <c r="F1009" t="n">
        <v>0</v>
      </c>
      <c r="G1009">
        <f>SUMIF(PRISPELO!B:B, A1009, PRISPELO!G:G)</f>
        <v/>
      </c>
      <c r="H1009">
        <f>SUMIF(ODPIS!B:B, A1009, ODPIS!G:G)</f>
        <v/>
      </c>
      <c r="I1009" s="2">
        <f>F1009 + G1009 - H1009</f>
        <v/>
      </c>
    </row>
    <row r="1010">
      <c r="A1010" t="n">
        <v>2942</v>
      </c>
      <c r="B1010" t="inlineStr">
        <is>
          <t>NOVATECH GLOSS</t>
        </is>
      </c>
      <c r="C1010" t="n">
        <v>100</v>
      </c>
      <c r="D1010" t="n">
        <v>70</v>
      </c>
      <c r="E1010" t="n">
        <v>250</v>
      </c>
      <c r="F1010" t="n">
        <v>0</v>
      </c>
      <c r="G1010">
        <f>SUMIF(PRISPELO!B:B, A1010, PRISPELO!G:G)</f>
        <v/>
      </c>
      <c r="H1010">
        <f>SUMIF(ODPIS!B:B, A1010, ODPIS!G:G)</f>
        <v/>
      </c>
      <c r="I1010" s="2">
        <f>F1010 + G1010 - H1010</f>
        <v/>
      </c>
    </row>
    <row r="1011">
      <c r="A1011" t="n">
        <v>2943</v>
      </c>
      <c r="B1011" t="inlineStr">
        <is>
          <t>QUATRO GLOSS</t>
        </is>
      </c>
      <c r="C1011" t="n">
        <v>64</v>
      </c>
      <c r="D1011" t="n">
        <v>90</v>
      </c>
      <c r="E1011" t="n">
        <v>130</v>
      </c>
      <c r="F1011" t="n">
        <v>0</v>
      </c>
      <c r="G1011">
        <f>SUMIF(PRISPELO!B:B, A1011, PRISPELO!G:G)</f>
        <v/>
      </c>
      <c r="H1011">
        <f>SUMIF(ODPIS!B:B, A1011, ODPIS!G:G)</f>
        <v/>
      </c>
      <c r="I1011" s="2">
        <f>F1011 + G1011 - H1011</f>
        <v/>
      </c>
    </row>
    <row r="1012">
      <c r="A1012" t="n">
        <v>2945</v>
      </c>
      <c r="B1012" t="inlineStr">
        <is>
          <t>Magno satin</t>
        </is>
      </c>
      <c r="C1012" t="n">
        <v>68.40000000000001</v>
      </c>
      <c r="D1012" t="n">
        <v>96</v>
      </c>
      <c r="E1012" t="n">
        <v>150</v>
      </c>
      <c r="F1012" t="n">
        <v>0</v>
      </c>
      <c r="G1012">
        <f>SUMIF(PRISPELO!B:B, A1012, PRISPELO!G:G)</f>
        <v/>
      </c>
      <c r="H1012">
        <f>SUMIF(ODPIS!B:B, A1012, ODPIS!G:G)</f>
        <v/>
      </c>
      <c r="I1012" s="2">
        <f>F1012 + G1012 - H1012</f>
        <v/>
      </c>
    </row>
    <row r="1013">
      <c r="A1013" t="n">
        <v>2947</v>
      </c>
      <c r="B1013" t="inlineStr">
        <is>
          <t>FEDRIGONI SIRIO BLACK BLACK</t>
        </is>
      </c>
      <c r="C1013" t="n">
        <v>70</v>
      </c>
      <c r="D1013" t="n">
        <v>100</v>
      </c>
      <c r="E1013" t="n">
        <v>480</v>
      </c>
      <c r="F1013" t="n">
        <v>0</v>
      </c>
      <c r="G1013">
        <f>SUMIF(PRISPELO!B:B, A1013, PRISPELO!G:G)</f>
        <v/>
      </c>
      <c r="H1013">
        <f>SUMIF(ODPIS!B:B, A1013, ODPIS!G:G)</f>
        <v/>
      </c>
      <c r="I1013" s="2">
        <f>F1013 + G1013 - H1013</f>
        <v/>
      </c>
    </row>
    <row r="1014">
      <c r="A1014" t="n">
        <v>2949</v>
      </c>
      <c r="B1014" t="inlineStr">
        <is>
          <t>MASTER MULTI OFFSET</t>
        </is>
      </c>
      <c r="C1014" t="n">
        <v>90</v>
      </c>
      <c r="D1014" t="n">
        <v>64</v>
      </c>
      <c r="E1014" t="n">
        <v>120</v>
      </c>
      <c r="F1014" t="n">
        <v>0</v>
      </c>
      <c r="G1014">
        <f>SUMIF(PRISPELO!B:B, A1014, PRISPELO!G:G)</f>
        <v/>
      </c>
      <c r="H1014">
        <f>SUMIF(ODPIS!B:B, A1014, ODPIS!G:G)</f>
        <v/>
      </c>
      <c r="I1014" s="2">
        <f>F1014 + G1014 - H1014</f>
        <v/>
      </c>
    </row>
    <row r="1015">
      <c r="A1015" t="n">
        <v>2950</v>
      </c>
      <c r="B1015" t="inlineStr">
        <is>
          <t>Multi Art gloss</t>
        </is>
      </c>
      <c r="C1015" t="n">
        <v>90</v>
      </c>
      <c r="D1015" t="n">
        <v>64</v>
      </c>
      <c r="E1015" t="n">
        <v>100</v>
      </c>
      <c r="F1015" t="n">
        <v>0</v>
      </c>
      <c r="G1015">
        <f>SUMIF(PRISPELO!B:B, A1015, PRISPELO!G:G)</f>
        <v/>
      </c>
      <c r="H1015">
        <f>SUMIF(ODPIS!B:B, A1015, ODPIS!G:G)</f>
        <v/>
      </c>
      <c r="I1015" s="2">
        <f>F1015 + G1015 - H1015</f>
        <v/>
      </c>
    </row>
    <row r="1016">
      <c r="A1016" t="n">
        <v>2951</v>
      </c>
      <c r="B1016" t="inlineStr">
        <is>
          <t>MultiArt silk</t>
        </is>
      </c>
      <c r="C1016" t="n">
        <v>70</v>
      </c>
      <c r="D1016" t="n">
        <v>100</v>
      </c>
      <c r="E1016" t="n">
        <v>100</v>
      </c>
      <c r="F1016" t="n">
        <v>0</v>
      </c>
      <c r="G1016">
        <f>SUMIF(PRISPELO!B:B, A1016, PRISPELO!G:G)</f>
        <v/>
      </c>
      <c r="H1016">
        <f>SUMIF(ODPIS!B:B, A1016, ODPIS!G:G)</f>
        <v/>
      </c>
      <c r="I1016" s="2">
        <f>F1016 + G1016 - H1016</f>
        <v/>
      </c>
    </row>
    <row r="1017">
      <c r="A1017" t="n">
        <v>2952</v>
      </c>
      <c r="B1017" t="inlineStr">
        <is>
          <t>MultiArt silk</t>
        </is>
      </c>
      <c r="C1017" t="n">
        <v>90</v>
      </c>
      <c r="D1017" t="n">
        <v>64</v>
      </c>
      <c r="E1017" t="n">
        <v>100</v>
      </c>
      <c r="F1017" t="n">
        <v>0</v>
      </c>
      <c r="G1017">
        <f>SUMIF(PRISPELO!B:B, A1017, PRISPELO!G:G)</f>
        <v/>
      </c>
      <c r="H1017">
        <f>SUMIF(ODPIS!B:B, A1017, ODPIS!G:G)</f>
        <v/>
      </c>
      <c r="I1017" s="2">
        <f>F1017 + G1017 - H1017</f>
        <v/>
      </c>
    </row>
    <row r="1018">
      <c r="A1018" t="n">
        <v>2953</v>
      </c>
      <c r="B1018" t="inlineStr">
        <is>
          <t>BOARD ONE PRIMA</t>
        </is>
      </c>
      <c r="C1018" t="n">
        <v>68</v>
      </c>
      <c r="D1018" t="n">
        <v>44</v>
      </c>
      <c r="E1018" t="n">
        <v>350</v>
      </c>
      <c r="F1018" t="n">
        <v>0</v>
      </c>
      <c r="G1018">
        <f>SUMIF(PRISPELO!B:B, A1018, PRISPELO!G:G)</f>
        <v/>
      </c>
      <c r="H1018">
        <f>SUMIF(ODPIS!B:B, A1018, ODPIS!G:G)</f>
        <v/>
      </c>
      <c r="I1018" s="2">
        <f>F1018 + G1018 - H1018</f>
        <v/>
      </c>
    </row>
    <row r="1019">
      <c r="A1019" t="n">
        <v>2959</v>
      </c>
      <c r="B1019" t="inlineStr">
        <is>
          <t>QUATRO GLOSS</t>
        </is>
      </c>
      <c r="C1019" t="n">
        <v>64</v>
      </c>
      <c r="D1019" t="n">
        <v>90</v>
      </c>
      <c r="E1019" t="n">
        <v>170</v>
      </c>
      <c r="F1019" t="n">
        <v>0</v>
      </c>
      <c r="G1019">
        <f>SUMIF(PRISPELO!B:B, A1019, PRISPELO!G:G)</f>
        <v/>
      </c>
      <c r="H1019">
        <f>SUMIF(ODPIS!B:B, A1019, ODPIS!G:G)</f>
        <v/>
      </c>
      <c r="I1019" s="2">
        <f>F1019 + G1019 - H1019</f>
        <v/>
      </c>
    </row>
    <row r="1020">
      <c r="A1020" t="n">
        <v>2960</v>
      </c>
      <c r="B1020" t="inlineStr">
        <is>
          <t>Fedrigoni SYMBOL CARD 2SC</t>
        </is>
      </c>
      <c r="C1020" t="n">
        <v>72</v>
      </c>
      <c r="D1020" t="n">
        <v>102</v>
      </c>
      <c r="E1020" t="n">
        <v>350</v>
      </c>
      <c r="F1020" t="n">
        <v>0</v>
      </c>
      <c r="G1020">
        <f>SUMIF(PRISPELO!B:B, A1020, PRISPELO!G:G)</f>
        <v/>
      </c>
      <c r="H1020">
        <f>SUMIF(ODPIS!B:B, A1020, ODPIS!G:G)</f>
        <v/>
      </c>
      <c r="I1020" s="2">
        <f>F1020 + G1020 - H1020</f>
        <v/>
      </c>
    </row>
    <row r="1021">
      <c r="A1021" t="n">
        <v>2961</v>
      </c>
      <c r="B1021" t="inlineStr">
        <is>
          <t>GRAFOPAK</t>
        </is>
      </c>
      <c r="C1021" t="n">
        <v>71</v>
      </c>
      <c r="D1021" t="n">
        <v>101</v>
      </c>
      <c r="E1021" t="n">
        <v>500</v>
      </c>
      <c r="F1021" t="n">
        <v>0</v>
      </c>
      <c r="G1021">
        <f>SUMIF(PRISPELO!B:B, A1021, PRISPELO!G:G)</f>
        <v/>
      </c>
      <c r="H1021">
        <f>SUMIF(ODPIS!B:B, A1021, ODPIS!G:G)</f>
        <v/>
      </c>
      <c r="I1021" s="2">
        <f>F1021 + G1021 - H1021</f>
        <v/>
      </c>
    </row>
    <row r="1022">
      <c r="A1022" t="n">
        <v>2962</v>
      </c>
      <c r="B1022" t="inlineStr">
        <is>
          <t>AMBER GRAPHIC</t>
        </is>
      </c>
      <c r="C1022" t="n">
        <v>45</v>
      </c>
      <c r="D1022" t="n">
        <v>64</v>
      </c>
      <c r="E1022" t="n">
        <v>100</v>
      </c>
      <c r="F1022" t="n">
        <v>0</v>
      </c>
      <c r="G1022">
        <f>SUMIF(PRISPELO!B:B, A1022, PRISPELO!G:G)</f>
        <v/>
      </c>
      <c r="H1022">
        <f>SUMIF(ODPIS!B:B, A1022, ODPIS!G:G)</f>
        <v/>
      </c>
      <c r="I1022" s="2">
        <f>F1022 + G1022 - H1022</f>
        <v/>
      </c>
    </row>
    <row r="1023">
      <c r="A1023" t="n">
        <v>2963</v>
      </c>
      <c r="B1023" t="inlineStr">
        <is>
          <t>ALGRO DEISGN DUO</t>
        </is>
      </c>
      <c r="C1023" t="n">
        <v>72</v>
      </c>
      <c r="D1023" t="n">
        <v>102</v>
      </c>
      <c r="E1023" t="n">
        <v>250</v>
      </c>
      <c r="F1023" t="n">
        <v>500</v>
      </c>
      <c r="G1023">
        <f>SUMIF(PRISPELO!B:B, A1023, PRISPELO!G:G)</f>
        <v/>
      </c>
      <c r="H1023">
        <f>SUMIF(ODPIS!B:B, A1023, ODPIS!G:G)</f>
        <v/>
      </c>
      <c r="I1023" s="2">
        <f>F1023 + G1023 - H1023</f>
        <v/>
      </c>
    </row>
    <row r="1024">
      <c r="A1024" t="n">
        <v>2966</v>
      </c>
      <c r="B1024" t="inlineStr">
        <is>
          <t>PREMIUM SILK</t>
        </is>
      </c>
      <c r="C1024" t="n">
        <v>50</v>
      </c>
      <c r="D1024" t="n">
        <v>70</v>
      </c>
      <c r="E1024" t="n">
        <v>250</v>
      </c>
      <c r="F1024" t="n">
        <v>0</v>
      </c>
      <c r="G1024">
        <f>SUMIF(PRISPELO!B:B, A1024, PRISPELO!G:G)</f>
        <v/>
      </c>
      <c r="H1024">
        <f>SUMIF(ODPIS!B:B, A1024, ODPIS!G:G)</f>
        <v/>
      </c>
      <c r="I1024" s="2">
        <f>F1024 + G1024 - H1024</f>
        <v/>
      </c>
    </row>
    <row r="1025">
      <c r="A1025" t="n">
        <v>2967</v>
      </c>
      <c r="B1025" t="inlineStr">
        <is>
          <t>GALERIE ART SILK</t>
        </is>
      </c>
      <c r="C1025" t="n">
        <v>70</v>
      </c>
      <c r="D1025" t="n">
        <v>100</v>
      </c>
      <c r="E1025" t="n">
        <v>115</v>
      </c>
      <c r="F1025" t="n">
        <v>0</v>
      </c>
      <c r="G1025">
        <f>SUMIF(PRISPELO!B:B, A1025, PRISPELO!G:G)</f>
        <v/>
      </c>
      <c r="H1025">
        <f>SUMIF(ODPIS!B:B, A1025, ODPIS!G:G)</f>
        <v/>
      </c>
      <c r="I1025" s="2">
        <f>F1025 + G1025 - H1025</f>
        <v/>
      </c>
    </row>
    <row r="1026">
      <c r="A1026" t="n">
        <v>2061</v>
      </c>
      <c r="B1026" t="inlineStr">
        <is>
          <t>Kuverta Conqueror laid C5/6 BO</t>
        </is>
      </c>
      <c r="C1026" t="n">
        <v>11</v>
      </c>
      <c r="D1026" t="n">
        <v>22</v>
      </c>
      <c r="E1026" t="n">
        <v>120</v>
      </c>
      <c r="F1026" t="n">
        <v>0</v>
      </c>
      <c r="G1026">
        <f>SUMIF(PRISPELO!B:B, A1026, PRISPELO!G:G)</f>
        <v/>
      </c>
      <c r="H1026">
        <f>SUMIF(ODPIS!B:B, A1026, ODPIS!G:G)</f>
        <v/>
      </c>
      <c r="I1026" s="2">
        <f>F1026 + G1026 - H1026</f>
        <v/>
      </c>
    </row>
    <row r="1027">
      <c r="A1027" t="n">
        <v>2971</v>
      </c>
      <c r="B1027" t="inlineStr">
        <is>
          <t>QUATRO GLOSS</t>
        </is>
      </c>
      <c r="C1027" t="n">
        <v>90</v>
      </c>
      <c r="D1027" t="n">
        <v>64</v>
      </c>
      <c r="E1027" t="n">
        <v>150</v>
      </c>
      <c r="F1027" t="n">
        <v>0</v>
      </c>
      <c r="G1027">
        <f>SUMIF(PRISPELO!B:B, A1027, PRISPELO!G:G)</f>
        <v/>
      </c>
      <c r="H1027">
        <f>SUMIF(ODPIS!B:B, A1027, ODPIS!G:G)</f>
        <v/>
      </c>
      <c r="I1027" s="2">
        <f>F1027 + G1027 - H1027</f>
        <v/>
      </c>
    </row>
    <row r="1028">
      <c r="A1028" t="n">
        <v>2973</v>
      </c>
      <c r="B1028" t="inlineStr">
        <is>
          <t>SAMGLOSS</t>
        </is>
      </c>
      <c r="C1028" t="n">
        <v>100</v>
      </c>
      <c r="D1028" t="n">
        <v>70</v>
      </c>
      <c r="E1028" t="n">
        <v>90</v>
      </c>
      <c r="F1028" t="n">
        <v>0</v>
      </c>
      <c r="G1028">
        <f>SUMIF(PRISPELO!B:B, A1028, PRISPELO!G:G)</f>
        <v/>
      </c>
      <c r="H1028">
        <f>SUMIF(ODPIS!B:B, A1028, ODPIS!G:G)</f>
        <v/>
      </c>
      <c r="I1028" s="2">
        <f>F1028 + G1028 - H1028</f>
        <v/>
      </c>
    </row>
    <row r="1029">
      <c r="A1029" t="n">
        <v>2975</v>
      </c>
      <c r="B1029" t="inlineStr">
        <is>
          <t>EXPRINT</t>
        </is>
      </c>
      <c r="C1029" t="n">
        <v>101</v>
      </c>
      <c r="D1029" t="n">
        <v>71</v>
      </c>
      <c r="E1029" t="n">
        <v>250</v>
      </c>
      <c r="F1029" t="n">
        <v>0</v>
      </c>
      <c r="G1029">
        <f>SUMIF(PRISPELO!B:B, A1029, PRISPELO!G:G)</f>
        <v/>
      </c>
      <c r="H1029">
        <f>SUMIF(ODPIS!B:B, A1029, ODPIS!G:G)</f>
        <v/>
      </c>
      <c r="I1029" s="2">
        <f>F1029 + G1029 - H1029</f>
        <v/>
      </c>
    </row>
    <row r="1030">
      <c r="A1030" t="n">
        <v>2009</v>
      </c>
      <c r="B1030" t="inlineStr">
        <is>
          <t>Kuverta B4 BD SI VREČKA</t>
        </is>
      </c>
      <c r="C1030" t="n">
        <v>25</v>
      </c>
      <c r="D1030" t="n">
        <v>35.3</v>
      </c>
      <c r="E1030" t="n">
        <v>100</v>
      </c>
      <c r="F1030" t="n">
        <v>0</v>
      </c>
      <c r="G1030">
        <f>SUMIF(PRISPELO!B:B, A1030, PRISPELO!G:G)</f>
        <v/>
      </c>
      <c r="H1030">
        <f>SUMIF(ODPIS!B:B, A1030, ODPIS!G:G)</f>
        <v/>
      </c>
      <c r="I1030" s="2">
        <f>F1030 + G1030 - H1030</f>
        <v/>
      </c>
    </row>
    <row r="1031">
      <c r="A1031" t="n">
        <v>2012</v>
      </c>
      <c r="B1031" t="inlineStr">
        <is>
          <t>Kuverta C5 OD  NOVA KUVERTA</t>
        </is>
      </c>
      <c r="C1031" t="n">
        <v>16.2</v>
      </c>
      <c r="D1031" t="n">
        <v>22.9</v>
      </c>
      <c r="E1031" t="n">
        <v>90</v>
      </c>
      <c r="F1031" t="n">
        <v>0</v>
      </c>
      <c r="G1031">
        <f>SUMIF(PRISPELO!B:B, A1031, PRISPELO!G:G)</f>
        <v/>
      </c>
      <c r="H1031">
        <f>SUMIF(ODPIS!B:B, A1031, ODPIS!G:G)</f>
        <v/>
      </c>
      <c r="I1031" s="2">
        <f>F1031 + G1031 - H1031</f>
        <v/>
      </c>
    </row>
    <row r="1032">
      <c r="A1032" t="n">
        <v>2976</v>
      </c>
      <c r="B1032" t="inlineStr">
        <is>
          <t>QUATRO SILK</t>
        </is>
      </c>
      <c r="C1032" t="n">
        <v>70</v>
      </c>
      <c r="D1032" t="n">
        <v>100</v>
      </c>
      <c r="E1032" t="n">
        <v>300</v>
      </c>
      <c r="F1032" t="n">
        <v>0</v>
      </c>
      <c r="G1032">
        <f>SUMIF(PRISPELO!B:B, A1032, PRISPELO!G:G)</f>
        <v/>
      </c>
      <c r="H1032">
        <f>SUMIF(ODPIS!B:B, A1032, ODPIS!G:G)</f>
        <v/>
      </c>
      <c r="I1032" s="2">
        <f>F1032 + G1032 - H1032</f>
        <v/>
      </c>
    </row>
    <row r="1033">
      <c r="A1033" t="n">
        <v>2977</v>
      </c>
      <c r="B1033" t="inlineStr">
        <is>
          <t>LUXO SATIN</t>
        </is>
      </c>
      <c r="C1033" t="n">
        <v>64</v>
      </c>
      <c r="D1033" t="n">
        <v>90</v>
      </c>
      <c r="E1033" t="n">
        <v>250</v>
      </c>
      <c r="F1033" t="n">
        <v>0</v>
      </c>
      <c r="G1033">
        <f>SUMIF(PRISPELO!B:B, A1033, PRISPELO!G:G)</f>
        <v/>
      </c>
      <c r="H1033">
        <f>SUMIF(ODPIS!B:B, A1033, ODPIS!G:G)</f>
        <v/>
      </c>
      <c r="I1033" s="2">
        <f>F1033 + G1033 - H1033</f>
        <v/>
      </c>
    </row>
    <row r="1034">
      <c r="A1034" t="n">
        <v>2978</v>
      </c>
      <c r="B1034" t="inlineStr">
        <is>
          <t>QUATRO GLOSS</t>
        </is>
      </c>
      <c r="C1034" t="n">
        <v>100</v>
      </c>
      <c r="D1034" t="n">
        <v>70</v>
      </c>
      <c r="E1034" t="n">
        <v>200</v>
      </c>
      <c r="F1034" t="n">
        <v>0</v>
      </c>
      <c r="G1034">
        <f>SUMIF(PRISPELO!B:B, A1034, PRISPELO!G:G)</f>
        <v/>
      </c>
      <c r="H1034">
        <f>SUMIF(ODPIS!B:B, A1034, ODPIS!G:G)</f>
        <v/>
      </c>
      <c r="I1034" s="2">
        <f>F1034 + G1034 - H1034</f>
        <v/>
      </c>
    </row>
    <row r="1035">
      <c r="A1035" t="n">
        <v>2980</v>
      </c>
      <c r="B1035" t="inlineStr">
        <is>
          <t>NOVATECH MATT</t>
        </is>
      </c>
      <c r="C1035" t="n">
        <v>90</v>
      </c>
      <c r="D1035" t="n">
        <v>64</v>
      </c>
      <c r="E1035" t="n">
        <v>80</v>
      </c>
      <c r="F1035" t="n">
        <v>0</v>
      </c>
      <c r="G1035">
        <f>SUMIF(PRISPELO!B:B, A1035, PRISPELO!G:G)</f>
        <v/>
      </c>
      <c r="H1035">
        <f>SUMIF(ODPIS!B:B, A1035, ODPIS!G:G)</f>
        <v/>
      </c>
      <c r="I1035" s="2">
        <f>F1035 + G1035 - H1035</f>
        <v/>
      </c>
    </row>
    <row r="1036">
      <c r="A1036" t="n">
        <v>2981</v>
      </c>
      <c r="B1036" t="inlineStr">
        <is>
          <t>TERRA PRINT</t>
        </is>
      </c>
      <c r="C1036" t="n">
        <v>100</v>
      </c>
      <c r="D1036" t="n">
        <v>70</v>
      </c>
      <c r="E1036" t="n">
        <v>80</v>
      </c>
      <c r="F1036" t="n">
        <v>0</v>
      </c>
      <c r="G1036">
        <f>SUMIF(PRISPELO!B:B, A1036, PRISPELO!G:G)</f>
        <v/>
      </c>
      <c r="H1036">
        <f>SUMIF(ODPIS!B:B, A1036, ODPIS!G:G)</f>
        <v/>
      </c>
      <c r="I1036" s="2">
        <f>F1036 + G1036 - H1036</f>
        <v/>
      </c>
    </row>
    <row r="1037">
      <c r="A1037" t="n">
        <v>2982</v>
      </c>
      <c r="B1037" t="inlineStr">
        <is>
          <t>GALERIE ART GLOSS</t>
        </is>
      </c>
      <c r="C1037" t="n">
        <v>100</v>
      </c>
      <c r="D1037" t="n">
        <v>70</v>
      </c>
      <c r="E1037" t="n">
        <v>350</v>
      </c>
      <c r="F1037" t="n">
        <v>0</v>
      </c>
      <c r="G1037">
        <f>SUMIF(PRISPELO!B:B, A1037, PRISPELO!G:G)</f>
        <v/>
      </c>
      <c r="H1037">
        <f>SUMIF(ODPIS!B:B, A1037, ODPIS!G:G)</f>
        <v/>
      </c>
      <c r="I1037" s="2">
        <f>F1037 + G1037 - H1037</f>
        <v/>
      </c>
    </row>
    <row r="1038">
      <c r="A1038" t="n">
        <v>2983</v>
      </c>
      <c r="B1038" t="inlineStr">
        <is>
          <t>GALERIE ART SILK</t>
        </is>
      </c>
      <c r="C1038" t="n">
        <v>90</v>
      </c>
      <c r="D1038" t="n">
        <v>64</v>
      </c>
      <c r="E1038" t="n">
        <v>135</v>
      </c>
      <c r="F1038" t="n">
        <v>0</v>
      </c>
      <c r="G1038">
        <f>SUMIF(PRISPELO!B:B, A1038, PRISPELO!G:G)</f>
        <v/>
      </c>
      <c r="H1038">
        <f>SUMIF(ODPIS!B:B, A1038, ODPIS!G:G)</f>
        <v/>
      </c>
      <c r="I1038" s="2">
        <f>F1038 + G1038 - H1038</f>
        <v/>
      </c>
    </row>
    <row r="1039">
      <c r="A1039" t="n">
        <v>2984</v>
      </c>
      <c r="B1039" t="inlineStr">
        <is>
          <t>ALGRO DESIGN DUO</t>
        </is>
      </c>
      <c r="C1039" t="n">
        <v>72</v>
      </c>
      <c r="D1039" t="n">
        <v>102</v>
      </c>
      <c r="E1039" t="n">
        <v>450</v>
      </c>
      <c r="F1039" t="n">
        <v>0</v>
      </c>
      <c r="G1039">
        <f>SUMIF(PRISPELO!B:B, A1039, PRISPELO!G:G)</f>
        <v/>
      </c>
      <c r="H1039">
        <f>SUMIF(ODPIS!B:B, A1039, ODPIS!G:G)</f>
        <v/>
      </c>
      <c r="I1039" s="2">
        <f>F1039 + G1039 - H1039</f>
        <v/>
      </c>
    </row>
    <row r="1040">
      <c r="A1040" t="n">
        <v>2985</v>
      </c>
      <c r="B1040" t="inlineStr">
        <is>
          <t>IDEM REACTO CF -ROZA</t>
        </is>
      </c>
      <c r="C1040" t="n">
        <v>45</v>
      </c>
      <c r="D1040" t="n">
        <v>64</v>
      </c>
      <c r="E1040" t="n">
        <v>60</v>
      </c>
      <c r="F1040" t="n">
        <v>0</v>
      </c>
      <c r="G1040">
        <f>SUMIF(PRISPELO!B:B, A1040, PRISPELO!G:G)</f>
        <v/>
      </c>
      <c r="H1040">
        <f>SUMIF(ODPIS!B:B, A1040, ODPIS!G:G)</f>
        <v/>
      </c>
      <c r="I1040" s="2">
        <f>F1040 + G1040 - H1040</f>
        <v/>
      </c>
    </row>
    <row r="1041">
      <c r="A1041" t="n">
        <v>2987</v>
      </c>
      <c r="B1041" t="inlineStr">
        <is>
          <t>IDEM REACTO-CB</t>
        </is>
      </c>
      <c r="C1041" t="n">
        <v>45</v>
      </c>
      <c r="D1041" t="n">
        <v>64</v>
      </c>
      <c r="E1041" t="n">
        <v>60</v>
      </c>
      <c r="F1041" t="n">
        <v>0</v>
      </c>
      <c r="G1041">
        <f>SUMIF(PRISPELO!B:B, A1041, PRISPELO!G:G)</f>
        <v/>
      </c>
      <c r="H1041">
        <f>SUMIF(ODPIS!B:B, A1041, ODPIS!G:G)</f>
        <v/>
      </c>
      <c r="I1041" s="2">
        <f>F1041 + G1041 - H1041</f>
        <v/>
      </c>
    </row>
    <row r="1042">
      <c r="A1042" t="n">
        <v>2988</v>
      </c>
      <c r="B1042" t="inlineStr">
        <is>
          <t>DNS Premium</t>
        </is>
      </c>
      <c r="C1042" t="n">
        <v>45</v>
      </c>
      <c r="D1042" t="n">
        <v>64</v>
      </c>
      <c r="E1042" t="n">
        <v>80</v>
      </c>
      <c r="F1042" t="n">
        <v>30000</v>
      </c>
      <c r="G1042">
        <f>SUMIF(PRISPELO!B:B, A1042, PRISPELO!G:G)</f>
        <v/>
      </c>
      <c r="H1042">
        <f>SUMIF(ODPIS!B:B, A1042, ODPIS!G:G)</f>
        <v/>
      </c>
      <c r="I1042" s="2">
        <f>F1042 + G1042 - H1042</f>
        <v/>
      </c>
    </row>
    <row r="1043">
      <c r="A1043" t="n">
        <v>2989</v>
      </c>
      <c r="B1043" t="inlineStr">
        <is>
          <t>DNS Premium</t>
        </is>
      </c>
      <c r="C1043" t="n">
        <v>45</v>
      </c>
      <c r="D1043" t="n">
        <v>64</v>
      </c>
      <c r="E1043" t="n">
        <v>90</v>
      </c>
      <c r="F1043" t="n">
        <v>0</v>
      </c>
      <c r="G1043">
        <f>SUMIF(PRISPELO!B:B, A1043, PRISPELO!G:G)</f>
        <v/>
      </c>
      <c r="H1043">
        <f>SUMIF(ODPIS!B:B, A1043, ODPIS!G:G)</f>
        <v/>
      </c>
      <c r="I1043" s="2">
        <f>F1043 + G1043 - H1043</f>
        <v/>
      </c>
    </row>
    <row r="1044">
      <c r="A1044" t="n">
        <v>2991</v>
      </c>
      <c r="B1044" t="inlineStr">
        <is>
          <t>Multiart gloss</t>
        </is>
      </c>
      <c r="C1044" t="n">
        <v>100</v>
      </c>
      <c r="D1044" t="n">
        <v>70</v>
      </c>
      <c r="E1044" t="n">
        <v>130</v>
      </c>
      <c r="F1044" t="n">
        <v>0</v>
      </c>
      <c r="G1044">
        <f>SUMIF(PRISPELO!B:B, A1044, PRISPELO!G:G)</f>
        <v/>
      </c>
      <c r="H1044">
        <f>SUMIF(ODPIS!B:B, A1044, ODPIS!G:G)</f>
        <v/>
      </c>
      <c r="I1044" s="2">
        <f>F1044 + G1044 - H1044</f>
        <v/>
      </c>
    </row>
    <row r="1045">
      <c r="A1045" t="n">
        <v>2992</v>
      </c>
      <c r="B1045" t="inlineStr">
        <is>
          <t>CHROMOSTAR</t>
        </is>
      </c>
      <c r="C1045" t="n">
        <v>50.5</v>
      </c>
      <c r="D1045" t="n">
        <v>71</v>
      </c>
      <c r="E1045" t="n">
        <v>295</v>
      </c>
      <c r="F1045" t="n">
        <v>0</v>
      </c>
      <c r="G1045">
        <f>SUMIF(PRISPELO!B:B, A1045, PRISPELO!G:G)</f>
        <v/>
      </c>
      <c r="H1045">
        <f>SUMIF(ODPIS!B:B, A1045, ODPIS!G:G)</f>
        <v/>
      </c>
      <c r="I1045" s="2">
        <f>F1045 + G1045 - H1045</f>
        <v/>
      </c>
    </row>
    <row r="1046">
      <c r="A1046" t="n">
        <v>2995</v>
      </c>
      <c r="B1046" t="inlineStr">
        <is>
          <t>CHROMOSTAR</t>
        </is>
      </c>
      <c r="C1046" t="n">
        <v>36.5</v>
      </c>
      <c r="D1046" t="n">
        <v>42.5</v>
      </c>
      <c r="E1046" t="n">
        <v>295</v>
      </c>
      <c r="F1046" t="n">
        <v>0</v>
      </c>
      <c r="G1046">
        <f>SUMIF(PRISPELO!B:B, A1046, PRISPELO!G:G)</f>
        <v/>
      </c>
      <c r="H1046">
        <f>SUMIF(ODPIS!B:B, A1046, ODPIS!G:G)</f>
        <v/>
      </c>
      <c r="I1046" s="2">
        <f>F1046 + G1046 - H1046</f>
        <v/>
      </c>
    </row>
    <row r="1047">
      <c r="A1047" t="n">
        <v>2996</v>
      </c>
      <c r="B1047" t="inlineStr">
        <is>
          <t>TerraPrint silk sb</t>
        </is>
      </c>
      <c r="C1047" t="n">
        <v>70</v>
      </c>
      <c r="D1047" t="n">
        <v>100</v>
      </c>
      <c r="E1047" t="n">
        <v>80</v>
      </c>
      <c r="F1047" t="n">
        <v>0</v>
      </c>
      <c r="G1047">
        <f>SUMIF(PRISPELO!B:B, A1047, PRISPELO!G:G)</f>
        <v/>
      </c>
      <c r="H1047">
        <f>SUMIF(ODPIS!B:B, A1047, ODPIS!G:G)</f>
        <v/>
      </c>
      <c r="I1047" s="2">
        <f>F1047 + G1047 - H1047</f>
        <v/>
      </c>
    </row>
    <row r="1048">
      <c r="A1048" t="n">
        <v>2997</v>
      </c>
      <c r="B1048" t="inlineStr">
        <is>
          <t>AMBER GRAPHIC</t>
        </is>
      </c>
      <c r="C1048" t="n">
        <v>100</v>
      </c>
      <c r="D1048" t="n">
        <v>70</v>
      </c>
      <c r="E1048" t="n">
        <v>150</v>
      </c>
      <c r="F1048" t="n">
        <v>0</v>
      </c>
      <c r="G1048">
        <f>SUMIF(PRISPELO!B:B, A1048, PRISPELO!G:G)</f>
        <v/>
      </c>
      <c r="H1048">
        <f>SUMIF(ODPIS!B:B, A1048, ODPIS!G:G)</f>
        <v/>
      </c>
      <c r="I1048" s="2">
        <f>F1048 + G1048 - H1048</f>
        <v/>
      </c>
    </row>
    <row r="1049">
      <c r="A1049" t="n">
        <v>2998</v>
      </c>
      <c r="B1049" t="inlineStr">
        <is>
          <t>Multi Art Gloss</t>
        </is>
      </c>
      <c r="C1049" t="n">
        <v>100</v>
      </c>
      <c r="D1049" t="n">
        <v>70</v>
      </c>
      <c r="E1049" t="n">
        <v>200</v>
      </c>
      <c r="F1049" t="n">
        <v>0</v>
      </c>
      <c r="G1049">
        <f>SUMIF(PRISPELO!B:B, A1049, PRISPELO!G:G)</f>
        <v/>
      </c>
      <c r="H1049">
        <f>SUMIF(ODPIS!B:B, A1049, ODPIS!G:G)</f>
        <v/>
      </c>
      <c r="I1049" s="2">
        <f>F1049 + G1049 - H1049</f>
        <v/>
      </c>
    </row>
    <row r="1050">
      <c r="A1050" t="n">
        <v>2999</v>
      </c>
      <c r="B1050" t="inlineStr">
        <is>
          <t>GALERIE ART GLOSS</t>
        </is>
      </c>
      <c r="C1050" t="n">
        <v>100</v>
      </c>
      <c r="D1050" t="n">
        <v>70</v>
      </c>
      <c r="E1050" t="n">
        <v>250</v>
      </c>
      <c r="F1050" t="n">
        <v>0</v>
      </c>
      <c r="G1050">
        <f>SUMIF(PRISPELO!B:B, A1050, PRISPELO!G:G)</f>
        <v/>
      </c>
      <c r="H1050">
        <f>SUMIF(ODPIS!B:B, A1050, ODPIS!G:G)</f>
        <v/>
      </c>
      <c r="I1050" s="2">
        <f>F1050 + G1050 - H1050</f>
        <v/>
      </c>
    </row>
    <row r="1051">
      <c r="A1051" t="n">
        <v>3000</v>
      </c>
      <c r="B1051" t="inlineStr">
        <is>
          <t>Quatro silk</t>
        </is>
      </c>
      <c r="C1051" t="n">
        <v>64</v>
      </c>
      <c r="D1051" t="n">
        <v>90</v>
      </c>
      <c r="E1051" t="n">
        <v>115</v>
      </c>
      <c r="F1051" t="n">
        <v>0</v>
      </c>
      <c r="G1051">
        <f>SUMIF(PRISPELO!B:B, A1051, PRISPELO!G:G)</f>
        <v/>
      </c>
      <c r="H1051">
        <f>SUMIF(ODPIS!B:B, A1051, ODPIS!G:G)</f>
        <v/>
      </c>
      <c r="I1051" s="2">
        <f>F1051 + G1051 - H1051</f>
        <v/>
      </c>
    </row>
    <row r="1052">
      <c r="A1052" t="n">
        <v>3001</v>
      </c>
      <c r="B1052" t="inlineStr">
        <is>
          <t>Quatro silk</t>
        </is>
      </c>
      <c r="C1052" t="n">
        <v>70</v>
      </c>
      <c r="D1052" t="n">
        <v>100</v>
      </c>
      <c r="E1052" t="n">
        <v>170</v>
      </c>
      <c r="F1052" t="n">
        <v>0</v>
      </c>
      <c r="G1052">
        <f>SUMIF(PRISPELO!B:B, A1052, PRISPELO!G:G)</f>
        <v/>
      </c>
      <c r="H1052">
        <f>SUMIF(ODPIS!B:B, A1052, ODPIS!G:G)</f>
        <v/>
      </c>
      <c r="I1052" s="2">
        <f>F1052 + G1052 - H1052</f>
        <v/>
      </c>
    </row>
    <row r="1053">
      <c r="A1053" t="n">
        <v>3002</v>
      </c>
      <c r="B1053" t="inlineStr">
        <is>
          <t>Magno volume 1.o8</t>
        </is>
      </c>
      <c r="C1053" t="n">
        <v>100</v>
      </c>
      <c r="D1053" t="n">
        <v>70</v>
      </c>
      <c r="E1053" t="n">
        <v>90</v>
      </c>
      <c r="F1053" t="n">
        <v>600</v>
      </c>
      <c r="G1053">
        <f>SUMIF(PRISPELO!B:B, A1053, PRISPELO!G:G)</f>
        <v/>
      </c>
      <c r="H1053">
        <f>SUMIF(ODPIS!B:B, A1053, ODPIS!G:G)</f>
        <v/>
      </c>
      <c r="I1053" s="2">
        <f>F1053 + G1053 - H1053</f>
        <v/>
      </c>
    </row>
    <row r="1054">
      <c r="A1054" t="n">
        <v>3003</v>
      </c>
      <c r="B1054" t="inlineStr">
        <is>
          <t>Multi Art silk</t>
        </is>
      </c>
      <c r="C1054" t="n">
        <v>64</v>
      </c>
      <c r="D1054" t="n">
        <v>90</v>
      </c>
      <c r="E1054" t="n">
        <v>350</v>
      </c>
      <c r="F1054" t="n">
        <v>0</v>
      </c>
      <c r="G1054">
        <f>SUMIF(PRISPELO!B:B, A1054, PRISPELO!G:G)</f>
        <v/>
      </c>
      <c r="H1054">
        <f>SUMIF(ODPIS!B:B, A1054, ODPIS!G:G)</f>
        <v/>
      </c>
      <c r="I1054" s="2">
        <f>F1054 + G1054 - H1054</f>
        <v/>
      </c>
    </row>
    <row r="1055">
      <c r="A1055" t="n">
        <v>3004</v>
      </c>
      <c r="B1055" t="inlineStr">
        <is>
          <t>FEDRIGONI SYMBOL CARD PW</t>
        </is>
      </c>
      <c r="C1055" t="n">
        <v>102</v>
      </c>
      <c r="D1055" t="n">
        <v>72</v>
      </c>
      <c r="E1055" t="n">
        <v>350</v>
      </c>
      <c r="F1055" t="n">
        <v>0</v>
      </c>
      <c r="G1055">
        <f>SUMIF(PRISPELO!B:B, A1055, PRISPELO!G:G)</f>
        <v/>
      </c>
      <c r="H1055">
        <f>SUMIF(ODPIS!B:B, A1055, ODPIS!G:G)</f>
        <v/>
      </c>
      <c r="I1055" s="2">
        <f>F1055 + G1055 - H1055</f>
        <v/>
      </c>
    </row>
    <row r="1056">
      <c r="A1056" t="n">
        <v>3006</v>
      </c>
      <c r="B1056" t="inlineStr">
        <is>
          <t>FEDRIGONI SYMBOL F SATIN</t>
        </is>
      </c>
      <c r="C1056" t="n">
        <v>45</v>
      </c>
      <c r="D1056" t="n">
        <v>64</v>
      </c>
      <c r="E1056" t="n">
        <v>250</v>
      </c>
      <c r="F1056" t="n">
        <v>0</v>
      </c>
      <c r="G1056">
        <f>SUMIF(PRISPELO!B:B, A1056, PRISPELO!G:G)</f>
        <v/>
      </c>
      <c r="H1056">
        <f>SUMIF(ODPIS!B:B, A1056, ODPIS!G:G)</f>
        <v/>
      </c>
      <c r="I1056" s="2">
        <f>F1056 + G1056 - H1056</f>
        <v/>
      </c>
    </row>
    <row r="1057">
      <c r="A1057" t="n">
        <v>3007</v>
      </c>
      <c r="B1057" t="inlineStr">
        <is>
          <t>GALERIE ART SILK</t>
        </is>
      </c>
      <c r="C1057" t="n">
        <v>90</v>
      </c>
      <c r="D1057" t="n">
        <v>64</v>
      </c>
      <c r="E1057" t="n">
        <v>250</v>
      </c>
      <c r="F1057" t="n">
        <v>0</v>
      </c>
      <c r="G1057">
        <f>SUMIF(PRISPELO!B:B, A1057, PRISPELO!G:G)</f>
        <v/>
      </c>
      <c r="H1057">
        <f>SUMIF(ODPIS!B:B, A1057, ODPIS!G:G)</f>
        <v/>
      </c>
      <c r="I1057" s="2">
        <f>F1057 + G1057 - H1057</f>
        <v/>
      </c>
    </row>
    <row r="1058">
      <c r="A1058" t="n">
        <v>3008</v>
      </c>
      <c r="B1058" t="inlineStr">
        <is>
          <t>OLIN REGULAR ABSOLUTE WHITE</t>
        </is>
      </c>
      <c r="C1058" t="n">
        <v>46</v>
      </c>
      <c r="D1058" t="n">
        <v>64</v>
      </c>
      <c r="E1058" t="n">
        <v>120</v>
      </c>
      <c r="F1058" t="n">
        <v>0</v>
      </c>
      <c r="G1058">
        <f>SUMIF(PRISPELO!B:B, A1058, PRISPELO!G:G)</f>
        <v/>
      </c>
      <c r="H1058">
        <f>SUMIF(ODPIS!B:B, A1058, ODPIS!G:G)</f>
        <v/>
      </c>
      <c r="I1058" s="2">
        <f>F1058 + G1058 - H1058</f>
        <v/>
      </c>
    </row>
    <row r="1059">
      <c r="A1059" t="n">
        <v>3009</v>
      </c>
      <c r="B1059" t="inlineStr">
        <is>
          <t>OLIN REGULAR ABSOLUTE WHITE</t>
        </is>
      </c>
      <c r="C1059" t="n">
        <v>46</v>
      </c>
      <c r="D1059" t="n">
        <v>64</v>
      </c>
      <c r="E1059" t="n">
        <v>250</v>
      </c>
      <c r="F1059" t="n">
        <v>0</v>
      </c>
      <c r="G1059">
        <f>SUMIF(PRISPELO!B:B, A1059, PRISPELO!G:G)</f>
        <v/>
      </c>
      <c r="H1059">
        <f>SUMIF(ODPIS!B:B, A1059, ODPIS!G:G)</f>
        <v/>
      </c>
      <c r="I1059" s="2">
        <f>F1059 + G1059 - H1059</f>
        <v/>
      </c>
    </row>
    <row r="1060">
      <c r="A1060" t="n">
        <v>3010</v>
      </c>
      <c r="B1060" t="inlineStr">
        <is>
          <t>GALERIE ART GLOSS</t>
        </is>
      </c>
      <c r="C1060" t="n">
        <v>64</v>
      </c>
      <c r="D1060" t="n">
        <v>90</v>
      </c>
      <c r="E1060" t="n">
        <v>150</v>
      </c>
      <c r="F1060" t="n">
        <v>0</v>
      </c>
      <c r="G1060">
        <f>SUMIF(PRISPELO!B:B, A1060, PRISPELO!G:G)</f>
        <v/>
      </c>
      <c r="H1060">
        <f>SUMIF(ODPIS!B:B, A1060, ODPIS!G:G)</f>
        <v/>
      </c>
      <c r="I1060" s="2">
        <f>F1060 + G1060 - H1060</f>
        <v/>
      </c>
    </row>
    <row r="1061">
      <c r="A1061" t="n">
        <v>3011</v>
      </c>
      <c r="B1061" t="inlineStr">
        <is>
          <t>GALERIE ART MATT</t>
        </is>
      </c>
      <c r="C1061" t="n">
        <v>64</v>
      </c>
      <c r="D1061" t="n">
        <v>90</v>
      </c>
      <c r="E1061" t="n">
        <v>250</v>
      </c>
      <c r="F1061" t="n">
        <v>0</v>
      </c>
      <c r="G1061">
        <f>SUMIF(PRISPELO!B:B, A1061, PRISPELO!G:G)</f>
        <v/>
      </c>
      <c r="H1061">
        <f>SUMIF(ODPIS!B:B, A1061, ODPIS!G:G)</f>
        <v/>
      </c>
      <c r="I1061" s="2">
        <f>F1061 + G1061 - H1061</f>
        <v/>
      </c>
    </row>
    <row r="1062">
      <c r="A1062" t="n">
        <v>3012</v>
      </c>
      <c r="B1062" t="inlineStr">
        <is>
          <t>FEDRIGONI SYMBOL CARD 2SC</t>
        </is>
      </c>
      <c r="C1062" t="n">
        <v>72</v>
      </c>
      <c r="D1062" t="n">
        <v>102</v>
      </c>
      <c r="E1062" t="n">
        <v>300</v>
      </c>
      <c r="F1062" t="n">
        <v>0</v>
      </c>
      <c r="G1062">
        <f>SUMIF(PRISPELO!B:B, A1062, PRISPELO!G:G)</f>
        <v/>
      </c>
      <c r="H1062">
        <f>SUMIF(ODPIS!B:B, A1062, ODPIS!G:G)</f>
        <v/>
      </c>
      <c r="I1062" s="2">
        <f>F1062 + G1062 - H1062</f>
        <v/>
      </c>
    </row>
    <row r="1063">
      <c r="A1063" t="n">
        <v>3014</v>
      </c>
      <c r="B1063" t="inlineStr">
        <is>
          <t>samgloss</t>
        </is>
      </c>
      <c r="C1063" t="n">
        <v>70</v>
      </c>
      <c r="D1063" t="n">
        <v>100</v>
      </c>
      <c r="E1063" t="n">
        <v>170</v>
      </c>
      <c r="F1063" t="n">
        <v>0</v>
      </c>
      <c r="G1063">
        <f>SUMIF(PRISPELO!B:B, A1063, PRISPELO!G:G)</f>
        <v/>
      </c>
      <c r="H1063">
        <f>SUMIF(ODPIS!B:B, A1063, ODPIS!G:G)</f>
        <v/>
      </c>
      <c r="I1063" s="2">
        <f>F1063 + G1063 - H1063</f>
        <v/>
      </c>
    </row>
    <row r="1064">
      <c r="A1064" t="n">
        <v>3015</v>
      </c>
      <c r="B1064" t="inlineStr">
        <is>
          <t>recystar polar</t>
        </is>
      </c>
      <c r="C1064" t="n">
        <v>100</v>
      </c>
      <c r="D1064" t="n">
        <v>70</v>
      </c>
      <c r="E1064" t="n">
        <v>150</v>
      </c>
      <c r="F1064" t="n">
        <v>0</v>
      </c>
      <c r="G1064">
        <f>SUMIF(PRISPELO!B:B, A1064, PRISPELO!G:G)</f>
        <v/>
      </c>
      <c r="H1064">
        <f>SUMIF(ODPIS!B:B, A1064, ODPIS!G:G)</f>
        <v/>
      </c>
      <c r="I1064" s="2">
        <f>F1064 + G1064 - H1064</f>
        <v/>
      </c>
    </row>
    <row r="1065">
      <c r="A1065" t="n">
        <v>3017</v>
      </c>
      <c r="B1065" t="inlineStr">
        <is>
          <t>GALERIE ART GLOSS</t>
        </is>
      </c>
      <c r="C1065" t="n">
        <v>100</v>
      </c>
      <c r="D1065" t="n">
        <v>70</v>
      </c>
      <c r="E1065" t="n">
        <v>200</v>
      </c>
      <c r="F1065" t="n">
        <v>0</v>
      </c>
      <c r="G1065">
        <f>SUMIF(PRISPELO!B:B, A1065, PRISPELO!G:G)</f>
        <v/>
      </c>
      <c r="H1065">
        <f>SUMIF(ODPIS!B:B, A1065, ODPIS!G:G)</f>
        <v/>
      </c>
      <c r="I1065" s="2">
        <f>F1065 + G1065 - H1065</f>
        <v/>
      </c>
    </row>
    <row r="1066">
      <c r="A1066" t="n">
        <v>3018</v>
      </c>
      <c r="B1066" t="inlineStr">
        <is>
          <t>CYCLUS OFFSET</t>
        </is>
      </c>
      <c r="C1066" t="n">
        <v>90</v>
      </c>
      <c r="D1066" t="n">
        <v>64</v>
      </c>
      <c r="E1066" t="n">
        <v>115</v>
      </c>
      <c r="F1066" t="n">
        <v>600</v>
      </c>
      <c r="G1066">
        <f>SUMIF(PRISPELO!B:B, A1066, PRISPELO!G:G)</f>
        <v/>
      </c>
      <c r="H1066">
        <f>SUMIF(ODPIS!B:B, A1066, ODPIS!G:G)</f>
        <v/>
      </c>
      <c r="I1066" s="2">
        <f>F1066 + G1066 - H1066</f>
        <v/>
      </c>
    </row>
    <row r="1067">
      <c r="A1067" t="n">
        <v>3019</v>
      </c>
      <c r="B1067" t="inlineStr">
        <is>
          <t>ARCOSET</t>
        </is>
      </c>
      <c r="C1067" t="n">
        <v>100</v>
      </c>
      <c r="D1067" t="n">
        <v>70</v>
      </c>
      <c r="E1067" t="n">
        <v>80</v>
      </c>
      <c r="F1067" t="n">
        <v>0</v>
      </c>
      <c r="G1067">
        <f>SUMIF(PRISPELO!B:B, A1067, PRISPELO!G:G)</f>
        <v/>
      </c>
      <c r="H1067">
        <f>SUMIF(ODPIS!B:B, A1067, ODPIS!G:G)</f>
        <v/>
      </c>
      <c r="I1067" s="2">
        <f>F1067 + G1067 - H1067</f>
        <v/>
      </c>
    </row>
    <row r="1068">
      <c r="A1068" t="n">
        <v>3020</v>
      </c>
      <c r="B1068" t="inlineStr">
        <is>
          <t>Magno natural offset</t>
        </is>
      </c>
      <c r="C1068" t="n">
        <v>90</v>
      </c>
      <c r="D1068" t="n">
        <v>64</v>
      </c>
      <c r="E1068" t="n">
        <v>140</v>
      </c>
      <c r="F1068" t="n">
        <v>0</v>
      </c>
      <c r="G1068">
        <f>SUMIF(PRISPELO!B:B, A1068, PRISPELO!G:G)</f>
        <v/>
      </c>
      <c r="H1068">
        <f>SUMIF(ODPIS!B:B, A1068, ODPIS!G:G)</f>
        <v/>
      </c>
      <c r="I1068" s="2">
        <f>F1068 + G1068 - H1068</f>
        <v/>
      </c>
    </row>
    <row r="1069">
      <c r="A1069" t="n">
        <v>3023</v>
      </c>
      <c r="B1069" t="inlineStr">
        <is>
          <t>IQ PRINT</t>
        </is>
      </c>
      <c r="C1069" t="n">
        <v>100</v>
      </c>
      <c r="D1069" t="n">
        <v>70</v>
      </c>
      <c r="E1069" t="n">
        <v>250</v>
      </c>
      <c r="F1069" t="n">
        <v>0</v>
      </c>
      <c r="G1069">
        <f>SUMIF(PRISPELO!B:B, A1069, PRISPELO!G:G)</f>
        <v/>
      </c>
      <c r="H1069">
        <f>SUMIF(ODPIS!B:B, A1069, ODPIS!G:G)</f>
        <v/>
      </c>
      <c r="I1069" s="2">
        <f>F1069 + G1069 - H1069</f>
        <v/>
      </c>
    </row>
    <row r="1070">
      <c r="A1070" t="n">
        <v>3025</v>
      </c>
      <c r="B1070" t="inlineStr">
        <is>
          <t>MOHAWK OPTI</t>
        </is>
      </c>
      <c r="C1070" t="n">
        <v>72</v>
      </c>
      <c r="D1070" t="n">
        <v>102</v>
      </c>
      <c r="E1070" t="n">
        <v>350</v>
      </c>
      <c r="F1070" t="n">
        <v>0</v>
      </c>
      <c r="G1070">
        <f>SUMIF(PRISPELO!B:B, A1070, PRISPELO!G:G)</f>
        <v/>
      </c>
      <c r="H1070">
        <f>SUMIF(ODPIS!B:B, A1070, ODPIS!G:G)</f>
        <v/>
      </c>
      <c r="I1070" s="2">
        <f>F1070 + G1070 - H1070</f>
        <v/>
      </c>
    </row>
    <row r="1071">
      <c r="A1071" t="n">
        <v>2251</v>
      </c>
      <c r="B1071" t="inlineStr">
        <is>
          <t>kuverta C6/5 OL s.trak ELCO</t>
        </is>
      </c>
      <c r="C1071" t="n">
        <v>11.4</v>
      </c>
      <c r="D1071" t="n">
        <v>22.9</v>
      </c>
      <c r="E1071" t="n">
        <v>80</v>
      </c>
      <c r="F1071" t="n">
        <v>0</v>
      </c>
      <c r="G1071">
        <f>SUMIF(PRISPELO!B:B, A1071, PRISPELO!G:G)</f>
        <v/>
      </c>
      <c r="H1071">
        <f>SUMIF(ODPIS!B:B, A1071, ODPIS!G:G)</f>
        <v/>
      </c>
      <c r="I1071" s="2">
        <f>F1071 + G1071 - H1071</f>
        <v/>
      </c>
    </row>
    <row r="1072">
      <c r="A1072" t="n">
        <v>3026</v>
      </c>
      <c r="B1072" t="inlineStr">
        <is>
          <t>Garda gloss</t>
        </is>
      </c>
      <c r="C1072" t="n">
        <v>64</v>
      </c>
      <c r="D1072" t="n">
        <v>90</v>
      </c>
      <c r="E1072" t="n">
        <v>90</v>
      </c>
      <c r="F1072" t="n">
        <v>0</v>
      </c>
      <c r="G1072">
        <f>SUMIF(PRISPELO!B:B, A1072, PRISPELO!G:G)</f>
        <v/>
      </c>
      <c r="H1072">
        <f>SUMIF(ODPIS!B:B, A1072, ODPIS!G:G)</f>
        <v/>
      </c>
      <c r="I1072" s="2">
        <f>F1072 + G1072 - H1072</f>
        <v/>
      </c>
    </row>
    <row r="1073">
      <c r="A1073" t="n">
        <v>3027</v>
      </c>
      <c r="B1073" t="inlineStr">
        <is>
          <t>SAMMATT PREMIUM</t>
        </is>
      </c>
      <c r="C1073" t="n">
        <v>90</v>
      </c>
      <c r="D1073" t="n">
        <v>64</v>
      </c>
      <c r="E1073" t="n">
        <v>115</v>
      </c>
      <c r="F1073" t="n">
        <v>0</v>
      </c>
      <c r="G1073">
        <f>SUMIF(PRISPELO!B:B, A1073, PRISPELO!G:G)</f>
        <v/>
      </c>
      <c r="H1073">
        <f>SUMIF(ODPIS!B:B, A1073, ODPIS!G:G)</f>
        <v/>
      </c>
      <c r="I1073" s="2">
        <f>F1073 + G1073 - H1073</f>
        <v/>
      </c>
    </row>
    <row r="1074">
      <c r="A1074" t="n">
        <v>3029</v>
      </c>
      <c r="B1074" t="inlineStr">
        <is>
          <t>KUVERTA C4 brez okna z S.trakom</t>
        </is>
      </c>
      <c r="C1074" t="n">
        <v>229</v>
      </c>
      <c r="D1074" t="n">
        <v>324</v>
      </c>
      <c r="E1074" t="n">
        <v>100</v>
      </c>
      <c r="F1074" t="n">
        <v>0</v>
      </c>
      <c r="G1074">
        <f>SUMIF(PRISPELO!B:B, A1074, PRISPELO!G:G)</f>
        <v/>
      </c>
      <c r="H1074">
        <f>SUMIF(ODPIS!B:B, A1074, ODPIS!G:G)</f>
        <v/>
      </c>
      <c r="I1074" s="2">
        <f>F1074 + G1074 - H1074</f>
        <v/>
      </c>
    </row>
    <row r="1075">
      <c r="A1075" t="n">
        <v>3030</v>
      </c>
      <c r="B1075" t="inlineStr">
        <is>
          <t>DNS Premium</t>
        </is>
      </c>
      <c r="C1075" t="n">
        <v>90</v>
      </c>
      <c r="D1075" t="n">
        <v>64</v>
      </c>
      <c r="E1075" t="n">
        <v>80</v>
      </c>
      <c r="F1075" t="n">
        <v>8000</v>
      </c>
      <c r="G1075">
        <f>SUMIF(PRISPELO!B:B, A1075, PRISPELO!G:G)</f>
        <v/>
      </c>
      <c r="H1075">
        <f>SUMIF(ODPIS!B:B, A1075, ODPIS!G:G)</f>
        <v/>
      </c>
      <c r="I1075" s="2">
        <f>F1075 + G1075 - H1075</f>
        <v/>
      </c>
    </row>
    <row r="1076">
      <c r="A1076" t="n">
        <v>3032</v>
      </c>
      <c r="B1076" t="inlineStr">
        <is>
          <t>OLIN REGULAR ABSOLUTE WHITE</t>
        </is>
      </c>
      <c r="C1076" t="n">
        <v>46</v>
      </c>
      <c r="D1076" t="n">
        <v>64</v>
      </c>
      <c r="E1076" t="n">
        <v>170</v>
      </c>
      <c r="F1076" t="n">
        <v>0</v>
      </c>
      <c r="G1076">
        <f>SUMIF(PRISPELO!B:B, A1076, PRISPELO!G:G)</f>
        <v/>
      </c>
      <c r="H1076">
        <f>SUMIF(ODPIS!B:B, A1076, ODPIS!G:G)</f>
        <v/>
      </c>
      <c r="I1076" s="2">
        <f>F1076 + G1076 - H1076</f>
        <v/>
      </c>
    </row>
    <row r="1077">
      <c r="A1077" t="n">
        <v>3034</v>
      </c>
      <c r="B1077" t="inlineStr">
        <is>
          <t>OLIN REGULAR ABSOLUTE WHITE</t>
        </is>
      </c>
      <c r="C1077" t="n">
        <v>46</v>
      </c>
      <c r="D1077" t="n">
        <v>64</v>
      </c>
      <c r="E1077" t="n">
        <v>90</v>
      </c>
      <c r="F1077" t="n">
        <v>0</v>
      </c>
      <c r="G1077">
        <f>SUMIF(PRISPELO!B:B, A1077, PRISPELO!G:G)</f>
        <v/>
      </c>
      <c r="H1077">
        <f>SUMIF(ODPIS!B:B, A1077, ODPIS!G:G)</f>
        <v/>
      </c>
      <c r="I1077" s="2">
        <f>F1077 + G1077 - H1077</f>
        <v/>
      </c>
    </row>
    <row r="1078">
      <c r="A1078" t="n">
        <v>3035</v>
      </c>
      <c r="B1078" t="inlineStr">
        <is>
          <t>Exprint</t>
        </is>
      </c>
      <c r="C1078" t="n">
        <v>71</v>
      </c>
      <c r="D1078" t="n">
        <v>101</v>
      </c>
      <c r="E1078" t="n">
        <v>250</v>
      </c>
      <c r="F1078" t="n">
        <v>0</v>
      </c>
      <c r="G1078">
        <f>SUMIF(PRISPELO!B:B, A1078, PRISPELO!G:G)</f>
        <v/>
      </c>
      <c r="H1078">
        <f>SUMIF(ODPIS!B:B, A1078, ODPIS!G:G)</f>
        <v/>
      </c>
      <c r="I1078" s="2">
        <f>F1078 + G1078 - H1078</f>
        <v/>
      </c>
    </row>
    <row r="1079">
      <c r="A1079" t="n">
        <v>3036</v>
      </c>
      <c r="B1079" t="inlineStr">
        <is>
          <t>GALERIE ART GLOSS</t>
        </is>
      </c>
      <c r="C1079" t="n">
        <v>100</v>
      </c>
      <c r="D1079" t="n">
        <v>70</v>
      </c>
      <c r="E1079" t="n">
        <v>115</v>
      </c>
      <c r="F1079" t="n">
        <v>0</v>
      </c>
      <c r="G1079">
        <f>SUMIF(PRISPELO!B:B, A1079, PRISPELO!G:G)</f>
        <v/>
      </c>
      <c r="H1079">
        <f>SUMIF(ODPIS!B:B, A1079, ODPIS!G:G)</f>
        <v/>
      </c>
      <c r="I1079" s="2">
        <f>F1079 + G1079 - H1079</f>
        <v/>
      </c>
    </row>
    <row r="1080">
      <c r="A1080" t="n">
        <v>3037</v>
      </c>
      <c r="B1080" t="inlineStr">
        <is>
          <t>GALERIE ART SILK</t>
        </is>
      </c>
      <c r="C1080" t="n">
        <v>45</v>
      </c>
      <c r="D1080" t="n">
        <v>64</v>
      </c>
      <c r="E1080" t="n">
        <v>200</v>
      </c>
      <c r="F1080" t="n">
        <v>0</v>
      </c>
      <c r="G1080">
        <f>SUMIF(PRISPELO!B:B, A1080, PRISPELO!G:G)</f>
        <v/>
      </c>
      <c r="H1080">
        <f>SUMIF(ODPIS!B:B, A1080, ODPIS!G:G)</f>
        <v/>
      </c>
      <c r="I1080" s="2">
        <f>F1080 + G1080 - H1080</f>
        <v/>
      </c>
    </row>
    <row r="1081">
      <c r="A1081" t="n">
        <v>3038</v>
      </c>
      <c r="B1081" t="inlineStr">
        <is>
          <t>GALERIE ART SILK</t>
        </is>
      </c>
      <c r="C1081" t="n">
        <v>64</v>
      </c>
      <c r="D1081" t="n">
        <v>45</v>
      </c>
      <c r="E1081" t="n">
        <v>100</v>
      </c>
      <c r="F1081" t="n">
        <v>0</v>
      </c>
      <c r="G1081">
        <f>SUMIF(PRISPELO!B:B, A1081, PRISPELO!G:G)</f>
        <v/>
      </c>
      <c r="H1081">
        <f>SUMIF(ODPIS!B:B, A1081, ODPIS!G:G)</f>
        <v/>
      </c>
      <c r="I1081" s="2">
        <f>F1081 + G1081 - H1081</f>
        <v/>
      </c>
    </row>
    <row r="1082">
      <c r="A1082" t="n">
        <v>3039</v>
      </c>
      <c r="B1082" t="inlineStr">
        <is>
          <t>IDEM GIROFORM BEL</t>
        </is>
      </c>
      <c r="C1082" t="n">
        <v>45</v>
      </c>
      <c r="D1082" t="n">
        <v>64</v>
      </c>
      <c r="E1082" t="n">
        <v>80</v>
      </c>
      <c r="F1082" t="n">
        <v>0</v>
      </c>
      <c r="G1082">
        <f>SUMIF(PRISPELO!B:B, A1082, PRISPELO!G:G)</f>
        <v/>
      </c>
      <c r="H1082">
        <f>SUMIF(ODPIS!B:B, A1082, ODPIS!G:G)</f>
        <v/>
      </c>
      <c r="I1082" s="2">
        <f>F1082 + G1082 - H1082</f>
        <v/>
      </c>
    </row>
    <row r="1083">
      <c r="A1083" t="n">
        <v>3040</v>
      </c>
      <c r="B1083" t="inlineStr">
        <is>
          <t>Magno gloss</t>
        </is>
      </c>
      <c r="C1083" t="n">
        <v>70</v>
      </c>
      <c r="D1083" t="n">
        <v>100</v>
      </c>
      <c r="E1083" t="n">
        <v>300</v>
      </c>
      <c r="F1083" t="n">
        <v>0</v>
      </c>
      <c r="G1083">
        <f>SUMIF(PRISPELO!B:B, A1083, PRISPELO!G:G)</f>
        <v/>
      </c>
      <c r="H1083">
        <f>SUMIF(ODPIS!B:B, A1083, ODPIS!G:G)</f>
        <v/>
      </c>
      <c r="I1083" s="2">
        <f>F1083 + G1083 - H1083</f>
        <v/>
      </c>
    </row>
    <row r="1084">
      <c r="A1084" t="n">
        <v>3041</v>
      </c>
      <c r="B1084" t="inlineStr">
        <is>
          <t>GALERIE ART SILK</t>
        </is>
      </c>
      <c r="C1084" t="n">
        <v>70</v>
      </c>
      <c r="D1084" t="n">
        <v>100</v>
      </c>
      <c r="E1084" t="n">
        <v>250</v>
      </c>
      <c r="F1084" t="n">
        <v>0</v>
      </c>
      <c r="G1084">
        <f>SUMIF(PRISPELO!B:B, A1084, PRISPELO!G:G)</f>
        <v/>
      </c>
      <c r="H1084">
        <f>SUMIF(ODPIS!B:B, A1084, ODPIS!G:G)</f>
        <v/>
      </c>
      <c r="I1084" s="2">
        <f>F1084 + G1084 - H1084</f>
        <v/>
      </c>
    </row>
    <row r="1085">
      <c r="A1085" t="n">
        <v>3042</v>
      </c>
      <c r="B1085" t="inlineStr">
        <is>
          <t>Chromolux 900E</t>
        </is>
      </c>
      <c r="C1085" t="n">
        <v>70</v>
      </c>
      <c r="D1085" t="n">
        <v>100</v>
      </c>
      <c r="E1085" t="n">
        <v>80</v>
      </c>
      <c r="F1085" t="n">
        <v>0</v>
      </c>
      <c r="G1085">
        <f>SUMIF(PRISPELO!B:B, A1085, PRISPELO!G:G)</f>
        <v/>
      </c>
      <c r="H1085">
        <f>SUMIF(ODPIS!B:B, A1085, ODPIS!G:G)</f>
        <v/>
      </c>
      <c r="I1085" s="2">
        <f>F1085 + G1085 - H1085</f>
        <v/>
      </c>
    </row>
    <row r="1086">
      <c r="A1086" t="n">
        <v>3043</v>
      </c>
      <c r="B1086" t="inlineStr">
        <is>
          <t>LUXLINE UU 1.0 mm  LEPENKA</t>
        </is>
      </c>
      <c r="C1086" t="n">
        <v>71</v>
      </c>
      <c r="D1086" t="n">
        <v>101</v>
      </c>
      <c r="E1086" t="n">
        <v>630</v>
      </c>
      <c r="F1086" t="n">
        <v>0</v>
      </c>
      <c r="G1086">
        <f>SUMIF(PRISPELO!B:B, A1086, PRISPELO!G:G)</f>
        <v/>
      </c>
      <c r="H1086">
        <f>SUMIF(ODPIS!B:B, A1086, ODPIS!G:G)</f>
        <v/>
      </c>
      <c r="I1086" s="2">
        <f>F1086 + G1086 - H1086</f>
        <v/>
      </c>
    </row>
    <row r="1087">
      <c r="A1087" t="n">
        <v>3044</v>
      </c>
      <c r="B1087" t="inlineStr">
        <is>
          <t>GALERIE ART GLOSS</t>
        </is>
      </c>
      <c r="C1087" t="n">
        <v>64</v>
      </c>
      <c r="D1087" t="n">
        <v>45</v>
      </c>
      <c r="E1087" t="n">
        <v>130</v>
      </c>
      <c r="F1087" t="n">
        <v>0</v>
      </c>
      <c r="G1087">
        <f>SUMIF(PRISPELO!B:B, A1087, PRISPELO!G:G)</f>
        <v/>
      </c>
      <c r="H1087">
        <f>SUMIF(ODPIS!B:B, A1087, ODPIS!G:G)</f>
        <v/>
      </c>
      <c r="I1087" s="2">
        <f>F1087 + G1087 - H1087</f>
        <v/>
      </c>
    </row>
    <row r="1088">
      <c r="A1088" t="n">
        <v>3045</v>
      </c>
      <c r="B1088" t="inlineStr">
        <is>
          <t>Symbol Freelife Satin</t>
        </is>
      </c>
      <c r="C1088" t="n">
        <v>50</v>
      </c>
      <c r="D1088" t="n">
        <v>70</v>
      </c>
      <c r="E1088" t="n">
        <v>200</v>
      </c>
      <c r="F1088" t="n">
        <v>0</v>
      </c>
      <c r="G1088">
        <f>SUMIF(PRISPELO!B:B, A1088, PRISPELO!G:G)</f>
        <v/>
      </c>
      <c r="H1088">
        <f>SUMIF(ODPIS!B:B, A1088, ODPIS!G:G)</f>
        <v/>
      </c>
      <c r="I1088" s="2">
        <f>F1088 + G1088 - H1088</f>
        <v/>
      </c>
    </row>
    <row r="1089">
      <c r="A1089" t="n">
        <v>3046</v>
      </c>
      <c r="B1089" t="inlineStr">
        <is>
          <t>Royalcoat premium gloss</t>
        </is>
      </c>
      <c r="C1089" t="n">
        <v>70</v>
      </c>
      <c r="D1089" t="n">
        <v>100</v>
      </c>
      <c r="E1089" t="n">
        <v>250</v>
      </c>
      <c r="F1089" t="n">
        <v>0</v>
      </c>
      <c r="G1089">
        <f>SUMIF(PRISPELO!B:B, A1089, PRISPELO!G:G)</f>
        <v/>
      </c>
      <c r="H1089">
        <f>SUMIF(ODPIS!B:B, A1089, ODPIS!G:G)</f>
        <v/>
      </c>
      <c r="I1089" s="2">
        <f>F1089 + G1089 - H1089</f>
        <v/>
      </c>
    </row>
    <row r="1090">
      <c r="A1090" t="n">
        <v>3047</v>
      </c>
      <c r="B1090" t="inlineStr">
        <is>
          <t>Royalcoat premium silk</t>
        </is>
      </c>
      <c r="C1090" t="n">
        <v>100</v>
      </c>
      <c r="D1090" t="n">
        <v>70</v>
      </c>
      <c r="E1090" t="n">
        <v>200</v>
      </c>
      <c r="F1090" t="n">
        <v>100</v>
      </c>
      <c r="G1090">
        <f>SUMIF(PRISPELO!B:B, A1090, PRISPELO!G:G)</f>
        <v/>
      </c>
      <c r="H1090">
        <f>SUMIF(ODPIS!B:B, A1090, ODPIS!G:G)</f>
        <v/>
      </c>
      <c r="I1090" s="2">
        <f>F1090 + G1090 - H1090</f>
        <v/>
      </c>
    </row>
    <row r="1091">
      <c r="A1091" t="n">
        <v>3048</v>
      </c>
      <c r="B1091" t="inlineStr">
        <is>
          <t>Royalcoat premium silk</t>
        </is>
      </c>
      <c r="C1091" t="n">
        <v>102</v>
      </c>
      <c r="D1091" t="n">
        <v>72</v>
      </c>
      <c r="E1091" t="n">
        <v>350</v>
      </c>
      <c r="F1091" t="n">
        <v>0</v>
      </c>
      <c r="G1091">
        <f>SUMIF(PRISPELO!B:B, A1091, PRISPELO!G:G)</f>
        <v/>
      </c>
      <c r="H1091">
        <f>SUMIF(ODPIS!B:B, A1091, ODPIS!G:G)</f>
        <v/>
      </c>
      <c r="I1091" s="2">
        <f>F1091 + G1091 - H1091</f>
        <v/>
      </c>
    </row>
    <row r="1092">
      <c r="A1092" t="n">
        <v>3049</v>
      </c>
      <c r="B1092" t="inlineStr">
        <is>
          <t>Royalcoat premium silk</t>
        </is>
      </c>
      <c r="C1092" t="n">
        <v>100</v>
      </c>
      <c r="D1092" t="n">
        <v>70</v>
      </c>
      <c r="E1092" t="n">
        <v>250</v>
      </c>
      <c r="F1092" t="n">
        <v>0</v>
      </c>
      <c r="G1092">
        <f>SUMIF(PRISPELO!B:B, A1092, PRISPELO!G:G)</f>
        <v/>
      </c>
      <c r="H1092">
        <f>SUMIF(ODPIS!B:B, A1092, ODPIS!G:G)</f>
        <v/>
      </c>
      <c r="I1092" s="2">
        <f>F1092 + G1092 - H1092</f>
        <v/>
      </c>
    </row>
    <row r="1093">
      <c r="A1093" t="n">
        <v>3050</v>
      </c>
      <c r="B1093" t="inlineStr">
        <is>
          <t>Nivis next matt</t>
        </is>
      </c>
      <c r="C1093" t="n">
        <v>64</v>
      </c>
      <c r="D1093" t="n">
        <v>90</v>
      </c>
      <c r="E1093" t="n">
        <v>115</v>
      </c>
      <c r="F1093" t="n">
        <v>0</v>
      </c>
      <c r="G1093">
        <f>SUMIF(PRISPELO!B:B, A1093, PRISPELO!G:G)</f>
        <v/>
      </c>
      <c r="H1093">
        <f>SUMIF(ODPIS!B:B, A1093, ODPIS!G:G)</f>
        <v/>
      </c>
      <c r="I1093" s="2">
        <f>F1093 + G1093 - H1093</f>
        <v/>
      </c>
    </row>
    <row r="1094">
      <c r="A1094" t="n">
        <v>3051</v>
      </c>
      <c r="B1094" t="inlineStr">
        <is>
          <t>Magno satin</t>
        </is>
      </c>
      <c r="C1094" t="n">
        <v>69.8</v>
      </c>
      <c r="D1094" t="n">
        <v>33.2</v>
      </c>
      <c r="E1094" t="n">
        <v>250</v>
      </c>
      <c r="F1094" t="n">
        <v>0</v>
      </c>
      <c r="G1094">
        <f>SUMIF(PRISPELO!B:B, A1094, PRISPELO!G:G)</f>
        <v/>
      </c>
      <c r="H1094">
        <f>SUMIF(ODPIS!B:B, A1094, ODPIS!G:G)</f>
        <v/>
      </c>
      <c r="I1094" s="2">
        <f>F1094 + G1094 - H1094</f>
        <v/>
      </c>
    </row>
    <row r="1095">
      <c r="A1095" t="n">
        <v>3052</v>
      </c>
      <c r="B1095" t="inlineStr">
        <is>
          <t>TPG Galaxy ice white</t>
        </is>
      </c>
      <c r="C1095" t="n">
        <v>70</v>
      </c>
      <c r="D1095" t="n">
        <v>100</v>
      </c>
      <c r="E1095" t="n">
        <v>300</v>
      </c>
      <c r="F1095" t="n">
        <v>0</v>
      </c>
      <c r="G1095">
        <f>SUMIF(PRISPELO!B:B, A1095, PRISPELO!G:G)</f>
        <v/>
      </c>
      <c r="H1095">
        <f>SUMIF(ODPIS!B:B, A1095, ODPIS!G:G)</f>
        <v/>
      </c>
      <c r="I1095" s="2">
        <f>F1095 + G1095 - H1095</f>
        <v/>
      </c>
    </row>
    <row r="1096">
      <c r="A1096" t="n">
        <v>3053</v>
      </c>
      <c r="B1096" t="inlineStr">
        <is>
          <t>Royalcoat premium silk</t>
        </is>
      </c>
      <c r="C1096" t="n">
        <v>90</v>
      </c>
      <c r="D1096" t="n">
        <v>64</v>
      </c>
      <c r="E1096" t="n">
        <v>300</v>
      </c>
      <c r="F1096" t="n">
        <v>0</v>
      </c>
      <c r="G1096">
        <f>SUMIF(PRISPELO!B:B, A1096, PRISPELO!G:G)</f>
        <v/>
      </c>
      <c r="H1096">
        <f>SUMIF(ODPIS!B:B, A1096, ODPIS!G:G)</f>
        <v/>
      </c>
      <c r="I1096" s="2">
        <f>F1096 + G1096 - H1096</f>
        <v/>
      </c>
    </row>
    <row r="1097">
      <c r="A1097" t="n">
        <v>3054</v>
      </c>
      <c r="B1097" t="inlineStr">
        <is>
          <t>Royalcoat premium gloss</t>
        </is>
      </c>
      <c r="C1097" t="n">
        <v>90</v>
      </c>
      <c r="D1097" t="n">
        <v>64</v>
      </c>
      <c r="E1097" t="n">
        <v>100</v>
      </c>
      <c r="F1097" t="n">
        <v>150</v>
      </c>
      <c r="G1097">
        <f>SUMIF(PRISPELO!B:B, A1097, PRISPELO!G:G)</f>
        <v/>
      </c>
      <c r="H1097">
        <f>SUMIF(ODPIS!B:B, A1097, ODPIS!G:G)</f>
        <v/>
      </c>
      <c r="I1097" s="2">
        <f>F1097 + G1097 - H1097</f>
        <v/>
      </c>
    </row>
    <row r="1098">
      <c r="A1098" t="n">
        <v>3055</v>
      </c>
      <c r="B1098" t="inlineStr">
        <is>
          <t>Royalcoat premium silk</t>
        </is>
      </c>
      <c r="C1098" t="n">
        <v>64</v>
      </c>
      <c r="D1098" t="n">
        <v>90</v>
      </c>
      <c r="E1098" t="n">
        <v>250</v>
      </c>
      <c r="F1098" t="n">
        <v>150</v>
      </c>
      <c r="G1098">
        <f>SUMIF(PRISPELO!B:B, A1098, PRISPELO!G:G)</f>
        <v/>
      </c>
      <c r="H1098">
        <f>SUMIF(ODPIS!B:B, A1098, ODPIS!G:G)</f>
        <v/>
      </c>
      <c r="I1098" s="2">
        <f>F1098 + G1098 - H1098</f>
        <v/>
      </c>
    </row>
    <row r="1099">
      <c r="A1099" t="n">
        <v>3056</v>
      </c>
      <c r="B1099" t="inlineStr">
        <is>
          <t>Royalcoat premium silk</t>
        </is>
      </c>
      <c r="C1099" t="n">
        <v>70</v>
      </c>
      <c r="D1099" t="n">
        <v>100</v>
      </c>
      <c r="E1099" t="n">
        <v>130</v>
      </c>
      <c r="F1099" t="n">
        <v>0</v>
      </c>
      <c r="G1099">
        <f>SUMIF(PRISPELO!B:B, A1099, PRISPELO!G:G)</f>
        <v/>
      </c>
      <c r="H1099">
        <f>SUMIF(ODPIS!B:B, A1099, ODPIS!G:G)</f>
        <v/>
      </c>
      <c r="I1099" s="2">
        <f>F1099 + G1099 - H1099</f>
        <v/>
      </c>
    </row>
    <row r="1100">
      <c r="A1100" t="n">
        <v>1527</v>
      </c>
      <c r="B1100" t="inlineStr">
        <is>
          <t>Kuverta amerikanka BO EDERA.S.trak</t>
        </is>
      </c>
      <c r="C1100" t="n">
        <v>11</v>
      </c>
      <c r="D1100" t="n">
        <v>23</v>
      </c>
      <c r="E1100" t="n">
        <v>90</v>
      </c>
      <c r="F1100" t="n">
        <v>0</v>
      </c>
      <c r="G1100">
        <f>SUMIF(PRISPELO!B:B, A1100, PRISPELO!G:G)</f>
        <v/>
      </c>
      <c r="H1100">
        <f>SUMIF(ODPIS!B:B, A1100, ODPIS!G:G)</f>
        <v/>
      </c>
      <c r="I1100" s="2">
        <f>F1100 + G1100 - H1100</f>
        <v/>
      </c>
    </row>
    <row r="1101">
      <c r="A1101" t="n">
        <v>1843</v>
      </c>
      <c r="B1101" t="inlineStr">
        <is>
          <t>Kuverta amerikanka DO EDERA S.trak</t>
        </is>
      </c>
      <c r="C1101" t="n">
        <v>11</v>
      </c>
      <c r="D1101" t="n">
        <v>23</v>
      </c>
      <c r="E1101" t="n">
        <v>90</v>
      </c>
      <c r="F1101" t="n">
        <v>0</v>
      </c>
      <c r="G1101">
        <f>SUMIF(PRISPELO!B:B, A1101, PRISPELO!G:G)</f>
        <v/>
      </c>
      <c r="H1101">
        <f>SUMIF(ODPIS!B:B, A1101, ODPIS!G:G)</f>
        <v/>
      </c>
      <c r="I1101" s="2">
        <f>F1101 + G1101 - H1101</f>
        <v/>
      </c>
    </row>
    <row r="1102">
      <c r="A1102" t="n">
        <v>3057</v>
      </c>
      <c r="B1102" t="inlineStr">
        <is>
          <t>Royalcoat premium silk</t>
        </is>
      </c>
      <c r="C1102" t="n">
        <v>64</v>
      </c>
      <c r="D1102" t="n">
        <v>90</v>
      </c>
      <c r="E1102" t="n">
        <v>150</v>
      </c>
      <c r="F1102" t="n">
        <v>0</v>
      </c>
      <c r="G1102">
        <f>SUMIF(PRISPELO!B:B, A1102, PRISPELO!G:G)</f>
        <v/>
      </c>
      <c r="H1102">
        <f>SUMIF(ODPIS!B:B, A1102, ODPIS!G:G)</f>
        <v/>
      </c>
      <c r="I1102" s="2">
        <f>F1102 + G1102 - H1102</f>
        <v/>
      </c>
    </row>
    <row r="1103">
      <c r="A1103" t="n">
        <v>3058</v>
      </c>
      <c r="B1103" t="inlineStr">
        <is>
          <t>Royalcoat premium silk</t>
        </is>
      </c>
      <c r="C1103" t="n">
        <v>100</v>
      </c>
      <c r="D1103" t="n">
        <v>70</v>
      </c>
      <c r="E1103" t="n">
        <v>100</v>
      </c>
      <c r="F1103" t="n">
        <v>0</v>
      </c>
      <c r="G1103">
        <f>SUMIF(PRISPELO!B:B, A1103, PRISPELO!G:G)</f>
        <v/>
      </c>
      <c r="H1103">
        <f>SUMIF(ODPIS!B:B, A1103, ODPIS!G:G)</f>
        <v/>
      </c>
      <c r="I1103" s="2">
        <f>F1103 + G1103 - H1103</f>
        <v/>
      </c>
    </row>
    <row r="1104">
      <c r="A1104" t="n">
        <v>3059</v>
      </c>
      <c r="B1104" t="inlineStr">
        <is>
          <t>Magno natural offset</t>
        </is>
      </c>
      <c r="C1104" t="n">
        <v>70</v>
      </c>
      <c r="D1104" t="n">
        <v>100</v>
      </c>
      <c r="E1104" t="n">
        <v>80</v>
      </c>
      <c r="F1104" t="n">
        <v>0</v>
      </c>
      <c r="G1104">
        <f>SUMIF(PRISPELO!B:B, A1104, PRISPELO!G:G)</f>
        <v/>
      </c>
      <c r="H1104">
        <f>SUMIF(ODPIS!B:B, A1104, ODPIS!G:G)</f>
        <v/>
      </c>
      <c r="I1104" s="2">
        <f>F1104 + G1104 - H1104</f>
        <v/>
      </c>
    </row>
    <row r="1105">
      <c r="A1105" t="n">
        <v>2447</v>
      </c>
      <c r="B1105" t="inlineStr">
        <is>
          <t>Kuverte Olin regular cream BO</t>
        </is>
      </c>
      <c r="C1105" t="n">
        <v>22</v>
      </c>
      <c r="D1105" t="n">
        <v>11</v>
      </c>
      <c r="E1105" t="n">
        <v>90</v>
      </c>
      <c r="F1105" t="n">
        <v>0</v>
      </c>
      <c r="G1105">
        <f>SUMIF(PRISPELO!B:B, A1105, PRISPELO!G:G)</f>
        <v/>
      </c>
      <c r="H1105">
        <f>SUMIF(ODPIS!B:B, A1105, ODPIS!G:G)</f>
        <v/>
      </c>
      <c r="I1105" s="2">
        <f>F1105 + G1105 - H1105</f>
        <v/>
      </c>
    </row>
    <row r="1106">
      <c r="A1106" t="n">
        <v>3060</v>
      </c>
      <c r="B1106" t="inlineStr">
        <is>
          <t>Royalcoat premium gloss</t>
        </is>
      </c>
      <c r="C1106" t="n">
        <v>90</v>
      </c>
      <c r="D1106" t="n">
        <v>64</v>
      </c>
      <c r="E1106" t="n">
        <v>130</v>
      </c>
      <c r="F1106" t="n">
        <v>0</v>
      </c>
      <c r="G1106">
        <f>SUMIF(PRISPELO!B:B, A1106, PRISPELO!G:G)</f>
        <v/>
      </c>
      <c r="H1106">
        <f>SUMIF(ODPIS!B:B, A1106, ODPIS!G:G)</f>
        <v/>
      </c>
      <c r="I1106" s="2">
        <f>F1106 + G1106 - H1106</f>
        <v/>
      </c>
    </row>
    <row r="1107">
      <c r="A1107" t="n">
        <v>3061</v>
      </c>
      <c r="B1107" t="inlineStr">
        <is>
          <t>AMBER GRAPHIC</t>
        </is>
      </c>
      <c r="C1107" t="n">
        <v>70</v>
      </c>
      <c r="D1107" t="n">
        <v>100</v>
      </c>
      <c r="E1107" t="n">
        <v>150</v>
      </c>
      <c r="F1107" t="n">
        <v>0</v>
      </c>
      <c r="G1107">
        <f>SUMIF(PRISPELO!B:B, A1107, PRISPELO!G:G)</f>
        <v/>
      </c>
      <c r="H1107">
        <f>SUMIF(ODPIS!B:B, A1107, ODPIS!G:G)</f>
        <v/>
      </c>
      <c r="I1107" s="2">
        <f>F1107 + G1107 - H1107</f>
        <v/>
      </c>
    </row>
    <row r="1108">
      <c r="A1108" t="n">
        <v>3476</v>
      </c>
      <c r="B1108" t="inlineStr">
        <is>
          <t>KUVERTA EDERA L.O C6/5 AMERIKANKA</t>
        </is>
      </c>
      <c r="C1108" t="n">
        <v>11</v>
      </c>
      <c r="D1108" t="n">
        <v>23</v>
      </c>
      <c r="E1108" t="n">
        <v>0</v>
      </c>
      <c r="F1108" t="n">
        <v>0</v>
      </c>
      <c r="G1108">
        <f>SUMIF(PRISPELO!B:B, A1108, PRISPELO!G:G)</f>
        <v/>
      </c>
      <c r="H1108">
        <f>SUMIF(ODPIS!B:B, A1108, ODPIS!G:G)</f>
        <v/>
      </c>
      <c r="I1108" s="2">
        <f>F1108 + G1108 - H1108</f>
        <v/>
      </c>
    </row>
    <row r="1109">
      <c r="A1109" t="n">
        <v>3062</v>
      </c>
      <c r="B1109" t="inlineStr">
        <is>
          <t>Nivis next gloss</t>
        </is>
      </c>
      <c r="C1109" t="n">
        <v>70</v>
      </c>
      <c r="D1109" t="n">
        <v>100</v>
      </c>
      <c r="E1109" t="n">
        <v>300</v>
      </c>
      <c r="F1109" t="n">
        <v>0</v>
      </c>
      <c r="G1109">
        <f>SUMIF(PRISPELO!B:B, A1109, PRISPELO!G:G)</f>
        <v/>
      </c>
      <c r="H1109">
        <f>SUMIF(ODPIS!B:B, A1109, ODPIS!G:G)</f>
        <v/>
      </c>
      <c r="I1109" s="2">
        <f>F1109 + G1109 - H1109</f>
        <v/>
      </c>
    </row>
    <row r="1110">
      <c r="A1110" t="n">
        <v>3063</v>
      </c>
      <c r="B1110" t="inlineStr">
        <is>
          <t>Royalcoat premium gloss</t>
        </is>
      </c>
      <c r="C1110" t="n">
        <v>45</v>
      </c>
      <c r="D1110" t="n">
        <v>64</v>
      </c>
      <c r="E1110" t="n">
        <v>150</v>
      </c>
      <c r="F1110" t="n">
        <v>0</v>
      </c>
      <c r="G1110">
        <f>SUMIF(PRISPELO!B:B, A1110, PRISPELO!G:G)</f>
        <v/>
      </c>
      <c r="H1110">
        <f>SUMIF(ODPIS!B:B, A1110, ODPIS!G:G)</f>
        <v/>
      </c>
      <c r="I1110" s="2">
        <f>F1110 + G1110 - H1110</f>
        <v/>
      </c>
    </row>
    <row r="1111">
      <c r="A1111" t="n">
        <v>3064</v>
      </c>
      <c r="B1111" t="inlineStr">
        <is>
          <t>Nivis next matt</t>
        </is>
      </c>
      <c r="C1111" t="n">
        <v>64</v>
      </c>
      <c r="D1111" t="n">
        <v>90</v>
      </c>
      <c r="E1111" t="n">
        <v>300</v>
      </c>
      <c r="F1111" t="n">
        <v>0</v>
      </c>
      <c r="G1111">
        <f>SUMIF(PRISPELO!B:B, A1111, PRISPELO!G:G)</f>
        <v/>
      </c>
      <c r="H1111">
        <f>SUMIF(ODPIS!B:B, A1111, ODPIS!G:G)</f>
        <v/>
      </c>
      <c r="I1111" s="2">
        <f>F1111 + G1111 - H1111</f>
        <v/>
      </c>
    </row>
    <row r="1112">
      <c r="A1112" t="n">
        <v>3065</v>
      </c>
      <c r="B1112" t="inlineStr">
        <is>
          <t>Royalcoat premium gloss</t>
        </is>
      </c>
      <c r="C1112" t="n">
        <v>64</v>
      </c>
      <c r="D1112" t="n">
        <v>90</v>
      </c>
      <c r="E1112" t="n">
        <v>130</v>
      </c>
      <c r="F1112" t="n">
        <v>0</v>
      </c>
      <c r="G1112">
        <f>SUMIF(PRISPELO!B:B, A1112, PRISPELO!G:G)</f>
        <v/>
      </c>
      <c r="H1112">
        <f>SUMIF(ODPIS!B:B, A1112, ODPIS!G:G)</f>
        <v/>
      </c>
      <c r="I1112" s="2">
        <f>F1112 + G1112 - H1112</f>
        <v/>
      </c>
    </row>
    <row r="1113">
      <c r="A1113" t="n">
        <v>3066</v>
      </c>
      <c r="B1113" t="inlineStr">
        <is>
          <t>Royalcoat premium</t>
        </is>
      </c>
      <c r="C1113" t="n">
        <v>64</v>
      </c>
      <c r="D1113" t="n">
        <v>90</v>
      </c>
      <c r="E1113" t="n">
        <v>90</v>
      </c>
      <c r="F1113" t="n">
        <v>0</v>
      </c>
      <c r="G1113">
        <f>SUMIF(PRISPELO!B:B, A1113, PRISPELO!G:G)</f>
        <v/>
      </c>
      <c r="H1113">
        <f>SUMIF(ODPIS!B:B, A1113, ODPIS!G:G)</f>
        <v/>
      </c>
      <c r="I1113" s="2">
        <f>F1113 + G1113 - H1113</f>
        <v/>
      </c>
    </row>
    <row r="1114">
      <c r="A1114" t="n">
        <v>3067</v>
      </c>
      <c r="B1114" t="inlineStr">
        <is>
          <t>Royalcoat premium silk</t>
        </is>
      </c>
      <c r="C1114" t="n">
        <v>64</v>
      </c>
      <c r="D1114" t="n">
        <v>90</v>
      </c>
      <c r="E1114" t="n">
        <v>130</v>
      </c>
      <c r="F1114" t="n">
        <v>0</v>
      </c>
      <c r="G1114">
        <f>SUMIF(PRISPELO!B:B, A1114, PRISPELO!G:G)</f>
        <v/>
      </c>
      <c r="H1114">
        <f>SUMIF(ODPIS!B:B, A1114, ODPIS!G:G)</f>
        <v/>
      </c>
      <c r="I1114" s="2">
        <f>F1114 + G1114 - H1114</f>
        <v/>
      </c>
    </row>
    <row r="1115">
      <c r="A1115" t="n">
        <v>3068</v>
      </c>
      <c r="B1115" t="inlineStr">
        <is>
          <t>NIVIS NEXT GLOSS</t>
        </is>
      </c>
      <c r="C1115" t="n">
        <v>100</v>
      </c>
      <c r="D1115" t="n">
        <v>70</v>
      </c>
      <c r="E1115" t="n">
        <v>300</v>
      </c>
      <c r="F1115" t="n">
        <v>0</v>
      </c>
      <c r="G1115">
        <f>SUMIF(PRISPELO!B:B, A1115, PRISPELO!G:G)</f>
        <v/>
      </c>
      <c r="H1115">
        <f>SUMIF(ODPIS!B:B, A1115, ODPIS!G:G)</f>
        <v/>
      </c>
      <c r="I1115" s="2">
        <f>F1115 + G1115 - H1115</f>
        <v/>
      </c>
    </row>
    <row r="1116">
      <c r="A1116" t="n">
        <v>3069</v>
      </c>
      <c r="B1116" t="inlineStr">
        <is>
          <t>Royalcoat premium silk</t>
        </is>
      </c>
      <c r="C1116" t="n">
        <v>90</v>
      </c>
      <c r="D1116" t="n">
        <v>64</v>
      </c>
      <c r="E1116" t="n">
        <v>170</v>
      </c>
      <c r="F1116" t="n">
        <v>0</v>
      </c>
      <c r="G1116">
        <f>SUMIF(PRISPELO!B:B, A1116, PRISPELO!G:G)</f>
        <v/>
      </c>
      <c r="H1116">
        <f>SUMIF(ODPIS!B:B, A1116, ODPIS!G:G)</f>
        <v/>
      </c>
      <c r="I1116" s="2">
        <f>F1116 + G1116 - H1116</f>
        <v/>
      </c>
    </row>
    <row r="1117">
      <c r="A1117" t="n">
        <v>3070</v>
      </c>
      <c r="B1117" t="inlineStr">
        <is>
          <t>Royalcoat premium silk</t>
        </is>
      </c>
      <c r="C1117" t="n">
        <v>100</v>
      </c>
      <c r="D1117" t="n">
        <v>70</v>
      </c>
      <c r="E1117" t="n">
        <v>150</v>
      </c>
      <c r="F1117" t="n">
        <v>0</v>
      </c>
      <c r="G1117">
        <f>SUMIF(PRISPELO!B:B, A1117, PRISPELO!G:G)</f>
        <v/>
      </c>
      <c r="H1117">
        <f>SUMIF(ODPIS!B:B, A1117, ODPIS!G:G)</f>
        <v/>
      </c>
      <c r="I1117" s="2">
        <f>F1117 + G1117 - H1117</f>
        <v/>
      </c>
    </row>
    <row r="1118">
      <c r="A1118" t="n">
        <v>3071</v>
      </c>
      <c r="B1118" t="inlineStr">
        <is>
          <t>Royalcoat premium silk</t>
        </is>
      </c>
      <c r="C1118" t="n">
        <v>70</v>
      </c>
      <c r="D1118" t="n">
        <v>100</v>
      </c>
      <c r="E1118" t="n">
        <v>150</v>
      </c>
      <c r="F1118" t="n">
        <v>100</v>
      </c>
      <c r="G1118">
        <f>SUMIF(PRISPELO!B:B, A1118, PRISPELO!G:G)</f>
        <v/>
      </c>
      <c r="H1118">
        <f>SUMIF(ODPIS!B:B, A1118, ODPIS!G:G)</f>
        <v/>
      </c>
      <c r="I1118" s="2">
        <f>F1118 + G1118 - H1118</f>
        <v/>
      </c>
    </row>
    <row r="1119">
      <c r="A1119" t="n">
        <v>3073</v>
      </c>
      <c r="B1119" t="inlineStr">
        <is>
          <t>CLASSIC SILK</t>
        </is>
      </c>
      <c r="C1119" t="n">
        <v>64</v>
      </c>
      <c r="D1119" t="n">
        <v>90</v>
      </c>
      <c r="E1119" t="n">
        <v>130</v>
      </c>
      <c r="F1119" t="n">
        <v>0</v>
      </c>
      <c r="G1119">
        <f>SUMIF(PRISPELO!B:B, A1119, PRISPELO!G:G)</f>
        <v/>
      </c>
      <c r="H1119">
        <f>SUMIF(ODPIS!B:B, A1119, ODPIS!G:G)</f>
        <v/>
      </c>
      <c r="I1119" s="2">
        <f>F1119 + G1119 - H1119</f>
        <v/>
      </c>
    </row>
    <row r="1120">
      <c r="A1120" t="n">
        <v>3075</v>
      </c>
      <c r="B1120" t="inlineStr">
        <is>
          <t>Royalcoat premium silk</t>
        </is>
      </c>
      <c r="C1120" t="n">
        <v>70</v>
      </c>
      <c r="D1120" t="n">
        <v>50</v>
      </c>
      <c r="E1120" t="n">
        <v>300</v>
      </c>
      <c r="F1120" t="n">
        <v>0</v>
      </c>
      <c r="G1120">
        <f>SUMIF(PRISPELO!B:B, A1120, PRISPELO!G:G)</f>
        <v/>
      </c>
      <c r="H1120">
        <f>SUMIF(ODPIS!B:B, A1120, ODPIS!G:G)</f>
        <v/>
      </c>
      <c r="I1120" s="2">
        <f>F1120 + G1120 - H1120</f>
        <v/>
      </c>
    </row>
    <row r="1121">
      <c r="A1121" t="n">
        <v>3076</v>
      </c>
      <c r="B1121" t="inlineStr">
        <is>
          <t>NIVIS NEXT MATT</t>
        </is>
      </c>
      <c r="C1121" t="n">
        <v>90</v>
      </c>
      <c r="D1121" t="n">
        <v>64</v>
      </c>
      <c r="E1121" t="n">
        <v>300</v>
      </c>
      <c r="F1121" t="n">
        <v>250</v>
      </c>
      <c r="G1121">
        <f>SUMIF(PRISPELO!B:B, A1121, PRISPELO!G:G)</f>
        <v/>
      </c>
      <c r="H1121">
        <f>SUMIF(ODPIS!B:B, A1121, ODPIS!G:G)</f>
        <v/>
      </c>
      <c r="I1121" s="2">
        <f>F1121 + G1121 - H1121</f>
        <v/>
      </c>
    </row>
    <row r="1122">
      <c r="A1122" t="n">
        <v>3077</v>
      </c>
      <c r="B1122" t="inlineStr">
        <is>
          <t>NIVIS NEXT MATT</t>
        </is>
      </c>
      <c r="C1122" t="n">
        <v>70</v>
      </c>
      <c r="D1122" t="n">
        <v>100</v>
      </c>
      <c r="E1122" t="n">
        <v>250</v>
      </c>
      <c r="F1122" t="n">
        <v>0</v>
      </c>
      <c r="G1122">
        <f>SUMIF(PRISPELO!B:B, A1122, PRISPELO!G:G)</f>
        <v/>
      </c>
      <c r="H1122">
        <f>SUMIF(ODPIS!B:B, A1122, ODPIS!G:G)</f>
        <v/>
      </c>
      <c r="I1122" s="2">
        <f>F1122 + G1122 - H1122</f>
        <v/>
      </c>
    </row>
    <row r="1123">
      <c r="A1123" t="n">
        <v>3080</v>
      </c>
      <c r="B1123" t="inlineStr">
        <is>
          <t>Royalcoat premium gloss</t>
        </is>
      </c>
      <c r="C1123" t="n">
        <v>64</v>
      </c>
      <c r="D1123" t="n">
        <v>90</v>
      </c>
      <c r="E1123" t="n">
        <v>100</v>
      </c>
      <c r="F1123" t="n">
        <v>400</v>
      </c>
      <c r="G1123">
        <f>SUMIF(PRISPELO!B:B, A1123, PRISPELO!G:G)</f>
        <v/>
      </c>
      <c r="H1123">
        <f>SUMIF(ODPIS!B:B, A1123, ODPIS!G:G)</f>
        <v/>
      </c>
      <c r="I1123" s="2">
        <f>F1123 + G1123 - H1123</f>
        <v/>
      </c>
    </row>
    <row r="1124">
      <c r="A1124" t="n">
        <v>3081</v>
      </c>
      <c r="B1124" t="inlineStr">
        <is>
          <t>Royalcoat premium silk</t>
        </is>
      </c>
      <c r="C1124" t="n">
        <v>72</v>
      </c>
      <c r="D1124" t="n">
        <v>102</v>
      </c>
      <c r="E1124" t="n">
        <v>300</v>
      </c>
      <c r="F1124" t="n">
        <v>0</v>
      </c>
      <c r="G1124">
        <f>SUMIF(PRISPELO!B:B, A1124, PRISPELO!G:G)</f>
        <v/>
      </c>
      <c r="H1124">
        <f>SUMIF(ODPIS!B:B, A1124, ODPIS!G:G)</f>
        <v/>
      </c>
      <c r="I1124" s="2">
        <f>F1124 + G1124 - H1124</f>
        <v/>
      </c>
    </row>
    <row r="1125">
      <c r="A1125" t="n">
        <v>3082</v>
      </c>
      <c r="B1125" t="inlineStr">
        <is>
          <t>CYCLUS OFFSET</t>
        </is>
      </c>
      <c r="C1125" t="n">
        <v>45</v>
      </c>
      <c r="D1125" t="n">
        <v>64</v>
      </c>
      <c r="E1125" t="n">
        <v>115</v>
      </c>
      <c r="F1125" t="n">
        <v>0</v>
      </c>
      <c r="G1125">
        <f>SUMIF(PRISPELO!B:B, A1125, PRISPELO!G:G)</f>
        <v/>
      </c>
      <c r="H1125">
        <f>SUMIF(ODPIS!B:B, A1125, ODPIS!G:G)</f>
        <v/>
      </c>
      <c r="I1125" s="2">
        <f>F1125 + G1125 - H1125</f>
        <v/>
      </c>
    </row>
    <row r="1126">
      <c r="A1126" t="n">
        <v>3083</v>
      </c>
      <c r="B1126" t="inlineStr">
        <is>
          <t>MetsaBoard prime</t>
        </is>
      </c>
      <c r="C1126" t="n">
        <v>101</v>
      </c>
      <c r="D1126" t="n">
        <v>71</v>
      </c>
      <c r="E1126" t="n">
        <v>255</v>
      </c>
      <c r="F1126" t="n">
        <v>0</v>
      </c>
      <c r="G1126">
        <f>SUMIF(PRISPELO!B:B, A1126, PRISPELO!G:G)</f>
        <v/>
      </c>
      <c r="H1126">
        <f>SUMIF(ODPIS!B:B, A1126, ODPIS!G:G)</f>
        <v/>
      </c>
      <c r="I1126" s="2">
        <f>F1126 + G1126 - H1126</f>
        <v/>
      </c>
    </row>
    <row r="1127">
      <c r="A1127" t="n">
        <v>3084</v>
      </c>
      <c r="B1127" t="inlineStr">
        <is>
          <t>CYCLUS OFFSET</t>
        </is>
      </c>
      <c r="C1127" t="n">
        <v>70</v>
      </c>
      <c r="D1127" t="n">
        <v>100</v>
      </c>
      <c r="E1127" t="n">
        <v>80</v>
      </c>
      <c r="F1127" t="n">
        <v>200</v>
      </c>
      <c r="G1127">
        <f>SUMIF(PRISPELO!B:B, A1127, PRISPELO!G:G)</f>
        <v/>
      </c>
      <c r="H1127">
        <f>SUMIF(ODPIS!B:B, A1127, ODPIS!G:G)</f>
        <v/>
      </c>
      <c r="I1127" s="2">
        <f>F1127 + G1127 - H1127</f>
        <v/>
      </c>
    </row>
    <row r="1128">
      <c r="A1128" t="n">
        <v>3085</v>
      </c>
      <c r="B1128" t="inlineStr">
        <is>
          <t>PRINTA</t>
        </is>
      </c>
      <c r="C1128" t="n">
        <v>72</v>
      </c>
      <c r="D1128" t="n">
        <v>103</v>
      </c>
      <c r="E1128" t="n">
        <v>300</v>
      </c>
      <c r="F1128" t="n">
        <v>0</v>
      </c>
      <c r="G1128">
        <f>SUMIF(PRISPELO!B:B, A1128, PRISPELO!G:G)</f>
        <v/>
      </c>
      <c r="H1128">
        <f>SUMIF(ODPIS!B:B, A1128, ODPIS!G:G)</f>
        <v/>
      </c>
      <c r="I1128" s="2">
        <f>F1128 + G1128 - H1128</f>
        <v/>
      </c>
    </row>
    <row r="1129">
      <c r="A1129" t="n">
        <v>3086</v>
      </c>
      <c r="B1129" t="inlineStr">
        <is>
          <t>Garda matt</t>
        </is>
      </c>
      <c r="C1129" t="n">
        <v>72</v>
      </c>
      <c r="D1129" t="n">
        <v>102</v>
      </c>
      <c r="E1129" t="n">
        <v>135</v>
      </c>
      <c r="F1129" t="n">
        <v>400</v>
      </c>
      <c r="G1129">
        <f>SUMIF(PRISPELO!B:B, A1129, PRISPELO!G:G)</f>
        <v/>
      </c>
      <c r="H1129">
        <f>SUMIF(ODPIS!B:B, A1129, ODPIS!G:G)</f>
        <v/>
      </c>
      <c r="I1129" s="2">
        <f>F1129 + G1129 - H1129</f>
        <v/>
      </c>
    </row>
    <row r="1130">
      <c r="A1130" t="n">
        <v>3087</v>
      </c>
      <c r="B1130" t="inlineStr">
        <is>
          <t>Nivis next matt</t>
        </is>
      </c>
      <c r="C1130" t="n">
        <v>90</v>
      </c>
      <c r="D1130" t="n">
        <v>64</v>
      </c>
      <c r="E1130" t="n">
        <v>170</v>
      </c>
      <c r="F1130" t="n">
        <v>0</v>
      </c>
      <c r="G1130">
        <f>SUMIF(PRISPELO!B:B, A1130, PRISPELO!G:G)</f>
        <v/>
      </c>
      <c r="H1130">
        <f>SUMIF(ODPIS!B:B, A1130, ODPIS!G:G)</f>
        <v/>
      </c>
      <c r="I1130" s="2">
        <f>F1130 + G1130 - H1130</f>
        <v/>
      </c>
    </row>
    <row r="1131">
      <c r="A1131" t="n">
        <v>3088</v>
      </c>
      <c r="B1131" t="inlineStr">
        <is>
          <t>Nivis next matt</t>
        </is>
      </c>
      <c r="C1131" t="n">
        <v>102</v>
      </c>
      <c r="D1131" t="n">
        <v>72</v>
      </c>
      <c r="E1131" t="n">
        <v>350</v>
      </c>
      <c r="F1131" t="n">
        <v>300</v>
      </c>
      <c r="G1131">
        <f>SUMIF(PRISPELO!B:B, A1131, PRISPELO!G:G)</f>
        <v/>
      </c>
      <c r="H1131">
        <f>SUMIF(ODPIS!B:B, A1131, ODPIS!G:G)</f>
        <v/>
      </c>
      <c r="I1131" s="2">
        <f>F1131 + G1131 - H1131</f>
        <v/>
      </c>
    </row>
    <row r="1132">
      <c r="A1132" t="n">
        <v>3089</v>
      </c>
      <c r="B1132" t="inlineStr">
        <is>
          <t>Royalcoat premium gloss</t>
        </is>
      </c>
      <c r="C1132" t="n">
        <v>90</v>
      </c>
      <c r="D1132" t="n">
        <v>64</v>
      </c>
      <c r="E1132" t="n">
        <v>300</v>
      </c>
      <c r="F1132" t="n">
        <v>0</v>
      </c>
      <c r="G1132">
        <f>SUMIF(PRISPELO!B:B, A1132, PRISPELO!G:G)</f>
        <v/>
      </c>
      <c r="H1132">
        <f>SUMIF(ODPIS!B:B, A1132, ODPIS!G:G)</f>
        <v/>
      </c>
      <c r="I1132" s="2">
        <f>F1132 + G1132 - H1132</f>
        <v/>
      </c>
    </row>
    <row r="1133">
      <c r="A1133" t="n">
        <v>3090</v>
      </c>
      <c r="B1133" t="inlineStr">
        <is>
          <t>Munken Kristall</t>
        </is>
      </c>
      <c r="C1133" t="n">
        <v>92</v>
      </c>
      <c r="D1133" t="n">
        <v>64</v>
      </c>
      <c r="E1133" t="n">
        <v>200</v>
      </c>
      <c r="F1133" t="n">
        <v>0</v>
      </c>
      <c r="G1133">
        <f>SUMIF(PRISPELO!B:B, A1133, PRISPELO!G:G)</f>
        <v/>
      </c>
      <c r="H1133">
        <f>SUMIF(ODPIS!B:B, A1133, ODPIS!G:G)</f>
        <v/>
      </c>
      <c r="I1133" s="2">
        <f>F1133 + G1133 - H1133</f>
        <v/>
      </c>
    </row>
    <row r="1134">
      <c r="A1134" t="n">
        <v>3092</v>
      </c>
      <c r="B1134" t="inlineStr">
        <is>
          <t>NIVIS NEXT GLOSS</t>
        </is>
      </c>
      <c r="C1134" t="n">
        <v>100</v>
      </c>
      <c r="D1134" t="n">
        <v>70</v>
      </c>
      <c r="E1134" t="n">
        <v>350</v>
      </c>
      <c r="F1134" t="n">
        <v>0</v>
      </c>
      <c r="G1134">
        <f>SUMIF(PRISPELO!B:B, A1134, PRISPELO!G:G)</f>
        <v/>
      </c>
      <c r="H1134">
        <f>SUMIF(ODPIS!B:B, A1134, ODPIS!G:G)</f>
        <v/>
      </c>
      <c r="I1134" s="2">
        <f>F1134 + G1134 - H1134</f>
        <v/>
      </c>
    </row>
    <row r="1135">
      <c r="A1135" t="n">
        <v>3093</v>
      </c>
      <c r="B1135" t="inlineStr">
        <is>
          <t>NIVIS NEXT GLOSS</t>
        </is>
      </c>
      <c r="C1135" t="n">
        <v>70</v>
      </c>
      <c r="D1135" t="n">
        <v>100</v>
      </c>
      <c r="E1135" t="n">
        <v>200</v>
      </c>
      <c r="F1135" t="n">
        <v>0</v>
      </c>
      <c r="G1135">
        <f>SUMIF(PRISPELO!B:B, A1135, PRISPELO!G:G)</f>
        <v/>
      </c>
      <c r="H1135">
        <f>SUMIF(ODPIS!B:B, A1135, ODPIS!G:G)</f>
        <v/>
      </c>
      <c r="I1135" s="2">
        <f>F1135 + G1135 - H1135</f>
        <v/>
      </c>
    </row>
    <row r="1136">
      <c r="A1136" t="n">
        <v>3094</v>
      </c>
      <c r="B1136" t="inlineStr">
        <is>
          <t>NIVIS NEXT GLOSS</t>
        </is>
      </c>
      <c r="C1136" t="n">
        <v>100</v>
      </c>
      <c r="D1136" t="n">
        <v>70</v>
      </c>
      <c r="E1136" t="n">
        <v>200</v>
      </c>
      <c r="F1136" t="n">
        <v>0</v>
      </c>
      <c r="G1136">
        <f>SUMIF(PRISPELO!B:B, A1136, PRISPELO!G:G)</f>
        <v/>
      </c>
      <c r="H1136">
        <f>SUMIF(ODPIS!B:B, A1136, ODPIS!G:G)</f>
        <v/>
      </c>
      <c r="I1136" s="2">
        <f>F1136 + G1136 - H1136</f>
        <v/>
      </c>
    </row>
    <row r="1137">
      <c r="A1137" t="n">
        <v>3095</v>
      </c>
      <c r="B1137" t="inlineStr">
        <is>
          <t>LUMIART GLOSS</t>
        </is>
      </c>
      <c r="C1137" t="n">
        <v>90</v>
      </c>
      <c r="D1137" t="n">
        <v>64</v>
      </c>
      <c r="E1137" t="n">
        <v>200</v>
      </c>
      <c r="F1137" t="n">
        <v>0</v>
      </c>
      <c r="G1137">
        <f>SUMIF(PRISPELO!B:B, A1137, PRISPELO!G:G)</f>
        <v/>
      </c>
      <c r="H1137">
        <f>SUMIF(ODPIS!B:B, A1137, ODPIS!G:G)</f>
        <v/>
      </c>
      <c r="I1137" s="2">
        <f>F1137 + G1137 - H1137</f>
        <v/>
      </c>
    </row>
    <row r="1138">
      <c r="A1138" t="n">
        <v>3096</v>
      </c>
      <c r="B1138" t="inlineStr">
        <is>
          <t>NIVIS NEXT MATT</t>
        </is>
      </c>
      <c r="C1138" t="n">
        <v>64</v>
      </c>
      <c r="D1138" t="n">
        <v>90</v>
      </c>
      <c r="E1138" t="n">
        <v>170</v>
      </c>
      <c r="F1138" t="n">
        <v>200</v>
      </c>
      <c r="G1138">
        <f>SUMIF(PRISPELO!B:B, A1138, PRISPELO!G:G)</f>
        <v/>
      </c>
      <c r="H1138">
        <f>SUMIF(ODPIS!B:B, A1138, ODPIS!G:G)</f>
        <v/>
      </c>
      <c r="I1138" s="2">
        <f>F1138 + G1138 - H1138</f>
        <v/>
      </c>
    </row>
    <row r="1139">
      <c r="A1139" t="n">
        <v>3097</v>
      </c>
      <c r="B1139" t="inlineStr">
        <is>
          <t>NIVIS NEXT MATT</t>
        </is>
      </c>
      <c r="C1139" t="n">
        <v>100</v>
      </c>
      <c r="D1139" t="n">
        <v>70</v>
      </c>
      <c r="E1139" t="n">
        <v>170</v>
      </c>
      <c r="F1139" t="n">
        <v>0</v>
      </c>
      <c r="G1139">
        <f>SUMIF(PRISPELO!B:B, A1139, PRISPELO!G:G)</f>
        <v/>
      </c>
      <c r="H1139">
        <f>SUMIF(ODPIS!B:B, A1139, ODPIS!G:G)</f>
        <v/>
      </c>
      <c r="I1139" s="2">
        <f>F1139 + G1139 - H1139</f>
        <v/>
      </c>
    </row>
    <row r="1140">
      <c r="A1140" t="n">
        <v>3098</v>
      </c>
      <c r="B1140" t="inlineStr">
        <is>
          <t>NIVIS NEXT MATT</t>
        </is>
      </c>
      <c r="C1140" t="n">
        <v>90</v>
      </c>
      <c r="D1140" t="n">
        <v>64</v>
      </c>
      <c r="E1140" t="n">
        <v>250</v>
      </c>
      <c r="F1140" t="n">
        <v>0</v>
      </c>
      <c r="G1140">
        <f>SUMIF(PRISPELO!B:B, A1140, PRISPELO!G:G)</f>
        <v/>
      </c>
      <c r="H1140">
        <f>SUMIF(ODPIS!B:B, A1140, ODPIS!G:G)</f>
        <v/>
      </c>
      <c r="I1140" s="2">
        <f>F1140 + G1140 - H1140</f>
        <v/>
      </c>
    </row>
    <row r="1141">
      <c r="A1141" t="n">
        <v>3099</v>
      </c>
      <c r="B1141" t="inlineStr">
        <is>
          <t>IQ PRINT</t>
        </is>
      </c>
      <c r="C1141" t="n">
        <v>100</v>
      </c>
      <c r="D1141" t="n">
        <v>70</v>
      </c>
      <c r="E1141" t="n">
        <v>190</v>
      </c>
      <c r="F1141" t="n">
        <v>0</v>
      </c>
      <c r="G1141">
        <f>SUMIF(PRISPELO!B:B, A1141, PRISPELO!G:G)</f>
        <v/>
      </c>
      <c r="H1141">
        <f>SUMIF(ODPIS!B:B, A1141, ODPIS!G:G)</f>
        <v/>
      </c>
      <c r="I1141" s="2">
        <f>F1141 + G1141 - H1141</f>
        <v/>
      </c>
    </row>
    <row r="1142">
      <c r="A1142" t="n">
        <v>3100</v>
      </c>
      <c r="B1142" t="inlineStr">
        <is>
          <t>IDEM GIROFORM CFB 60</t>
        </is>
      </c>
      <c r="C1142" t="n">
        <v>45</v>
      </c>
      <c r="D1142" t="n">
        <v>64</v>
      </c>
      <c r="E1142" t="n">
        <v>60</v>
      </c>
      <c r="F1142" t="n">
        <v>0</v>
      </c>
      <c r="G1142">
        <f>SUMIF(PRISPELO!B:B, A1142, PRISPELO!G:G)</f>
        <v/>
      </c>
      <c r="H1142">
        <f>SUMIF(ODPIS!B:B, A1142, ODPIS!G:G)</f>
        <v/>
      </c>
      <c r="I1142" s="2">
        <f>F1142 + G1142 - H1142</f>
        <v/>
      </c>
    </row>
    <row r="1143">
      <c r="A1143" t="n">
        <v>3101</v>
      </c>
      <c r="B1143" t="inlineStr">
        <is>
          <t>Garda matt</t>
        </is>
      </c>
      <c r="C1143" t="n">
        <v>59.8</v>
      </c>
      <c r="D1143" t="n">
        <v>49.8</v>
      </c>
      <c r="E1143" t="n">
        <v>90</v>
      </c>
      <c r="F1143" t="n">
        <v>0</v>
      </c>
      <c r="G1143">
        <f>SUMIF(PRISPELO!B:B, A1143, PRISPELO!G:G)</f>
        <v/>
      </c>
      <c r="H1143">
        <f>SUMIF(ODPIS!B:B, A1143, ODPIS!G:G)</f>
        <v/>
      </c>
      <c r="I1143" s="2">
        <f>F1143 + G1143 - H1143</f>
        <v/>
      </c>
    </row>
    <row r="1144">
      <c r="A1144" t="n">
        <v>3102</v>
      </c>
      <c r="B1144" t="inlineStr">
        <is>
          <t>NIKLAKET MED. DANA</t>
        </is>
      </c>
      <c r="C1144" t="n">
        <v>69.8</v>
      </c>
      <c r="D1144" t="n">
        <v>33.2</v>
      </c>
      <c r="E1144" t="n">
        <v>75</v>
      </c>
      <c r="F1144" t="n">
        <v>0</v>
      </c>
      <c r="G1144">
        <f>SUMIF(PRISPELO!B:B, A1144, PRISPELO!G:G)</f>
        <v/>
      </c>
      <c r="H1144">
        <f>SUMIF(ODPIS!B:B, A1144, ODPIS!G:G)</f>
        <v/>
      </c>
      <c r="I1144" s="2">
        <f>F1144 + G1144 - H1144</f>
        <v/>
      </c>
    </row>
    <row r="1145">
      <c r="A1145" t="n">
        <v>3103</v>
      </c>
      <c r="B1145" t="inlineStr">
        <is>
          <t>Royalcoat premium silk</t>
        </is>
      </c>
      <c r="C1145" t="n">
        <v>102</v>
      </c>
      <c r="D1145" t="n">
        <v>72</v>
      </c>
      <c r="E1145" t="n">
        <v>300</v>
      </c>
      <c r="F1145" t="n">
        <v>0</v>
      </c>
      <c r="G1145">
        <f>SUMIF(PRISPELO!B:B, A1145, PRISPELO!G:G)</f>
        <v/>
      </c>
      <c r="H1145">
        <f>SUMIF(ODPIS!B:B, A1145, ODPIS!G:G)</f>
        <v/>
      </c>
      <c r="I1145" s="2">
        <f>F1145 + G1145 - H1145</f>
        <v/>
      </c>
    </row>
    <row r="1146">
      <c r="A1146" t="n">
        <v>3104</v>
      </c>
      <c r="B1146" t="inlineStr">
        <is>
          <t>QUATRO GLOSS</t>
        </is>
      </c>
      <c r="C1146" t="n">
        <v>90</v>
      </c>
      <c r="D1146" t="n">
        <v>64</v>
      </c>
      <c r="E1146" t="n">
        <v>130</v>
      </c>
      <c r="F1146" t="n">
        <v>0</v>
      </c>
      <c r="G1146">
        <f>SUMIF(PRISPELO!B:B, A1146, PRISPELO!G:G)</f>
        <v/>
      </c>
      <c r="H1146">
        <f>SUMIF(ODPIS!B:B, A1146, ODPIS!G:G)</f>
        <v/>
      </c>
      <c r="I1146" s="2">
        <f>F1146 + G1146 - H1146</f>
        <v/>
      </c>
    </row>
    <row r="1147">
      <c r="A1147" t="n">
        <v>3105</v>
      </c>
      <c r="B1147" t="inlineStr">
        <is>
          <t>MUNKEN KRISTALL</t>
        </is>
      </c>
      <c r="C1147" t="n">
        <v>72</v>
      </c>
      <c r="D1147" t="n">
        <v>102</v>
      </c>
      <c r="E1147" t="n">
        <v>200</v>
      </c>
      <c r="F1147" t="n">
        <v>0</v>
      </c>
      <c r="G1147">
        <f>SUMIF(PRISPELO!B:B, A1147, PRISPELO!G:G)</f>
        <v/>
      </c>
      <c r="H1147">
        <f>SUMIF(ODPIS!B:B, A1147, ODPIS!G:G)</f>
        <v/>
      </c>
      <c r="I1147" s="2">
        <f>F1147 + G1147 - H1147</f>
        <v/>
      </c>
    </row>
    <row r="1148">
      <c r="A1148" t="n">
        <v>3106</v>
      </c>
      <c r="B1148" t="inlineStr">
        <is>
          <t>NIVIS NEXT MATT</t>
        </is>
      </c>
      <c r="C1148" t="n">
        <v>90</v>
      </c>
      <c r="D1148" t="n">
        <v>64</v>
      </c>
      <c r="E1148" t="n">
        <v>130</v>
      </c>
      <c r="F1148" t="n">
        <v>0</v>
      </c>
      <c r="G1148">
        <f>SUMIF(PRISPELO!B:B, A1148, PRISPELO!G:G)</f>
        <v/>
      </c>
      <c r="H1148">
        <f>SUMIF(ODPIS!B:B, A1148, ODPIS!G:G)</f>
        <v/>
      </c>
      <c r="I1148" s="2">
        <f>F1148 + G1148 - H1148</f>
        <v/>
      </c>
    </row>
    <row r="1149">
      <c r="A1149" t="n">
        <v>3031</v>
      </c>
      <c r="B1149" t="inlineStr">
        <is>
          <t>Kuverta C4 LO z S.trakom</t>
        </is>
      </c>
      <c r="C1149" t="n">
        <v>22.9</v>
      </c>
      <c r="D1149" t="n">
        <v>32.4</v>
      </c>
      <c r="E1149" t="n">
        <v>100</v>
      </c>
      <c r="F1149" t="n">
        <v>0</v>
      </c>
      <c r="G1149">
        <f>SUMIF(PRISPELO!B:B, A1149, PRISPELO!G:G)</f>
        <v/>
      </c>
      <c r="H1149">
        <f>SUMIF(ODPIS!B:B, A1149, ODPIS!G:G)</f>
        <v/>
      </c>
      <c r="I1149" s="2">
        <f>F1149 + G1149 - H1149</f>
        <v/>
      </c>
    </row>
    <row r="1150">
      <c r="A1150" t="n">
        <v>3107</v>
      </c>
      <c r="B1150" t="inlineStr">
        <is>
          <t>NIVIS NEXT MATT</t>
        </is>
      </c>
      <c r="C1150" t="n">
        <v>64</v>
      </c>
      <c r="D1150" t="n">
        <v>90</v>
      </c>
      <c r="E1150" t="n">
        <v>130</v>
      </c>
      <c r="F1150" t="n">
        <v>100</v>
      </c>
      <c r="G1150">
        <f>SUMIF(PRISPELO!B:B, A1150, PRISPELO!G:G)</f>
        <v/>
      </c>
      <c r="H1150">
        <f>SUMIF(ODPIS!B:B, A1150, ODPIS!G:G)</f>
        <v/>
      </c>
      <c r="I1150" s="2">
        <f>F1150 + G1150 - H1150</f>
        <v/>
      </c>
    </row>
    <row r="1151">
      <c r="A1151" t="n">
        <v>3108</v>
      </c>
      <c r="B1151" t="inlineStr">
        <is>
          <t>PREMIUM SILK</t>
        </is>
      </c>
      <c r="C1151" t="n">
        <v>45</v>
      </c>
      <c r="D1151" t="n">
        <v>64</v>
      </c>
      <c r="E1151" t="n">
        <v>250</v>
      </c>
      <c r="F1151" t="n">
        <v>0</v>
      </c>
      <c r="G1151">
        <f>SUMIF(PRISPELO!B:B, A1151, PRISPELO!G:G)</f>
        <v/>
      </c>
      <c r="H1151">
        <f>SUMIF(ODPIS!B:B, A1151, ODPIS!G:G)</f>
        <v/>
      </c>
      <c r="I1151" s="2">
        <f>F1151 + G1151 - H1151</f>
        <v/>
      </c>
    </row>
    <row r="1152">
      <c r="A1152" t="n">
        <v>3109</v>
      </c>
      <c r="B1152" t="inlineStr">
        <is>
          <t>PREMIUM SILK</t>
        </is>
      </c>
      <c r="C1152" t="n">
        <v>45</v>
      </c>
      <c r="D1152" t="n">
        <v>64</v>
      </c>
      <c r="E1152" t="n">
        <v>200</v>
      </c>
      <c r="F1152" t="n">
        <v>0</v>
      </c>
      <c r="G1152">
        <f>SUMIF(PRISPELO!B:B, A1152, PRISPELO!G:G)</f>
        <v/>
      </c>
      <c r="H1152">
        <f>SUMIF(ODPIS!B:B, A1152, ODPIS!G:G)</f>
        <v/>
      </c>
      <c r="I1152" s="2">
        <f>F1152 + G1152 - H1152</f>
        <v/>
      </c>
    </row>
    <row r="1153">
      <c r="A1153" t="n">
        <v>3110</v>
      </c>
      <c r="B1153" t="inlineStr">
        <is>
          <t>NIVIS NEXT MATT</t>
        </is>
      </c>
      <c r="C1153" t="n">
        <v>70</v>
      </c>
      <c r="D1153" t="n">
        <v>100</v>
      </c>
      <c r="E1153" t="n">
        <v>300</v>
      </c>
      <c r="F1153" t="n">
        <v>0</v>
      </c>
      <c r="G1153">
        <f>SUMIF(PRISPELO!B:B, A1153, PRISPELO!G:G)</f>
        <v/>
      </c>
      <c r="H1153">
        <f>SUMIF(ODPIS!B:B, A1153, ODPIS!G:G)</f>
        <v/>
      </c>
      <c r="I1153" s="2">
        <f>F1153 + G1153 - H1153</f>
        <v/>
      </c>
    </row>
    <row r="1154">
      <c r="A1154" t="n">
        <v>3111</v>
      </c>
      <c r="B1154" t="inlineStr">
        <is>
          <t>Royalcoat premium silk</t>
        </is>
      </c>
      <c r="C1154" t="n">
        <v>45</v>
      </c>
      <c r="D1154" t="n">
        <v>64</v>
      </c>
      <c r="E1154" t="n">
        <v>250</v>
      </c>
      <c r="F1154" t="n">
        <v>0</v>
      </c>
      <c r="G1154">
        <f>SUMIF(PRISPELO!B:B, A1154, PRISPELO!G:G)</f>
        <v/>
      </c>
      <c r="H1154">
        <f>SUMIF(ODPIS!B:B, A1154, ODPIS!G:G)</f>
        <v/>
      </c>
      <c r="I1154" s="2">
        <f>F1154 + G1154 - H1154</f>
        <v/>
      </c>
    </row>
    <row r="1155">
      <c r="A1155" t="n">
        <v>3112</v>
      </c>
      <c r="B1155" t="inlineStr">
        <is>
          <t>ARCOSET Extra White</t>
        </is>
      </c>
      <c r="C1155" t="n">
        <v>90</v>
      </c>
      <c r="D1155" t="n">
        <v>64</v>
      </c>
      <c r="E1155" t="n">
        <v>70</v>
      </c>
      <c r="F1155" t="n">
        <v>0</v>
      </c>
      <c r="G1155">
        <f>SUMIF(PRISPELO!B:B, A1155, PRISPELO!G:G)</f>
        <v/>
      </c>
      <c r="H1155">
        <f>SUMIF(ODPIS!B:B, A1155, ODPIS!G:G)</f>
        <v/>
      </c>
      <c r="I1155" s="2">
        <f>F1155 + G1155 - H1155</f>
        <v/>
      </c>
    </row>
    <row r="1156">
      <c r="A1156" t="n">
        <v>3113</v>
      </c>
      <c r="B1156" t="inlineStr">
        <is>
          <t>Royalcoat premium gloss</t>
        </is>
      </c>
      <c r="C1156" t="n">
        <v>100</v>
      </c>
      <c r="D1156" t="n">
        <v>70</v>
      </c>
      <c r="E1156" t="n">
        <v>300</v>
      </c>
      <c r="F1156" t="n">
        <v>0</v>
      </c>
      <c r="G1156">
        <f>SUMIF(PRISPELO!B:B, A1156, PRISPELO!G:G)</f>
        <v/>
      </c>
      <c r="H1156">
        <f>SUMIF(ODPIS!B:B, A1156, ODPIS!G:G)</f>
        <v/>
      </c>
      <c r="I1156" s="2">
        <f>F1156 + G1156 - H1156</f>
        <v/>
      </c>
    </row>
    <row r="1157">
      <c r="A1157" t="n">
        <v>3114</v>
      </c>
      <c r="B1157" t="inlineStr">
        <is>
          <t>MetsaBoard Prime</t>
        </is>
      </c>
      <c r="C1157" t="n">
        <v>101</v>
      </c>
      <c r="D1157" t="n">
        <v>71</v>
      </c>
      <c r="E1157" t="n">
        <v>305</v>
      </c>
      <c r="F1157" t="n">
        <v>0</v>
      </c>
      <c r="G1157">
        <f>SUMIF(PRISPELO!B:B, A1157, PRISPELO!G:G)</f>
        <v/>
      </c>
      <c r="H1157">
        <f>SUMIF(ODPIS!B:B, A1157, ODPIS!G:G)</f>
        <v/>
      </c>
      <c r="I1157" s="2">
        <f>F1157 + G1157 - H1157</f>
        <v/>
      </c>
    </row>
    <row r="1158">
      <c r="A1158" t="n">
        <v>3115</v>
      </c>
      <c r="B1158" t="inlineStr">
        <is>
          <t>QUATRO GLOSS</t>
        </is>
      </c>
      <c r="C1158" t="n">
        <v>90</v>
      </c>
      <c r="D1158" t="n">
        <v>64</v>
      </c>
      <c r="E1158" t="n">
        <v>250</v>
      </c>
      <c r="F1158" t="n">
        <v>0</v>
      </c>
      <c r="G1158">
        <f>SUMIF(PRISPELO!B:B, A1158, PRISPELO!G:G)</f>
        <v/>
      </c>
      <c r="H1158">
        <f>SUMIF(ODPIS!B:B, A1158, ODPIS!G:G)</f>
        <v/>
      </c>
      <c r="I1158" s="2">
        <f>F1158 + G1158 - H1158</f>
        <v/>
      </c>
    </row>
    <row r="1159">
      <c r="A1159" t="n">
        <v>3116</v>
      </c>
      <c r="B1159" t="inlineStr">
        <is>
          <t>Royalcoat premium silk</t>
        </is>
      </c>
      <c r="C1159" t="n">
        <v>100</v>
      </c>
      <c r="D1159" t="n">
        <v>70</v>
      </c>
      <c r="E1159" t="n">
        <v>130</v>
      </c>
      <c r="F1159" t="n">
        <v>200</v>
      </c>
      <c r="G1159">
        <f>SUMIF(PRISPELO!B:B, A1159, PRISPELO!G:G)</f>
        <v/>
      </c>
      <c r="H1159">
        <f>SUMIF(ODPIS!B:B, A1159, ODPIS!G:G)</f>
        <v/>
      </c>
      <c r="I1159" s="2">
        <f>F1159 + G1159 - H1159</f>
        <v/>
      </c>
    </row>
    <row r="1160">
      <c r="A1160" t="n">
        <v>3117</v>
      </c>
      <c r="B1160" t="inlineStr">
        <is>
          <t>NIVIS NEXT MATT</t>
        </is>
      </c>
      <c r="C1160" t="n">
        <v>72</v>
      </c>
      <c r="D1160" t="n">
        <v>102</v>
      </c>
      <c r="E1160" t="n">
        <v>350</v>
      </c>
      <c r="F1160" t="n">
        <v>0</v>
      </c>
      <c r="G1160">
        <f>SUMIF(PRISPELO!B:B, A1160, PRISPELO!G:G)</f>
        <v/>
      </c>
      <c r="H1160">
        <f>SUMIF(ODPIS!B:B, A1160, ODPIS!G:G)</f>
        <v/>
      </c>
      <c r="I1160" s="2">
        <f>F1160 + G1160 - H1160</f>
        <v/>
      </c>
    </row>
    <row r="1161">
      <c r="A1161" t="n">
        <v>3118</v>
      </c>
      <c r="B1161" t="inlineStr">
        <is>
          <t>NIVIS NEXT MATT</t>
        </is>
      </c>
      <c r="C1161" t="n">
        <v>70</v>
      </c>
      <c r="D1161" t="n">
        <v>100</v>
      </c>
      <c r="E1161" t="n">
        <v>170</v>
      </c>
      <c r="F1161" t="n">
        <v>250</v>
      </c>
      <c r="G1161">
        <f>SUMIF(PRISPELO!B:B, A1161, PRISPELO!G:G)</f>
        <v/>
      </c>
      <c r="H1161">
        <f>SUMIF(ODPIS!B:B, A1161, ODPIS!G:G)</f>
        <v/>
      </c>
      <c r="I1161" s="2">
        <f>F1161 + G1161 - H1161</f>
        <v/>
      </c>
    </row>
    <row r="1162">
      <c r="A1162" t="n">
        <v>3119</v>
      </c>
      <c r="B1162" t="inlineStr">
        <is>
          <t>Garda gloss</t>
        </is>
      </c>
      <c r="C1162" t="n">
        <v>70</v>
      </c>
      <c r="D1162" t="n">
        <v>100</v>
      </c>
      <c r="E1162" t="n">
        <v>135</v>
      </c>
      <c r="F1162" t="n">
        <v>0</v>
      </c>
      <c r="G1162">
        <f>SUMIF(PRISPELO!B:B, A1162, PRISPELO!G:G)</f>
        <v/>
      </c>
      <c r="H1162">
        <f>SUMIF(ODPIS!B:B, A1162, ODPIS!G:G)</f>
        <v/>
      </c>
      <c r="I1162" s="2">
        <f>F1162 + G1162 - H1162</f>
        <v/>
      </c>
    </row>
    <row r="1163">
      <c r="A1163" t="n">
        <v>3120</v>
      </c>
      <c r="B1163" t="inlineStr">
        <is>
          <t>Magno natural offset</t>
        </is>
      </c>
      <c r="C1163" t="n">
        <v>70</v>
      </c>
      <c r="D1163" t="n">
        <v>100</v>
      </c>
      <c r="E1163" t="n">
        <v>250</v>
      </c>
      <c r="F1163" t="n">
        <v>0</v>
      </c>
      <c r="G1163">
        <f>SUMIF(PRISPELO!B:B, A1163, PRISPELO!G:G)</f>
        <v/>
      </c>
      <c r="H1163">
        <f>SUMIF(ODPIS!B:B, A1163, ODPIS!G:G)</f>
        <v/>
      </c>
      <c r="I1163" s="2">
        <f>F1163 + G1163 - H1163</f>
        <v/>
      </c>
    </row>
    <row r="1164">
      <c r="A1164" t="n">
        <v>3121</v>
      </c>
      <c r="B1164" t="inlineStr">
        <is>
          <t>NIVIS SATIN</t>
        </is>
      </c>
      <c r="C1164" t="n">
        <v>90</v>
      </c>
      <c r="D1164" t="n">
        <v>64</v>
      </c>
      <c r="E1164" t="n">
        <v>150</v>
      </c>
      <c r="F1164" t="n">
        <v>0</v>
      </c>
      <c r="G1164">
        <f>SUMIF(PRISPELO!B:B, A1164, PRISPELO!G:G)</f>
        <v/>
      </c>
      <c r="H1164">
        <f>SUMIF(ODPIS!B:B, A1164, ODPIS!G:G)</f>
        <v/>
      </c>
      <c r="I1164" s="2">
        <f>F1164 + G1164 - H1164</f>
        <v/>
      </c>
    </row>
    <row r="1165">
      <c r="A1165" t="n">
        <v>3122</v>
      </c>
      <c r="B1165" t="inlineStr">
        <is>
          <t>Royalcoat premium silk</t>
        </is>
      </c>
      <c r="C1165" t="n">
        <v>64</v>
      </c>
      <c r="D1165" t="n">
        <v>90</v>
      </c>
      <c r="E1165" t="n">
        <v>100</v>
      </c>
      <c r="F1165" t="n">
        <v>0</v>
      </c>
      <c r="G1165">
        <f>SUMIF(PRISPELO!B:B, A1165, PRISPELO!G:G)</f>
        <v/>
      </c>
      <c r="H1165">
        <f>SUMIF(ODPIS!B:B, A1165, ODPIS!G:G)</f>
        <v/>
      </c>
      <c r="I1165" s="2">
        <f>F1165 + G1165 - H1165</f>
        <v/>
      </c>
    </row>
    <row r="1166">
      <c r="A1166" t="n">
        <v>3123</v>
      </c>
      <c r="B1166" t="inlineStr">
        <is>
          <t>PREMIUM SILK</t>
        </is>
      </c>
      <c r="C1166" t="n">
        <v>70</v>
      </c>
      <c r="D1166" t="n">
        <v>50</v>
      </c>
      <c r="E1166" t="n">
        <v>250</v>
      </c>
      <c r="F1166" t="n">
        <v>0</v>
      </c>
      <c r="G1166">
        <f>SUMIF(PRISPELO!B:B, A1166, PRISPELO!G:G)</f>
        <v/>
      </c>
      <c r="H1166">
        <f>SUMIF(ODPIS!B:B, A1166, ODPIS!G:G)</f>
        <v/>
      </c>
      <c r="I1166" s="2">
        <f>F1166 + G1166 - H1166</f>
        <v/>
      </c>
    </row>
    <row r="1167">
      <c r="A1167" t="n">
        <v>3124</v>
      </c>
      <c r="B1167" t="inlineStr">
        <is>
          <t>PREMIUM SILK</t>
        </is>
      </c>
      <c r="C1167" t="n">
        <v>64</v>
      </c>
      <c r="D1167" t="n">
        <v>45</v>
      </c>
      <c r="E1167" t="n">
        <v>200</v>
      </c>
      <c r="F1167" t="n">
        <v>0</v>
      </c>
      <c r="G1167">
        <f>SUMIF(PRISPELO!B:B, A1167, PRISPELO!G:G)</f>
        <v/>
      </c>
      <c r="H1167">
        <f>SUMIF(ODPIS!B:B, A1167, ODPIS!G:G)</f>
        <v/>
      </c>
      <c r="I1167" s="2">
        <f>F1167 + G1167 - H1167</f>
        <v/>
      </c>
    </row>
    <row r="1168">
      <c r="A1168" t="n">
        <v>3125</v>
      </c>
      <c r="B1168" t="inlineStr">
        <is>
          <t>NIVIS NEXT MATT</t>
        </is>
      </c>
      <c r="C1168" t="n">
        <v>64</v>
      </c>
      <c r="D1168" t="n">
        <v>90</v>
      </c>
      <c r="E1168" t="n">
        <v>250</v>
      </c>
      <c r="F1168" t="n">
        <v>0</v>
      </c>
      <c r="G1168">
        <f>SUMIF(PRISPELO!B:B, A1168, PRISPELO!G:G)</f>
        <v/>
      </c>
      <c r="H1168">
        <f>SUMIF(ODPIS!B:B, A1168, ODPIS!G:G)</f>
        <v/>
      </c>
      <c r="I1168" s="2">
        <f>F1168 + G1168 - H1168</f>
        <v/>
      </c>
    </row>
    <row r="1169">
      <c r="A1169" t="n">
        <v>3126</v>
      </c>
      <c r="B1169" t="inlineStr">
        <is>
          <t>IQ PRINT</t>
        </is>
      </c>
      <c r="C1169" t="n">
        <v>102</v>
      </c>
      <c r="D1169" t="n">
        <v>72</v>
      </c>
      <c r="E1169" t="n">
        <v>140</v>
      </c>
      <c r="F1169" t="n">
        <v>0</v>
      </c>
      <c r="G1169">
        <f>SUMIF(PRISPELO!B:B, A1169, PRISPELO!G:G)</f>
        <v/>
      </c>
      <c r="H1169">
        <f>SUMIF(ODPIS!B:B, A1169, ODPIS!G:G)</f>
        <v/>
      </c>
      <c r="I1169" s="2">
        <f>F1169 + G1169 - H1169</f>
        <v/>
      </c>
    </row>
    <row r="1170">
      <c r="A1170" t="n">
        <v>3898</v>
      </c>
      <c r="B1170" t="inlineStr">
        <is>
          <t>ŠKATLE ORANŽNE</t>
        </is>
      </c>
      <c r="C1170" t="n">
        <v>0</v>
      </c>
      <c r="D1170" t="n">
        <v>0</v>
      </c>
      <c r="E1170" t="n">
        <v>0</v>
      </c>
      <c r="F1170" t="n">
        <v>0</v>
      </c>
      <c r="G1170">
        <f>SUMIF(PRISPELO!B:B, A1170, PRISPELO!G:G)</f>
        <v/>
      </c>
      <c r="H1170">
        <f>SUMIF(ODPIS!B:B, A1170, ODPIS!G:G)</f>
        <v/>
      </c>
      <c r="I1170" s="2">
        <f>F1170 + G1170 - H1170</f>
        <v/>
      </c>
    </row>
    <row r="1171">
      <c r="A1171" t="n">
        <v>3899</v>
      </c>
      <c r="B1171" t="inlineStr">
        <is>
          <t>ŠKATLE SIVE</t>
        </is>
      </c>
      <c r="C1171" t="n">
        <v>0</v>
      </c>
      <c r="D1171" t="n">
        <v>0</v>
      </c>
      <c r="E1171" t="n">
        <v>0</v>
      </c>
      <c r="F1171" t="n">
        <v>0</v>
      </c>
      <c r="G1171">
        <f>SUMIF(PRISPELO!B:B, A1171, PRISPELO!G:G)</f>
        <v/>
      </c>
      <c r="H1171">
        <f>SUMIF(ODPIS!B:B, A1171, ODPIS!G:G)</f>
        <v/>
      </c>
      <c r="I1171" s="2">
        <f>F1171 + G1171 - H1171</f>
        <v/>
      </c>
    </row>
    <row r="1172">
      <c r="A1172" t="n">
        <v>3900</v>
      </c>
      <c r="B1172" t="inlineStr">
        <is>
          <t>ŠKATLE RUMENE</t>
        </is>
      </c>
      <c r="C1172" t="n">
        <v>0</v>
      </c>
      <c r="D1172" t="n">
        <v>0</v>
      </c>
      <c r="E1172" t="n">
        <v>0</v>
      </c>
      <c r="F1172" t="n">
        <v>0</v>
      </c>
      <c r="G1172">
        <f>SUMIF(PRISPELO!B:B, A1172, PRISPELO!G:G)</f>
        <v/>
      </c>
      <c r="H1172">
        <f>SUMIF(ODPIS!B:B, A1172, ODPIS!G:G)</f>
        <v/>
      </c>
      <c r="I1172" s="2">
        <f>F1172 + G1172 - H1172</f>
        <v/>
      </c>
    </row>
    <row r="1173">
      <c r="A1173" t="n">
        <v>3127</v>
      </c>
      <c r="B1173" t="inlineStr">
        <is>
          <t>MultiOffset</t>
        </is>
      </c>
      <c r="C1173" t="n">
        <v>45</v>
      </c>
      <c r="D1173" t="n">
        <v>64</v>
      </c>
      <c r="E1173" t="n">
        <v>80</v>
      </c>
      <c r="F1173" t="n">
        <v>0</v>
      </c>
      <c r="G1173">
        <f>SUMIF(PRISPELO!B:B, A1173, PRISPELO!G:G)</f>
        <v/>
      </c>
      <c r="H1173">
        <f>SUMIF(ODPIS!B:B, A1173, ODPIS!G:G)</f>
        <v/>
      </c>
      <c r="I1173" s="2">
        <f>F1173 + G1173 - H1173</f>
        <v/>
      </c>
    </row>
    <row r="1174">
      <c r="A1174" t="n">
        <v>3128</v>
      </c>
      <c r="B1174" t="inlineStr">
        <is>
          <t>Royalcoat premium silk</t>
        </is>
      </c>
      <c r="C1174" t="n">
        <v>64</v>
      </c>
      <c r="D1174" t="n">
        <v>45</v>
      </c>
      <c r="E1174" t="n">
        <v>130</v>
      </c>
      <c r="F1174" t="n">
        <v>0</v>
      </c>
      <c r="G1174">
        <f>SUMIF(PRISPELO!B:B, A1174, PRISPELO!G:G)</f>
        <v/>
      </c>
      <c r="H1174">
        <f>SUMIF(ODPIS!B:B, A1174, ODPIS!G:G)</f>
        <v/>
      </c>
      <c r="I1174" s="2">
        <f>F1174 + G1174 - H1174</f>
        <v/>
      </c>
    </row>
    <row r="1175">
      <c r="A1175" t="n">
        <v>3133</v>
      </c>
      <c r="B1175" t="inlineStr">
        <is>
          <t>AMBER GRAPHIC</t>
        </is>
      </c>
      <c r="C1175" t="n">
        <v>70</v>
      </c>
      <c r="D1175" t="n">
        <v>100</v>
      </c>
      <c r="E1175" t="n">
        <v>70</v>
      </c>
      <c r="F1175" t="n">
        <v>0</v>
      </c>
      <c r="G1175">
        <f>SUMIF(PRISPELO!B:B, A1175, PRISPELO!G:G)</f>
        <v/>
      </c>
      <c r="H1175">
        <f>SUMIF(ODPIS!B:B, A1175, ODPIS!G:G)</f>
        <v/>
      </c>
      <c r="I1175" s="2">
        <f>F1175 + G1175 - H1175</f>
        <v/>
      </c>
    </row>
    <row r="1176">
      <c r="A1176" t="n">
        <v>3134</v>
      </c>
      <c r="B1176" t="inlineStr">
        <is>
          <t>Royalcoat premium silk</t>
        </is>
      </c>
      <c r="C1176" t="n">
        <v>100</v>
      </c>
      <c r="D1176" t="n">
        <v>70</v>
      </c>
      <c r="E1176" t="n">
        <v>170</v>
      </c>
      <c r="F1176" t="n">
        <v>0</v>
      </c>
      <c r="G1176">
        <f>SUMIF(PRISPELO!B:B, A1176, PRISPELO!G:G)</f>
        <v/>
      </c>
      <c r="H1176">
        <f>SUMIF(ODPIS!B:B, A1176, ODPIS!G:G)</f>
        <v/>
      </c>
      <c r="I1176" s="2">
        <f>F1176 + G1176 - H1176</f>
        <v/>
      </c>
    </row>
    <row r="1177">
      <c r="A1177" t="n">
        <v>3135</v>
      </c>
      <c r="B1177" t="inlineStr">
        <is>
          <t>OLIN smooth absolute white</t>
        </is>
      </c>
      <c r="C1177" t="n">
        <v>72</v>
      </c>
      <c r="D1177" t="n">
        <v>102</v>
      </c>
      <c r="E1177" t="n">
        <v>200</v>
      </c>
      <c r="F1177" t="n">
        <v>0</v>
      </c>
      <c r="G1177">
        <f>SUMIF(PRISPELO!B:B, A1177, PRISPELO!G:G)</f>
        <v/>
      </c>
      <c r="H1177">
        <f>SUMIF(ODPIS!B:B, A1177, ODPIS!G:G)</f>
        <v/>
      </c>
      <c r="I1177" s="2">
        <f>F1177 + G1177 - H1177</f>
        <v/>
      </c>
    </row>
    <row r="1178">
      <c r="A1178" t="n">
        <v>3136</v>
      </c>
      <c r="B1178" t="inlineStr">
        <is>
          <t>STARKRAFT</t>
        </is>
      </c>
      <c r="C1178" t="n">
        <v>90</v>
      </c>
      <c r="D1178" t="n">
        <v>126</v>
      </c>
      <c r="E1178" t="n">
        <v>90</v>
      </c>
      <c r="F1178" t="n">
        <v>0</v>
      </c>
      <c r="G1178">
        <f>SUMIF(PRISPELO!B:B, A1178, PRISPELO!G:G)</f>
        <v/>
      </c>
      <c r="H1178">
        <f>SUMIF(ODPIS!B:B, A1178, ODPIS!G:G)</f>
        <v/>
      </c>
      <c r="I1178" s="2">
        <f>F1178 + G1178 - H1178</f>
        <v/>
      </c>
    </row>
    <row r="1179">
      <c r="A1179" t="n">
        <v>3137</v>
      </c>
      <c r="B1179" t="inlineStr">
        <is>
          <t>Perigord MATT Condat</t>
        </is>
      </c>
      <c r="C1179" t="n">
        <v>72</v>
      </c>
      <c r="D1179" t="n">
        <v>102</v>
      </c>
      <c r="E1179" t="n">
        <v>115</v>
      </c>
      <c r="F1179" t="n">
        <v>2500</v>
      </c>
      <c r="G1179">
        <f>SUMIF(PRISPELO!B:B, A1179, PRISPELO!G:G)</f>
        <v/>
      </c>
      <c r="H1179">
        <f>SUMIF(ODPIS!B:B, A1179, ODPIS!G:G)</f>
        <v/>
      </c>
      <c r="I1179" s="2">
        <f>F1179 + G1179 - H1179</f>
        <v/>
      </c>
    </row>
    <row r="1180">
      <c r="A1180" t="n">
        <v>3139</v>
      </c>
      <c r="B1180" t="inlineStr">
        <is>
          <t>GardaPat 13 klassica</t>
        </is>
      </c>
      <c r="C1180" t="n">
        <v>100</v>
      </c>
      <c r="D1180" t="n">
        <v>70</v>
      </c>
      <c r="E1180" t="n">
        <v>135</v>
      </c>
      <c r="F1180" t="n">
        <v>0</v>
      </c>
      <c r="G1180">
        <f>SUMIF(PRISPELO!B:B, A1180, PRISPELO!G:G)</f>
        <v/>
      </c>
      <c r="H1180">
        <f>SUMIF(ODPIS!B:B, A1180, ODPIS!G:G)</f>
        <v/>
      </c>
      <c r="I1180" s="2">
        <f>F1180 + G1180 - H1180</f>
        <v/>
      </c>
    </row>
    <row r="1181">
      <c r="A1181" t="n">
        <v>3140</v>
      </c>
      <c r="B1181" t="inlineStr">
        <is>
          <t>GardaPat 13 klassica</t>
        </is>
      </c>
      <c r="C1181" t="n">
        <v>100</v>
      </c>
      <c r="D1181" t="n">
        <v>70</v>
      </c>
      <c r="E1181" t="n">
        <v>150</v>
      </c>
      <c r="F1181" t="n">
        <v>0</v>
      </c>
      <c r="G1181">
        <f>SUMIF(PRISPELO!B:B, A1181, PRISPELO!G:G)</f>
        <v/>
      </c>
      <c r="H1181">
        <f>SUMIF(ODPIS!B:B, A1181, ODPIS!G:G)</f>
        <v/>
      </c>
      <c r="I1181" s="2">
        <f>F1181 + G1181 - H1181</f>
        <v/>
      </c>
    </row>
    <row r="1182">
      <c r="A1182" t="n">
        <v>3141</v>
      </c>
      <c r="B1182" t="inlineStr">
        <is>
          <t>Munken Kristall</t>
        </is>
      </c>
      <c r="C1182" t="n">
        <v>72</v>
      </c>
      <c r="D1182" t="n">
        <v>102</v>
      </c>
      <c r="E1182" t="n">
        <v>300</v>
      </c>
      <c r="F1182" t="n">
        <v>0</v>
      </c>
      <c r="G1182">
        <f>SUMIF(PRISPELO!B:B, A1182, PRISPELO!G:G)</f>
        <v/>
      </c>
      <c r="H1182">
        <f>SUMIF(ODPIS!B:B, A1182, ODPIS!G:G)</f>
        <v/>
      </c>
      <c r="I1182" s="2">
        <f>F1182 + G1182 - H1182</f>
        <v/>
      </c>
    </row>
    <row r="1183">
      <c r="A1183" t="n">
        <v>3142</v>
      </c>
      <c r="B1183" t="inlineStr">
        <is>
          <t>ESKABOARD 1,5mm</t>
        </is>
      </c>
      <c r="C1183" t="n">
        <v>72</v>
      </c>
      <c r="D1183" t="n">
        <v>101</v>
      </c>
      <c r="E1183" t="n">
        <v>945</v>
      </c>
      <c r="F1183" t="n">
        <v>500</v>
      </c>
      <c r="G1183">
        <f>SUMIF(PRISPELO!B:B, A1183, PRISPELO!G:G)</f>
        <v/>
      </c>
      <c r="H1183">
        <f>SUMIF(ODPIS!B:B, A1183, ODPIS!G:G)</f>
        <v/>
      </c>
      <c r="I1183" s="2">
        <f>F1183 + G1183 - H1183</f>
        <v/>
      </c>
    </row>
    <row r="1184">
      <c r="A1184" t="n">
        <v>3143</v>
      </c>
      <c r="B1184" t="inlineStr">
        <is>
          <t>Royalcoat premium silk</t>
        </is>
      </c>
      <c r="C1184" t="n">
        <v>90</v>
      </c>
      <c r="D1184" t="n">
        <v>64</v>
      </c>
      <c r="E1184" t="n">
        <v>200</v>
      </c>
      <c r="F1184" t="n">
        <v>0</v>
      </c>
      <c r="G1184">
        <f>SUMIF(PRISPELO!B:B, A1184, PRISPELO!G:G)</f>
        <v/>
      </c>
      <c r="H1184">
        <f>SUMIF(ODPIS!B:B, A1184, ODPIS!G:G)</f>
        <v/>
      </c>
      <c r="I1184" s="2">
        <f>F1184 + G1184 - H1184</f>
        <v/>
      </c>
    </row>
    <row r="1185">
      <c r="A1185" t="n">
        <v>3145</v>
      </c>
      <c r="B1185" t="inlineStr">
        <is>
          <t>ZENITH</t>
        </is>
      </c>
      <c r="C1185" t="n">
        <v>102</v>
      </c>
      <c r="D1185" t="n">
        <v>72</v>
      </c>
      <c r="E1185" t="n">
        <v>325</v>
      </c>
      <c r="F1185" t="n">
        <v>0</v>
      </c>
      <c r="G1185">
        <f>SUMIF(PRISPELO!B:B, A1185, PRISPELO!G:G)</f>
        <v/>
      </c>
      <c r="H1185">
        <f>SUMIF(ODPIS!B:B, A1185, ODPIS!G:G)</f>
        <v/>
      </c>
      <c r="I1185" s="2">
        <f>F1185 + G1185 - H1185</f>
        <v/>
      </c>
    </row>
    <row r="1186">
      <c r="A1186" t="n">
        <v>3147</v>
      </c>
      <c r="B1186" t="inlineStr">
        <is>
          <t>NIVIS NEXT MATT</t>
        </is>
      </c>
      <c r="C1186" t="n">
        <v>100</v>
      </c>
      <c r="D1186" t="n">
        <v>70</v>
      </c>
      <c r="E1186" t="n">
        <v>250</v>
      </c>
      <c r="F1186" t="n">
        <v>130</v>
      </c>
      <c r="G1186">
        <f>SUMIF(PRISPELO!B:B, A1186, PRISPELO!G:G)</f>
        <v/>
      </c>
      <c r="H1186">
        <f>SUMIF(ODPIS!B:B, A1186, ODPIS!G:G)</f>
        <v/>
      </c>
      <c r="I1186" s="2">
        <f>F1186 + G1186 - H1186</f>
        <v/>
      </c>
    </row>
    <row r="1187">
      <c r="A1187" t="n">
        <v>3148</v>
      </c>
      <c r="B1187" t="inlineStr">
        <is>
          <t>Chromolux 700</t>
        </is>
      </c>
      <c r="C1187" t="n">
        <v>70</v>
      </c>
      <c r="D1187" t="n">
        <v>100</v>
      </c>
      <c r="E1187" t="n">
        <v>80</v>
      </c>
      <c r="F1187" t="n">
        <v>0</v>
      </c>
      <c r="G1187">
        <f>SUMIF(PRISPELO!B:B, A1187, PRISPELO!G:G)</f>
        <v/>
      </c>
      <c r="H1187">
        <f>SUMIF(ODPIS!B:B, A1187, ODPIS!G:G)</f>
        <v/>
      </c>
      <c r="I1187" s="2">
        <f>F1187 + G1187 - H1187</f>
        <v/>
      </c>
    </row>
    <row r="1188">
      <c r="A1188" t="n">
        <v>3149</v>
      </c>
      <c r="B1188" t="inlineStr">
        <is>
          <t>Nivis next gloss</t>
        </is>
      </c>
      <c r="C1188" t="n">
        <v>90</v>
      </c>
      <c r="D1188" t="n">
        <v>64</v>
      </c>
      <c r="E1188" t="n">
        <v>300</v>
      </c>
      <c r="F1188" t="n">
        <v>0</v>
      </c>
      <c r="G1188">
        <f>SUMIF(PRISPELO!B:B, A1188, PRISPELO!G:G)</f>
        <v/>
      </c>
      <c r="H1188">
        <f>SUMIF(ODPIS!B:B, A1188, ODPIS!G:G)</f>
        <v/>
      </c>
      <c r="I1188" s="2">
        <f>F1188 + G1188 - H1188</f>
        <v/>
      </c>
    </row>
    <row r="1189">
      <c r="A1189" t="n">
        <v>3150</v>
      </c>
      <c r="B1189" t="inlineStr">
        <is>
          <t>NIVIS NEXT GLOSS</t>
        </is>
      </c>
      <c r="C1189" t="n">
        <v>90</v>
      </c>
      <c r="D1189" t="n">
        <v>64</v>
      </c>
      <c r="E1189" t="n">
        <v>150</v>
      </c>
      <c r="F1189" t="n">
        <v>0</v>
      </c>
      <c r="G1189">
        <f>SUMIF(PRISPELO!B:B, A1189, PRISPELO!G:G)</f>
        <v/>
      </c>
      <c r="H1189">
        <f>SUMIF(ODPIS!B:B, A1189, ODPIS!G:G)</f>
        <v/>
      </c>
      <c r="I1189" s="2">
        <f>F1189 + G1189 - H1189</f>
        <v/>
      </c>
    </row>
    <row r="1190">
      <c r="A1190" t="n">
        <v>3152</v>
      </c>
      <c r="B1190" t="inlineStr">
        <is>
          <t>NIVIS NEXT MATT</t>
        </is>
      </c>
      <c r="C1190" t="n">
        <v>100</v>
      </c>
      <c r="D1190" t="n">
        <v>70</v>
      </c>
      <c r="E1190" t="n">
        <v>300</v>
      </c>
      <c r="F1190" t="n">
        <v>0</v>
      </c>
      <c r="G1190">
        <f>SUMIF(PRISPELO!B:B, A1190, PRISPELO!G:G)</f>
        <v/>
      </c>
      <c r="H1190">
        <f>SUMIF(ODPIS!B:B, A1190, ODPIS!G:G)</f>
        <v/>
      </c>
      <c r="I1190" s="2">
        <f>F1190 + G1190 - H1190</f>
        <v/>
      </c>
    </row>
    <row r="1191">
      <c r="A1191" t="n">
        <v>3153</v>
      </c>
      <c r="B1191" t="inlineStr">
        <is>
          <t>Magno natural offset</t>
        </is>
      </c>
      <c r="C1191" t="n">
        <v>64</v>
      </c>
      <c r="D1191" t="n">
        <v>90</v>
      </c>
      <c r="E1191" t="n">
        <v>80</v>
      </c>
      <c r="F1191" t="n">
        <v>0</v>
      </c>
      <c r="G1191">
        <f>SUMIF(PRISPELO!B:B, A1191, PRISPELO!G:G)</f>
        <v/>
      </c>
      <c r="H1191">
        <f>SUMIF(ODPIS!B:B, A1191, ODPIS!G:G)</f>
        <v/>
      </c>
      <c r="I1191" s="2">
        <f>F1191 + G1191 - H1191</f>
        <v/>
      </c>
    </row>
    <row r="1192">
      <c r="A1192" t="n">
        <v>3154</v>
      </c>
      <c r="B1192" t="inlineStr">
        <is>
          <t>OLIN rough absolute white</t>
        </is>
      </c>
      <c r="C1192" t="n">
        <v>72</v>
      </c>
      <c r="D1192" t="n">
        <v>102</v>
      </c>
      <c r="E1192" t="n">
        <v>300</v>
      </c>
      <c r="F1192" t="n">
        <v>0</v>
      </c>
      <c r="G1192">
        <f>SUMIF(PRISPELO!B:B, A1192, PRISPELO!G:G)</f>
        <v/>
      </c>
      <c r="H1192">
        <f>SUMIF(ODPIS!B:B, A1192, ODPIS!G:G)</f>
        <v/>
      </c>
      <c r="I1192" s="2">
        <f>F1192 + G1192 - H1192</f>
        <v/>
      </c>
    </row>
    <row r="1193">
      <c r="A1193" t="n">
        <v>3155</v>
      </c>
      <c r="B1193" t="inlineStr">
        <is>
          <t>ALGRO DESIGN DUO</t>
        </is>
      </c>
      <c r="C1193" t="n">
        <v>72</v>
      </c>
      <c r="D1193" t="n">
        <v>102</v>
      </c>
      <c r="E1193" t="n">
        <v>360</v>
      </c>
      <c r="F1193" t="n">
        <v>0</v>
      </c>
      <c r="G1193">
        <f>SUMIF(PRISPELO!B:B, A1193, PRISPELO!G:G)</f>
        <v/>
      </c>
      <c r="H1193">
        <f>SUMIF(ODPIS!B:B, A1193, ODPIS!G:G)</f>
        <v/>
      </c>
      <c r="I1193" s="2">
        <f>F1193 + G1193 - H1193</f>
        <v/>
      </c>
    </row>
    <row r="1194">
      <c r="A1194" t="n">
        <v>3155</v>
      </c>
      <c r="B1194" t="inlineStr">
        <is>
          <t>ALGRO DESIGN DUO</t>
        </is>
      </c>
      <c r="C1194" t="n">
        <v>72</v>
      </c>
      <c r="D1194" t="n">
        <v>102</v>
      </c>
      <c r="E1194" t="n">
        <v>360</v>
      </c>
      <c r="F1194" t="n">
        <v>0</v>
      </c>
      <c r="G1194">
        <f>SUMIF(PRISPELO!B:B, A1194, PRISPELO!G:G)</f>
        <v/>
      </c>
      <c r="H1194">
        <f>SUMIF(ODPIS!B:B, A1194, ODPIS!G:G)</f>
        <v/>
      </c>
      <c r="I1194" s="2">
        <f>F1194 + G1194 - H1194</f>
        <v/>
      </c>
    </row>
    <row r="1195">
      <c r="A1195" t="n">
        <v>3157</v>
      </c>
      <c r="B1195" t="inlineStr">
        <is>
          <t>GardaPat 13 kiara</t>
        </is>
      </c>
      <c r="C1195" t="n">
        <v>100</v>
      </c>
      <c r="D1195" t="n">
        <v>70</v>
      </c>
      <c r="E1195" t="n">
        <v>115</v>
      </c>
      <c r="F1195" t="n">
        <v>0</v>
      </c>
      <c r="G1195">
        <f>SUMIF(PRISPELO!B:B, A1195, PRISPELO!G:G)</f>
        <v/>
      </c>
      <c r="H1195">
        <f>SUMIF(ODPIS!B:B, A1195, ODPIS!G:G)</f>
        <v/>
      </c>
      <c r="I1195" s="2">
        <f>F1195 + G1195 - H1195</f>
        <v/>
      </c>
    </row>
    <row r="1196">
      <c r="A1196" t="n">
        <v>3158</v>
      </c>
      <c r="B1196" t="inlineStr">
        <is>
          <t>NIVIS NEXT GLOSS</t>
        </is>
      </c>
      <c r="C1196" t="n">
        <v>100</v>
      </c>
      <c r="D1196" t="n">
        <v>70</v>
      </c>
      <c r="E1196" t="n">
        <v>130</v>
      </c>
      <c r="F1196" t="n">
        <v>0</v>
      </c>
      <c r="G1196">
        <f>SUMIF(PRISPELO!B:B, A1196, PRISPELO!G:G)</f>
        <v/>
      </c>
      <c r="H1196">
        <f>SUMIF(ODPIS!B:B, A1196, ODPIS!G:G)</f>
        <v/>
      </c>
      <c r="I1196" s="2">
        <f>F1196 + G1196 - H1196</f>
        <v/>
      </c>
    </row>
    <row r="1197">
      <c r="A1197" t="n">
        <v>3919</v>
      </c>
      <c r="B1197" t="inlineStr">
        <is>
          <t>KUVERTA VIA LAID C5/6 NATURAL</t>
        </is>
      </c>
      <c r="C1197" t="n">
        <v>11.4</v>
      </c>
      <c r="D1197" t="n">
        <v>22.9</v>
      </c>
      <c r="E1197" t="n">
        <v>120</v>
      </c>
      <c r="F1197" t="n">
        <v>0</v>
      </c>
      <c r="G1197">
        <f>SUMIF(PRISPELO!B:B, A1197, PRISPELO!G:G)</f>
        <v/>
      </c>
      <c r="H1197">
        <f>SUMIF(ODPIS!B:B, A1197, ODPIS!G:G)</f>
        <v/>
      </c>
      <c r="I1197" s="2">
        <f>F1197 + G1197 - H1197</f>
        <v/>
      </c>
    </row>
    <row r="1198">
      <c r="A1198" t="n">
        <v>3159</v>
      </c>
      <c r="B1198" t="inlineStr">
        <is>
          <t>QUATRO GLOSS</t>
        </is>
      </c>
      <c r="C1198" t="n">
        <v>90</v>
      </c>
      <c r="D1198" t="n">
        <v>64</v>
      </c>
      <c r="E1198" t="n">
        <v>170</v>
      </c>
      <c r="F1198" t="n">
        <v>0</v>
      </c>
      <c r="G1198">
        <f>SUMIF(PRISPELO!B:B, A1198, PRISPELO!G:G)</f>
        <v/>
      </c>
      <c r="H1198">
        <f>SUMIF(ODPIS!B:B, A1198, ODPIS!G:G)</f>
        <v/>
      </c>
      <c r="I1198" s="2">
        <f>F1198 + G1198 - H1198</f>
        <v/>
      </c>
    </row>
    <row r="1199">
      <c r="A1199" t="n">
        <v>3160</v>
      </c>
      <c r="B1199" t="inlineStr">
        <is>
          <t>METSABOARD PRIME</t>
        </is>
      </c>
      <c r="C1199" t="n">
        <v>101</v>
      </c>
      <c r="D1199" t="n">
        <v>71</v>
      </c>
      <c r="E1199" t="n">
        <v>355</v>
      </c>
      <c r="F1199" t="n">
        <v>0</v>
      </c>
      <c r="G1199">
        <f>SUMIF(PRISPELO!B:B, A1199, PRISPELO!G:G)</f>
        <v/>
      </c>
      <c r="H1199">
        <f>SUMIF(ODPIS!B:B, A1199, ODPIS!G:G)</f>
        <v/>
      </c>
      <c r="I1199" s="2">
        <f>F1199 + G1199 - H1199</f>
        <v/>
      </c>
    </row>
    <row r="1200">
      <c r="A1200" t="n">
        <v>3161</v>
      </c>
      <c r="B1200" t="inlineStr">
        <is>
          <t>CYCLUS OFFSET</t>
        </is>
      </c>
      <c r="C1200" t="n">
        <v>90</v>
      </c>
      <c r="D1200" t="n">
        <v>64</v>
      </c>
      <c r="E1200" t="n">
        <v>250</v>
      </c>
      <c r="F1200" t="n">
        <v>0</v>
      </c>
      <c r="G1200">
        <f>SUMIF(PRISPELO!B:B, A1200, PRISPELO!G:G)</f>
        <v/>
      </c>
      <c r="H1200">
        <f>SUMIF(ODPIS!B:B, A1200, ODPIS!G:G)</f>
        <v/>
      </c>
      <c r="I1200" s="2">
        <f>F1200 + G1200 - H1200</f>
        <v/>
      </c>
    </row>
    <row r="1201">
      <c r="A1201" t="n">
        <v>3162</v>
      </c>
      <c r="B1201" t="inlineStr">
        <is>
          <t>Magno Volume</t>
        </is>
      </c>
      <c r="C1201" t="n">
        <v>45</v>
      </c>
      <c r="D1201" t="n">
        <v>64</v>
      </c>
      <c r="E1201" t="n">
        <v>90</v>
      </c>
      <c r="F1201" t="n">
        <v>7500</v>
      </c>
      <c r="G1201">
        <f>SUMIF(PRISPELO!B:B, A1201, PRISPELO!G:G)</f>
        <v/>
      </c>
      <c r="H1201">
        <f>SUMIF(ODPIS!B:B, A1201, ODPIS!G:G)</f>
        <v/>
      </c>
      <c r="I1201" s="2">
        <f>F1201 + G1201 - H1201</f>
        <v/>
      </c>
    </row>
    <row r="1202">
      <c r="A1202" t="n">
        <v>3163</v>
      </c>
      <c r="B1202" t="inlineStr">
        <is>
          <t>NIVIS NEXT GLOSS</t>
        </is>
      </c>
      <c r="C1202" t="n">
        <v>90</v>
      </c>
      <c r="D1202" t="n">
        <v>64</v>
      </c>
      <c r="E1202" t="n">
        <v>250</v>
      </c>
      <c r="F1202" t="n">
        <v>0</v>
      </c>
      <c r="G1202">
        <f>SUMIF(PRISPELO!B:B, A1202, PRISPELO!G:G)</f>
        <v/>
      </c>
      <c r="H1202">
        <f>SUMIF(ODPIS!B:B, A1202, ODPIS!G:G)</f>
        <v/>
      </c>
      <c r="I1202" s="2">
        <f>F1202 + G1202 - H1202</f>
        <v/>
      </c>
    </row>
    <row r="1203">
      <c r="A1203" t="n">
        <v>3164</v>
      </c>
      <c r="B1203" t="inlineStr">
        <is>
          <t>NIVIS NEXT MATT</t>
        </is>
      </c>
      <c r="C1203" t="n">
        <v>100</v>
      </c>
      <c r="D1203" t="n">
        <v>70</v>
      </c>
      <c r="E1203" t="n">
        <v>130</v>
      </c>
      <c r="F1203" t="n">
        <v>160</v>
      </c>
      <c r="G1203">
        <f>SUMIF(PRISPELO!B:B, A1203, PRISPELO!G:G)</f>
        <v/>
      </c>
      <c r="H1203">
        <f>SUMIF(ODPIS!B:B, A1203, ODPIS!G:G)</f>
        <v/>
      </c>
      <c r="I1203" s="2">
        <f>F1203 + G1203 - H1203</f>
        <v/>
      </c>
    </row>
    <row r="1204">
      <c r="A1204" t="n">
        <v>3166</v>
      </c>
      <c r="B1204" t="inlineStr">
        <is>
          <t>Magno natural offset</t>
        </is>
      </c>
      <c r="C1204" t="n">
        <v>100</v>
      </c>
      <c r="D1204" t="n">
        <v>70</v>
      </c>
      <c r="E1204" t="n">
        <v>250</v>
      </c>
      <c r="F1204" t="n">
        <v>0</v>
      </c>
      <c r="G1204">
        <f>SUMIF(PRISPELO!B:B, A1204, PRISPELO!G:G)</f>
        <v/>
      </c>
      <c r="H1204">
        <f>SUMIF(ODPIS!B:B, A1204, ODPIS!G:G)</f>
        <v/>
      </c>
      <c r="I1204" s="2">
        <f>F1204 + G1204 - H1204</f>
        <v/>
      </c>
    </row>
    <row r="1205">
      <c r="A1205" t="n">
        <v>3168</v>
      </c>
      <c r="B1205" t="inlineStr">
        <is>
          <t>quatro gloss</t>
        </is>
      </c>
      <c r="C1205" t="n">
        <v>64</v>
      </c>
      <c r="D1205" t="n">
        <v>90</v>
      </c>
      <c r="E1205" t="n">
        <v>150</v>
      </c>
      <c r="F1205" t="n">
        <v>0</v>
      </c>
      <c r="G1205">
        <f>SUMIF(PRISPELO!B:B, A1205, PRISPELO!G:G)</f>
        <v/>
      </c>
      <c r="H1205">
        <f>SUMIF(ODPIS!B:B, A1205, ODPIS!G:G)</f>
        <v/>
      </c>
      <c r="I1205" s="2">
        <f>F1205 + G1205 - H1205</f>
        <v/>
      </c>
    </row>
    <row r="1206">
      <c r="A1206" t="n">
        <v>3169</v>
      </c>
      <c r="B1206" t="inlineStr">
        <is>
          <t>NIVIS NEXT MATT</t>
        </is>
      </c>
      <c r="C1206" t="n">
        <v>100</v>
      </c>
      <c r="D1206" t="n">
        <v>70</v>
      </c>
      <c r="E1206" t="n">
        <v>200</v>
      </c>
      <c r="F1206" t="n">
        <v>120</v>
      </c>
      <c r="G1206">
        <f>SUMIF(PRISPELO!B:B, A1206, PRISPELO!G:G)</f>
        <v/>
      </c>
      <c r="H1206">
        <f>SUMIF(ODPIS!B:B, A1206, ODPIS!G:G)</f>
        <v/>
      </c>
      <c r="I1206" s="2">
        <f>F1206 + G1206 - H1206</f>
        <v/>
      </c>
    </row>
    <row r="1207">
      <c r="A1207" t="n">
        <v>3170</v>
      </c>
      <c r="B1207" t="inlineStr">
        <is>
          <t>NIVIS NEXT GLOSS</t>
        </is>
      </c>
      <c r="C1207" t="n">
        <v>90</v>
      </c>
      <c r="D1207" t="n">
        <v>64</v>
      </c>
      <c r="E1207" t="n">
        <v>130</v>
      </c>
      <c r="F1207" t="n">
        <v>150</v>
      </c>
      <c r="G1207">
        <f>SUMIF(PRISPELO!B:B, A1207, PRISPELO!G:G)</f>
        <v/>
      </c>
      <c r="H1207">
        <f>SUMIF(ODPIS!B:B, A1207, ODPIS!G:G)</f>
        <v/>
      </c>
      <c r="I1207" s="2">
        <f>F1207 + G1207 - H1207</f>
        <v/>
      </c>
    </row>
    <row r="1208">
      <c r="A1208" t="n">
        <v>3171</v>
      </c>
      <c r="B1208" t="inlineStr">
        <is>
          <t>NIVIS NEXT MATT</t>
        </is>
      </c>
      <c r="C1208" t="n">
        <v>90</v>
      </c>
      <c r="D1208" t="n">
        <v>64</v>
      </c>
      <c r="E1208" t="n">
        <v>90</v>
      </c>
      <c r="F1208" t="n">
        <v>0</v>
      </c>
      <c r="G1208">
        <f>SUMIF(PRISPELO!B:B, A1208, PRISPELO!G:G)</f>
        <v/>
      </c>
      <c r="H1208">
        <f>SUMIF(ODPIS!B:B, A1208, ODPIS!G:G)</f>
        <v/>
      </c>
      <c r="I1208" s="2">
        <f>F1208 + G1208 - H1208</f>
        <v/>
      </c>
    </row>
    <row r="1209">
      <c r="A1209" t="n">
        <v>3173</v>
      </c>
      <c r="B1209" t="inlineStr">
        <is>
          <t>Fedrigoni SYMBOL CARD PW</t>
        </is>
      </c>
      <c r="C1209" t="n">
        <v>50.8</v>
      </c>
      <c r="D1209" t="n">
        <v>35.8</v>
      </c>
      <c r="E1209" t="n">
        <v>270</v>
      </c>
      <c r="F1209" t="n">
        <v>0</v>
      </c>
      <c r="G1209">
        <f>SUMIF(PRISPELO!B:B, A1209, PRISPELO!G:G)</f>
        <v/>
      </c>
      <c r="H1209">
        <f>SUMIF(ODPIS!B:B, A1209, ODPIS!G:G)</f>
        <v/>
      </c>
      <c r="I1209" s="2">
        <f>F1209 + G1209 - H1209</f>
        <v/>
      </c>
    </row>
    <row r="1210">
      <c r="A1210" t="n">
        <v>3175</v>
      </c>
      <c r="B1210" t="inlineStr">
        <is>
          <t>NIVIS NEXT MATT</t>
        </is>
      </c>
      <c r="C1210" t="n">
        <v>45</v>
      </c>
      <c r="D1210" t="n">
        <v>64</v>
      </c>
      <c r="E1210" t="n">
        <v>130</v>
      </c>
      <c r="F1210" t="n">
        <v>0</v>
      </c>
      <c r="G1210">
        <f>SUMIF(PRISPELO!B:B, A1210, PRISPELO!G:G)</f>
        <v/>
      </c>
      <c r="H1210">
        <f>SUMIF(ODPIS!B:B, A1210, ODPIS!G:G)</f>
        <v/>
      </c>
      <c r="I1210" s="2">
        <f>F1210 + G1210 - H1210</f>
        <v/>
      </c>
    </row>
    <row r="1211">
      <c r="A1211" t="n">
        <v>3176</v>
      </c>
      <c r="B1211" t="inlineStr">
        <is>
          <t>PUR COTTON SMOKE</t>
        </is>
      </c>
      <c r="C1211" t="n">
        <v>70</v>
      </c>
      <c r="D1211" t="n">
        <v>100</v>
      </c>
      <c r="E1211" t="n">
        <v>120</v>
      </c>
      <c r="F1211" t="n">
        <v>0</v>
      </c>
      <c r="G1211">
        <f>SUMIF(PRISPELO!B:B, A1211, PRISPELO!G:G)</f>
        <v/>
      </c>
      <c r="H1211">
        <f>SUMIF(ODPIS!B:B, A1211, ODPIS!G:G)</f>
        <v/>
      </c>
      <c r="I1211" s="2">
        <f>F1211 + G1211 - H1211</f>
        <v/>
      </c>
    </row>
    <row r="1212">
      <c r="A1212" t="n">
        <v>3178</v>
      </c>
      <c r="B1212" t="inlineStr">
        <is>
          <t>FSC SCHOLLERHAMMER</t>
        </is>
      </c>
      <c r="C1212" t="n">
        <v>70</v>
      </c>
      <c r="D1212" t="n">
        <v>100</v>
      </c>
      <c r="E1212" t="n">
        <v>350</v>
      </c>
      <c r="F1212" t="n">
        <v>0</v>
      </c>
      <c r="G1212">
        <f>SUMIF(PRISPELO!B:B, A1212, PRISPELO!G:G)</f>
        <v/>
      </c>
      <c r="H1212">
        <f>SUMIF(ODPIS!B:B, A1212, ODPIS!G:G)</f>
        <v/>
      </c>
      <c r="I1212" s="2">
        <f>F1212 + G1212 - H1212</f>
        <v/>
      </c>
    </row>
    <row r="1213">
      <c r="A1213" t="n">
        <v>3179</v>
      </c>
      <c r="B1213" t="inlineStr">
        <is>
          <t>Royalcoat premium gloss</t>
        </is>
      </c>
      <c r="C1213" t="n">
        <v>90</v>
      </c>
      <c r="D1213" t="n">
        <v>64</v>
      </c>
      <c r="E1213" t="n">
        <v>150</v>
      </c>
      <c r="F1213" t="n">
        <v>0</v>
      </c>
      <c r="G1213">
        <f>SUMIF(PRISPELO!B:B, A1213, PRISPELO!G:G)</f>
        <v/>
      </c>
      <c r="H1213">
        <f>SUMIF(ODPIS!B:B, A1213, ODPIS!G:G)</f>
        <v/>
      </c>
      <c r="I1213" s="2">
        <f>F1213 + G1213 - H1213</f>
        <v/>
      </c>
    </row>
    <row r="1214">
      <c r="A1214" t="n">
        <v>3180</v>
      </c>
      <c r="B1214" t="inlineStr">
        <is>
          <t>Royal premium silk</t>
        </is>
      </c>
      <c r="C1214" t="n">
        <v>45</v>
      </c>
      <c r="D1214" t="n">
        <v>64</v>
      </c>
      <c r="E1214" t="n">
        <v>350</v>
      </c>
      <c r="F1214" t="n">
        <v>0</v>
      </c>
      <c r="G1214">
        <f>SUMIF(PRISPELO!B:B, A1214, PRISPELO!G:G)</f>
        <v/>
      </c>
      <c r="H1214">
        <f>SUMIF(ODPIS!B:B, A1214, ODPIS!G:G)</f>
        <v/>
      </c>
      <c r="I1214" s="2">
        <f>F1214 + G1214 - H1214</f>
        <v/>
      </c>
    </row>
    <row r="1215">
      <c r="A1215" t="n">
        <v>3181</v>
      </c>
      <c r="B1215" t="inlineStr">
        <is>
          <t>LEPENKA 0,8 mm</t>
        </is>
      </c>
      <c r="C1215" t="n">
        <v>71</v>
      </c>
      <c r="D1215" t="n">
        <v>101</v>
      </c>
      <c r="E1215" t="n">
        <v>504</v>
      </c>
      <c r="F1215" t="n">
        <v>0</v>
      </c>
      <c r="G1215">
        <f>SUMIF(PRISPELO!B:B, A1215, PRISPELO!G:G)</f>
        <v/>
      </c>
      <c r="H1215">
        <f>SUMIF(ODPIS!B:B, A1215, ODPIS!G:G)</f>
        <v/>
      </c>
      <c r="I1215" s="2">
        <f>F1215 + G1215 - H1215</f>
        <v/>
      </c>
    </row>
    <row r="1216">
      <c r="A1216" t="n">
        <v>3183</v>
      </c>
      <c r="B1216" t="inlineStr">
        <is>
          <t>NIVIS NEXT GLOSS</t>
        </is>
      </c>
      <c r="C1216" t="n">
        <v>90</v>
      </c>
      <c r="D1216" t="n">
        <v>64</v>
      </c>
      <c r="E1216" t="n">
        <v>170</v>
      </c>
      <c r="F1216" t="n">
        <v>0</v>
      </c>
      <c r="G1216">
        <f>SUMIF(PRISPELO!B:B, A1216, PRISPELO!G:G)</f>
        <v/>
      </c>
      <c r="H1216">
        <f>SUMIF(ODPIS!B:B, A1216, ODPIS!G:G)</f>
        <v/>
      </c>
      <c r="I1216" s="2">
        <f>F1216 + G1216 - H1216</f>
        <v/>
      </c>
    </row>
    <row r="1217">
      <c r="A1217" t="n">
        <v>3184</v>
      </c>
      <c r="B1217" t="inlineStr">
        <is>
          <t>NIVIS NEXT MATT</t>
        </is>
      </c>
      <c r="C1217" t="n">
        <v>70</v>
      </c>
      <c r="D1217" t="n">
        <v>100</v>
      </c>
      <c r="E1217" t="n">
        <v>130</v>
      </c>
      <c r="F1217" t="n">
        <v>0</v>
      </c>
      <c r="G1217">
        <f>SUMIF(PRISPELO!B:B, A1217, PRISPELO!G:G)</f>
        <v/>
      </c>
      <c r="H1217">
        <f>SUMIF(ODPIS!B:B, A1217, ODPIS!G:G)</f>
        <v/>
      </c>
      <c r="I1217" s="2">
        <f>F1217 + G1217 - H1217</f>
        <v/>
      </c>
    </row>
    <row r="1218">
      <c r="A1218" t="n">
        <v>3185</v>
      </c>
      <c r="B1218" t="inlineStr">
        <is>
          <t>NIVIS NEXT GLOSS</t>
        </is>
      </c>
      <c r="C1218" t="n">
        <v>64</v>
      </c>
      <c r="D1218" t="n">
        <v>90</v>
      </c>
      <c r="E1218" t="n">
        <v>300</v>
      </c>
      <c r="F1218" t="n">
        <v>0</v>
      </c>
      <c r="G1218">
        <f>SUMIF(PRISPELO!B:B, A1218, PRISPELO!G:G)</f>
        <v/>
      </c>
      <c r="H1218">
        <f>SUMIF(ODPIS!B:B, A1218, ODPIS!G:G)</f>
        <v/>
      </c>
      <c r="I1218" s="2">
        <f>F1218 + G1218 - H1218</f>
        <v/>
      </c>
    </row>
    <row r="1219">
      <c r="A1219" t="n">
        <v>2383</v>
      </c>
      <c r="B1219" t="inlineStr">
        <is>
          <t>Kuverta C5 BD OL SI</t>
        </is>
      </c>
      <c r="C1219" t="n">
        <v>22.9</v>
      </c>
      <c r="D1219" t="n">
        <v>32.4</v>
      </c>
      <c r="E1219" t="n">
        <v>120</v>
      </c>
      <c r="F1219" t="n">
        <v>0</v>
      </c>
      <c r="G1219">
        <f>SUMIF(PRISPELO!B:B, A1219, PRISPELO!G:G)</f>
        <v/>
      </c>
      <c r="H1219">
        <f>SUMIF(ODPIS!B:B, A1219, ODPIS!G:G)</f>
        <v/>
      </c>
      <c r="I1219" s="2">
        <f>F1219 + G1219 - H1219</f>
        <v/>
      </c>
    </row>
    <row r="1220">
      <c r="A1220" t="n">
        <v>3186</v>
      </c>
      <c r="B1220" t="inlineStr">
        <is>
          <t>nivis next gloss</t>
        </is>
      </c>
      <c r="C1220" t="n">
        <v>100</v>
      </c>
      <c r="D1220" t="n">
        <v>70</v>
      </c>
      <c r="E1220" t="n">
        <v>150</v>
      </c>
      <c r="F1220" t="n">
        <v>0</v>
      </c>
      <c r="G1220">
        <f>SUMIF(PRISPELO!B:B, A1220, PRISPELO!G:G)</f>
        <v/>
      </c>
      <c r="H1220">
        <f>SUMIF(ODPIS!B:B, A1220, ODPIS!G:G)</f>
        <v/>
      </c>
      <c r="I1220" s="2">
        <f>F1220 + G1220 - H1220</f>
        <v/>
      </c>
    </row>
    <row r="1221">
      <c r="A1221" t="n">
        <v>3187</v>
      </c>
      <c r="B1221" t="inlineStr">
        <is>
          <t>PREMIUM GLOSS</t>
        </is>
      </c>
      <c r="C1221" t="n">
        <v>100</v>
      </c>
      <c r="D1221" t="n">
        <v>70</v>
      </c>
      <c r="E1221" t="n">
        <v>135</v>
      </c>
      <c r="F1221" t="n">
        <v>0</v>
      </c>
      <c r="G1221">
        <f>SUMIF(PRISPELO!B:B, A1221, PRISPELO!G:G)</f>
        <v/>
      </c>
      <c r="H1221">
        <f>SUMIF(ODPIS!B:B, A1221, ODPIS!G:G)</f>
        <v/>
      </c>
      <c r="I1221" s="2">
        <f>F1221 + G1221 - H1221</f>
        <v/>
      </c>
    </row>
    <row r="1222">
      <c r="A1222" t="n">
        <v>3188</v>
      </c>
      <c r="B1222" t="inlineStr">
        <is>
          <t>PREMIUM GLOSS</t>
        </is>
      </c>
      <c r="C1222" t="n">
        <v>100</v>
      </c>
      <c r="D1222" t="n">
        <v>70</v>
      </c>
      <c r="E1222" t="n">
        <v>90</v>
      </c>
      <c r="F1222" t="n">
        <v>0</v>
      </c>
      <c r="G1222">
        <f>SUMIF(PRISPELO!B:B, A1222, PRISPELO!G:G)</f>
        <v/>
      </c>
      <c r="H1222">
        <f>SUMIF(ODPIS!B:B, A1222, ODPIS!G:G)</f>
        <v/>
      </c>
      <c r="I1222" s="2">
        <f>F1222 + G1222 - H1222</f>
        <v/>
      </c>
    </row>
    <row r="1223">
      <c r="A1223" t="n">
        <v>3189</v>
      </c>
      <c r="B1223" t="inlineStr">
        <is>
          <t>PREMIUM UNCOATED</t>
        </is>
      </c>
      <c r="C1223" t="n">
        <v>45</v>
      </c>
      <c r="D1223" t="n">
        <v>64</v>
      </c>
      <c r="E1223" t="n">
        <v>120</v>
      </c>
      <c r="F1223" t="n">
        <v>0</v>
      </c>
      <c r="G1223">
        <f>SUMIF(PRISPELO!B:B, A1223, PRISPELO!G:G)</f>
        <v/>
      </c>
      <c r="H1223">
        <f>SUMIF(ODPIS!B:B, A1223, ODPIS!G:G)</f>
        <v/>
      </c>
      <c r="I1223" s="2">
        <f>F1223 + G1223 - H1223</f>
        <v/>
      </c>
    </row>
    <row r="1224">
      <c r="A1224" t="n">
        <v>3190</v>
      </c>
      <c r="B1224" t="inlineStr">
        <is>
          <t>EOS BLAUWEISS</t>
        </is>
      </c>
      <c r="C1224" t="n">
        <v>100</v>
      </c>
      <c r="D1224" t="n">
        <v>70</v>
      </c>
      <c r="E1224" t="n">
        <v>120</v>
      </c>
      <c r="F1224" t="n">
        <v>0</v>
      </c>
      <c r="G1224">
        <f>SUMIF(PRISPELO!B:B, A1224, PRISPELO!G:G)</f>
        <v/>
      </c>
      <c r="H1224">
        <f>SUMIF(ODPIS!B:B, A1224, ODPIS!G:G)</f>
        <v/>
      </c>
      <c r="I1224" s="2">
        <f>F1224 + G1224 - H1224</f>
        <v/>
      </c>
    </row>
    <row r="1225">
      <c r="A1225" t="n">
        <v>3191</v>
      </c>
      <c r="B1225" t="inlineStr">
        <is>
          <t>OLIN ROUG HIGH WHIT</t>
        </is>
      </c>
      <c r="C1225" t="n">
        <v>72</v>
      </c>
      <c r="D1225" t="n">
        <v>102</v>
      </c>
      <c r="E1225" t="n">
        <v>150</v>
      </c>
      <c r="F1225" t="n">
        <v>0</v>
      </c>
      <c r="G1225">
        <f>SUMIF(PRISPELO!B:B, A1225, PRISPELO!G:G)</f>
        <v/>
      </c>
      <c r="H1225">
        <f>SUMIF(ODPIS!B:B, A1225, ODPIS!G:G)</f>
        <v/>
      </c>
      <c r="I1225" s="2">
        <f>F1225 + G1225 - H1225</f>
        <v/>
      </c>
    </row>
    <row r="1226">
      <c r="A1226" t="n">
        <v>3217</v>
      </c>
      <c r="B1226" t="inlineStr">
        <is>
          <t>CENT.SPLENDORGEL EW</t>
        </is>
      </c>
      <c r="C1226" t="n">
        <v>17</v>
      </c>
      <c r="D1226" t="n">
        <v>17</v>
      </c>
      <c r="E1226" t="n">
        <v>115</v>
      </c>
      <c r="F1226" t="n">
        <v>0</v>
      </c>
      <c r="G1226">
        <f>SUMIF(PRISPELO!B:B, A1226, PRISPELO!G:G)</f>
        <v/>
      </c>
      <c r="H1226">
        <f>SUMIF(ODPIS!B:B, A1226, ODPIS!G:G)</f>
        <v/>
      </c>
      <c r="I1226" s="2">
        <f>F1226 + G1226 - H1226</f>
        <v/>
      </c>
    </row>
    <row r="1227">
      <c r="A1227" t="n">
        <v>3192</v>
      </c>
      <c r="B1227" t="inlineStr">
        <is>
          <t>MUNKEN POLAR</t>
        </is>
      </c>
      <c r="C1227" t="n">
        <v>72</v>
      </c>
      <c r="D1227" t="n">
        <v>102</v>
      </c>
      <c r="E1227" t="n">
        <v>400</v>
      </c>
      <c r="F1227" t="n">
        <v>0</v>
      </c>
      <c r="G1227">
        <f>SUMIF(PRISPELO!B:B, A1227, PRISPELO!G:G)</f>
        <v/>
      </c>
      <c r="H1227">
        <f>SUMIF(ODPIS!B:B, A1227, ODPIS!G:G)</f>
        <v/>
      </c>
      <c r="I1227" s="2">
        <f>F1227 + G1227 - H1227</f>
        <v/>
      </c>
    </row>
    <row r="1228">
      <c r="A1228" t="n">
        <v>3193</v>
      </c>
      <c r="B1228" t="inlineStr">
        <is>
          <t>ALGRO DESING DUO</t>
        </is>
      </c>
      <c r="C1228" t="n">
        <v>72</v>
      </c>
      <c r="D1228" t="n">
        <v>102</v>
      </c>
      <c r="E1228" t="n">
        <v>300</v>
      </c>
      <c r="F1228" t="n">
        <v>500</v>
      </c>
      <c r="G1228">
        <f>SUMIF(PRISPELO!B:B, A1228, PRISPELO!G:G)</f>
        <v/>
      </c>
      <c r="H1228">
        <f>SUMIF(ODPIS!B:B, A1228, ODPIS!G:G)</f>
        <v/>
      </c>
      <c r="I1228" s="2">
        <f>F1228 + G1228 - H1228</f>
        <v/>
      </c>
    </row>
    <row r="1229">
      <c r="A1229" t="n">
        <v>3197</v>
      </c>
      <c r="B1229" t="inlineStr">
        <is>
          <t>ROYALSET OFFSET</t>
        </is>
      </c>
      <c r="C1229" t="n">
        <v>100</v>
      </c>
      <c r="D1229" t="n">
        <v>70</v>
      </c>
      <c r="E1229" t="n">
        <v>170</v>
      </c>
      <c r="F1229" t="n">
        <v>0</v>
      </c>
      <c r="G1229">
        <f>SUMIF(PRISPELO!B:B, A1229, PRISPELO!G:G)</f>
        <v/>
      </c>
      <c r="H1229">
        <f>SUMIF(ODPIS!B:B, A1229, ODPIS!G:G)</f>
        <v/>
      </c>
      <c r="I1229" s="2">
        <f>F1229 + G1229 - H1229</f>
        <v/>
      </c>
    </row>
    <row r="1230">
      <c r="A1230" t="n">
        <v>3198</v>
      </c>
      <c r="B1230" t="inlineStr">
        <is>
          <t>Glamur SILVER</t>
        </is>
      </c>
      <c r="C1230" t="n">
        <v>72</v>
      </c>
      <c r="D1230" t="n">
        <v>102</v>
      </c>
      <c r="E1230" t="n">
        <v>120</v>
      </c>
      <c r="F1230" t="n">
        <v>0</v>
      </c>
      <c r="G1230">
        <f>SUMIF(PRISPELO!B:B, A1230, PRISPELO!G:G)</f>
        <v/>
      </c>
      <c r="H1230">
        <f>SUMIF(ODPIS!B:B, A1230, ODPIS!G:G)</f>
        <v/>
      </c>
      <c r="I1230" s="2">
        <f>F1230 + G1230 - H1230</f>
        <v/>
      </c>
    </row>
    <row r="1231">
      <c r="A1231" t="n">
        <v>3199</v>
      </c>
      <c r="B1231" t="inlineStr">
        <is>
          <t>NIVIS NEXT gloss</t>
        </is>
      </c>
      <c r="C1231" t="n">
        <v>64</v>
      </c>
      <c r="D1231" t="n">
        <v>90</v>
      </c>
      <c r="E1231" t="n">
        <v>250</v>
      </c>
      <c r="F1231" t="n">
        <v>0</v>
      </c>
      <c r="G1231">
        <f>SUMIF(PRISPELO!B:B, A1231, PRISPELO!G:G)</f>
        <v/>
      </c>
      <c r="H1231">
        <f>SUMIF(ODPIS!B:B, A1231, ODPIS!G:G)</f>
        <v/>
      </c>
      <c r="I1231" s="2">
        <f>F1231 + G1231 - H1231</f>
        <v/>
      </c>
    </row>
    <row r="1232">
      <c r="A1232" t="n">
        <v>3202</v>
      </c>
      <c r="B1232" t="inlineStr">
        <is>
          <t>JAC ECOPLUS BELI GLOSS PVC SAMOLEIL</t>
        </is>
      </c>
      <c r="C1232" t="n">
        <v>100</v>
      </c>
      <c r="D1232" t="n">
        <v>70</v>
      </c>
      <c r="E1232" t="n">
        <v>0</v>
      </c>
      <c r="F1232" t="n">
        <v>0</v>
      </c>
      <c r="G1232">
        <f>SUMIF(PRISPELO!B:B, A1232, PRISPELO!G:G)</f>
        <v/>
      </c>
      <c r="H1232">
        <f>SUMIF(ODPIS!B:B, A1232, ODPIS!G:G)</f>
        <v/>
      </c>
      <c r="I1232" s="2">
        <f>F1232 + G1232 - H1232</f>
        <v/>
      </c>
    </row>
    <row r="1233">
      <c r="A1233" t="n">
        <v>3203</v>
      </c>
      <c r="B1233" t="inlineStr">
        <is>
          <t>NIVIS NEXT MAT</t>
        </is>
      </c>
      <c r="C1233" t="n">
        <v>64</v>
      </c>
      <c r="D1233" t="n">
        <v>90</v>
      </c>
      <c r="E1233" t="n">
        <v>100</v>
      </c>
      <c r="F1233" t="n">
        <v>0</v>
      </c>
      <c r="G1233">
        <f>SUMIF(PRISPELO!B:B, A1233, PRISPELO!G:G)</f>
        <v/>
      </c>
      <c r="H1233">
        <f>SUMIF(ODPIS!B:B, A1233, ODPIS!G:G)</f>
        <v/>
      </c>
      <c r="I1233" s="2">
        <f>F1233 + G1233 - H1233</f>
        <v/>
      </c>
    </row>
    <row r="1234">
      <c r="A1234" t="n">
        <v>3204</v>
      </c>
      <c r="B1234" t="inlineStr">
        <is>
          <t>NIVIS NEXT GLOSS</t>
        </is>
      </c>
      <c r="C1234" t="n">
        <v>90</v>
      </c>
      <c r="D1234" t="n">
        <v>64</v>
      </c>
      <c r="E1234" t="n">
        <v>90</v>
      </c>
      <c r="F1234" t="n">
        <v>0</v>
      </c>
      <c r="G1234">
        <f>SUMIF(PRISPELO!B:B, A1234, PRISPELO!G:G)</f>
        <v/>
      </c>
      <c r="H1234">
        <f>SUMIF(ODPIS!B:B, A1234, ODPIS!G:G)</f>
        <v/>
      </c>
      <c r="I1234" s="2">
        <f>F1234 + G1234 - H1234</f>
        <v/>
      </c>
    </row>
    <row r="1235">
      <c r="A1235" t="n">
        <v>3205</v>
      </c>
      <c r="B1235" t="inlineStr">
        <is>
          <t>PAUS GLAMA BASIC</t>
        </is>
      </c>
      <c r="C1235" t="n">
        <v>70</v>
      </c>
      <c r="D1235" t="n">
        <v>100</v>
      </c>
      <c r="E1235" t="n">
        <v>110</v>
      </c>
      <c r="F1235" t="n">
        <v>0</v>
      </c>
      <c r="G1235">
        <f>SUMIF(PRISPELO!B:B, A1235, PRISPELO!G:G)</f>
        <v/>
      </c>
      <c r="H1235">
        <f>SUMIF(ODPIS!B:B, A1235, ODPIS!G:G)</f>
        <v/>
      </c>
      <c r="I1235" s="2">
        <f>F1235 + G1235 - H1235</f>
        <v/>
      </c>
    </row>
    <row r="1236">
      <c r="A1236" t="n">
        <v>3206</v>
      </c>
      <c r="B1236" t="inlineStr">
        <is>
          <t>AMBER GRAPHIC</t>
        </is>
      </c>
      <c r="C1236" t="n">
        <v>70</v>
      </c>
      <c r="D1236" t="n">
        <v>100</v>
      </c>
      <c r="E1236" t="n">
        <v>80</v>
      </c>
      <c r="F1236" t="n">
        <v>0</v>
      </c>
      <c r="G1236">
        <f>SUMIF(PRISPELO!B:B, A1236, PRISPELO!G:G)</f>
        <v/>
      </c>
      <c r="H1236">
        <f>SUMIF(ODPIS!B:B, A1236, ODPIS!G:G)</f>
        <v/>
      </c>
      <c r="I1236" s="2">
        <f>F1236 + G1236 - H1236</f>
        <v/>
      </c>
    </row>
    <row r="1237">
      <c r="A1237" t="n">
        <v>3207</v>
      </c>
      <c r="B1237" t="inlineStr">
        <is>
          <t>SMARTBOARD DUO</t>
        </is>
      </c>
      <c r="C1237" t="n">
        <v>102</v>
      </c>
      <c r="D1237" t="n">
        <v>72</v>
      </c>
      <c r="E1237" t="n">
        <v>300</v>
      </c>
      <c r="F1237" t="n">
        <v>0</v>
      </c>
      <c r="G1237">
        <f>SUMIF(PRISPELO!B:B, A1237, PRISPELO!G:G)</f>
        <v/>
      </c>
      <c r="H1237">
        <f>SUMIF(ODPIS!B:B, A1237, ODPIS!G:G)</f>
        <v/>
      </c>
      <c r="I1237" s="2">
        <f>F1237 + G1237 - H1237</f>
        <v/>
      </c>
    </row>
    <row r="1238">
      <c r="A1238" t="n">
        <v>3209</v>
      </c>
      <c r="B1238" t="inlineStr">
        <is>
          <t>NIVIS NEX GLOSS</t>
        </is>
      </c>
      <c r="C1238" t="n">
        <v>70</v>
      </c>
      <c r="D1238" t="n">
        <v>100</v>
      </c>
      <c r="E1238" t="n">
        <v>130</v>
      </c>
      <c r="F1238" t="n">
        <v>0</v>
      </c>
      <c r="G1238">
        <f>SUMIF(PRISPELO!B:B, A1238, PRISPELO!G:G)</f>
        <v/>
      </c>
      <c r="H1238">
        <f>SUMIF(ODPIS!B:B, A1238, ODPIS!G:G)</f>
        <v/>
      </c>
      <c r="I1238" s="2">
        <f>F1238 + G1238 - H1238</f>
        <v/>
      </c>
    </row>
    <row r="1239">
      <c r="A1239" t="n">
        <v>3932</v>
      </c>
      <c r="B1239" t="inlineStr">
        <is>
          <t>ZENITH</t>
        </is>
      </c>
      <c r="C1239" t="n">
        <v>31.8</v>
      </c>
      <c r="D1239" t="n">
        <v>70.8</v>
      </c>
      <c r="E1239" t="n">
        <v>380</v>
      </c>
      <c r="F1239" t="n">
        <v>0</v>
      </c>
      <c r="G1239">
        <f>SUMIF(PRISPELO!B:B, A1239, PRISPELO!G:G)</f>
        <v/>
      </c>
      <c r="H1239">
        <f>SUMIF(ODPIS!B:B, A1239, ODPIS!G:G)</f>
        <v/>
      </c>
      <c r="I1239" s="2">
        <f>F1239 + G1239 - H1239</f>
        <v/>
      </c>
    </row>
    <row r="1240">
      <c r="A1240" t="n">
        <v>3210</v>
      </c>
      <c r="B1240" t="inlineStr">
        <is>
          <t>PERIGORD MATT 1.1</t>
        </is>
      </c>
      <c r="C1240" t="n">
        <v>102</v>
      </c>
      <c r="D1240" t="n">
        <v>72</v>
      </c>
      <c r="E1240" t="n">
        <v>150</v>
      </c>
      <c r="F1240" t="n">
        <v>130</v>
      </c>
      <c r="G1240">
        <f>SUMIF(PRISPELO!B:B, A1240, PRISPELO!G:G)</f>
        <v/>
      </c>
      <c r="H1240">
        <f>SUMIF(ODPIS!B:B, A1240, ODPIS!G:G)</f>
        <v/>
      </c>
      <c r="I1240" s="2">
        <f>F1240 + G1240 - H1240</f>
        <v/>
      </c>
    </row>
    <row r="1241">
      <c r="A1241" t="n">
        <v>3211</v>
      </c>
      <c r="B1241" t="inlineStr">
        <is>
          <t>NIVIS NEXT MAT</t>
        </is>
      </c>
      <c r="C1241" t="n">
        <v>69.8</v>
      </c>
      <c r="D1241" t="n">
        <v>49.8</v>
      </c>
      <c r="E1241" t="n">
        <v>350</v>
      </c>
      <c r="F1241" t="n">
        <v>0</v>
      </c>
      <c r="G1241">
        <f>SUMIF(PRISPELO!B:B, A1241, PRISPELO!G:G)</f>
        <v/>
      </c>
      <c r="H1241">
        <f>SUMIF(ODPIS!B:B, A1241, ODPIS!G:G)</f>
        <v/>
      </c>
      <c r="I1241" s="2">
        <f>F1241 + G1241 - H1241</f>
        <v/>
      </c>
    </row>
    <row r="1242">
      <c r="A1242" t="n">
        <v>3212</v>
      </c>
      <c r="B1242" t="inlineStr">
        <is>
          <t>NIVIS NEXT GLOSS</t>
        </is>
      </c>
      <c r="C1242" t="n">
        <v>70</v>
      </c>
      <c r="D1242" t="n">
        <v>100</v>
      </c>
      <c r="E1242" t="n">
        <v>350</v>
      </c>
      <c r="F1242" t="n">
        <v>0</v>
      </c>
      <c r="G1242">
        <f>SUMIF(PRISPELO!B:B, A1242, PRISPELO!G:G)</f>
        <v/>
      </c>
      <c r="H1242">
        <f>SUMIF(ODPIS!B:B, A1242, ODPIS!G:G)</f>
        <v/>
      </c>
      <c r="I1242" s="2">
        <f>F1242 + G1242 - H1242</f>
        <v/>
      </c>
    </row>
    <row r="1243">
      <c r="A1243" t="n">
        <v>3213</v>
      </c>
      <c r="B1243" t="inlineStr">
        <is>
          <t>NIVIS NEXT GLOSS</t>
        </is>
      </c>
      <c r="C1243" t="n">
        <v>64</v>
      </c>
      <c r="D1243" t="n">
        <v>90</v>
      </c>
      <c r="E1243" t="n">
        <v>90</v>
      </c>
      <c r="F1243" t="n">
        <v>0</v>
      </c>
      <c r="G1243">
        <f>SUMIF(PRISPELO!B:B, A1243, PRISPELO!G:G)</f>
        <v/>
      </c>
      <c r="H1243">
        <f>SUMIF(ODPIS!B:B, A1243, ODPIS!G:G)</f>
        <v/>
      </c>
      <c r="I1243" s="2">
        <f>F1243 + G1243 - H1243</f>
        <v/>
      </c>
    </row>
    <row r="1244">
      <c r="A1244" t="n">
        <v>3214</v>
      </c>
      <c r="B1244" t="inlineStr">
        <is>
          <t>CYCLUS OFFSET</t>
        </is>
      </c>
      <c r="C1244" t="n">
        <v>100</v>
      </c>
      <c r="D1244" t="n">
        <v>70</v>
      </c>
      <c r="E1244" t="n">
        <v>250</v>
      </c>
      <c r="F1244" t="n">
        <v>0</v>
      </c>
      <c r="G1244">
        <f>SUMIF(PRISPELO!B:B, A1244, PRISPELO!G:G)</f>
        <v/>
      </c>
      <c r="H1244">
        <f>SUMIF(ODPIS!B:B, A1244, ODPIS!G:G)</f>
        <v/>
      </c>
      <c r="I1244" s="2">
        <f>F1244 + G1244 - H1244</f>
        <v/>
      </c>
    </row>
    <row r="1245">
      <c r="A1245" t="n">
        <v>3215</v>
      </c>
      <c r="B1245" t="inlineStr">
        <is>
          <t>CYCLUS OFFSET</t>
        </is>
      </c>
      <c r="C1245" t="n">
        <v>64</v>
      </c>
      <c r="D1245" t="n">
        <v>90</v>
      </c>
      <c r="E1245" t="n">
        <v>115</v>
      </c>
      <c r="F1245" t="n">
        <v>0</v>
      </c>
      <c r="G1245">
        <f>SUMIF(PRISPELO!B:B, A1245, PRISPELO!G:G)</f>
        <v/>
      </c>
      <c r="H1245">
        <f>SUMIF(ODPIS!B:B, A1245, ODPIS!G:G)</f>
        <v/>
      </c>
      <c r="I1245" s="2">
        <f>F1245 + G1245 - H1245</f>
        <v/>
      </c>
    </row>
    <row r="1246">
      <c r="A1246" t="n">
        <v>3218</v>
      </c>
      <c r="B1246" t="inlineStr">
        <is>
          <t>OLIN REGU ABSOLUTE WHITE</t>
        </is>
      </c>
      <c r="C1246" t="n">
        <v>65</v>
      </c>
      <c r="D1246" t="n">
        <v>92</v>
      </c>
      <c r="E1246" t="n">
        <v>250</v>
      </c>
      <c r="F1246" t="n">
        <v>0</v>
      </c>
      <c r="G1246">
        <f>SUMIF(PRISPELO!B:B, A1246, PRISPELO!G:G)</f>
        <v/>
      </c>
      <c r="H1246">
        <f>SUMIF(ODPIS!B:B, A1246, ODPIS!G:G)</f>
        <v/>
      </c>
      <c r="I1246" s="2">
        <f>F1246 + G1246 - H1246</f>
        <v/>
      </c>
    </row>
    <row r="1247">
      <c r="A1247" t="n">
        <v>3221</v>
      </c>
      <c r="B1247" t="inlineStr">
        <is>
          <t>ROYAL COAT ULTRA MAT</t>
        </is>
      </c>
      <c r="C1247" t="n">
        <v>100</v>
      </c>
      <c r="D1247" t="n">
        <v>70</v>
      </c>
      <c r="E1247" t="n">
        <v>200</v>
      </c>
      <c r="F1247" t="n">
        <v>0</v>
      </c>
      <c r="G1247">
        <f>SUMIF(PRISPELO!B:B, A1247, PRISPELO!G:G)</f>
        <v/>
      </c>
      <c r="H1247">
        <f>SUMIF(ODPIS!B:B, A1247, ODPIS!G:G)</f>
        <v/>
      </c>
      <c r="I1247" s="2">
        <f>F1247 + G1247 - H1247</f>
        <v/>
      </c>
    </row>
    <row r="1248">
      <c r="A1248" t="n">
        <v>3222</v>
      </c>
      <c r="B1248" t="inlineStr">
        <is>
          <t>ALGRO DESIGN DUO</t>
        </is>
      </c>
      <c r="C1248" t="n">
        <v>69.8</v>
      </c>
      <c r="D1248" t="n">
        <v>49.8</v>
      </c>
      <c r="E1248" t="n">
        <v>360</v>
      </c>
      <c r="F1248" t="n">
        <v>0</v>
      </c>
      <c r="G1248">
        <f>SUMIF(PRISPELO!B:B, A1248, PRISPELO!G:G)</f>
        <v/>
      </c>
      <c r="H1248">
        <f>SUMIF(ODPIS!B:B, A1248, ODPIS!G:G)</f>
        <v/>
      </c>
      <c r="I1248" s="2">
        <f>F1248 + G1248 - H1248</f>
        <v/>
      </c>
    </row>
    <row r="1249">
      <c r="A1249" t="n">
        <v>3223</v>
      </c>
      <c r="B1249" t="inlineStr">
        <is>
          <t>NIVIS NEXT MATT</t>
        </is>
      </c>
      <c r="C1249" t="n">
        <v>64</v>
      </c>
      <c r="D1249" t="n">
        <v>90</v>
      </c>
      <c r="E1249" t="n">
        <v>150</v>
      </c>
      <c r="F1249" t="n">
        <v>0</v>
      </c>
      <c r="G1249">
        <f>SUMIF(PRISPELO!B:B, A1249, PRISPELO!G:G)</f>
        <v/>
      </c>
      <c r="H1249">
        <f>SUMIF(ODPIS!B:B, A1249, ODPIS!G:G)</f>
        <v/>
      </c>
      <c r="I1249" s="2">
        <f>F1249 + G1249 - H1249</f>
        <v/>
      </c>
    </row>
    <row r="1250">
      <c r="A1250" t="n">
        <v>3224</v>
      </c>
      <c r="B1250" t="inlineStr">
        <is>
          <t>NIVIS NEXT GLOSS</t>
        </is>
      </c>
      <c r="C1250" t="n">
        <v>70</v>
      </c>
      <c r="D1250" t="n">
        <v>100</v>
      </c>
      <c r="E1250" t="n">
        <v>170</v>
      </c>
      <c r="F1250" t="n">
        <v>120</v>
      </c>
      <c r="G1250">
        <f>SUMIF(PRISPELO!B:B, A1250, PRISPELO!G:G)</f>
        <v/>
      </c>
      <c r="H1250">
        <f>SUMIF(ODPIS!B:B, A1250, ODPIS!G:G)</f>
        <v/>
      </c>
      <c r="I1250" s="2">
        <f>F1250 + G1250 - H1250</f>
        <v/>
      </c>
    </row>
    <row r="1251">
      <c r="A1251" t="n">
        <v>3225</v>
      </c>
      <c r="B1251" t="inlineStr">
        <is>
          <t>PREMIUM GLOSS</t>
        </is>
      </c>
      <c r="C1251" t="n">
        <v>100</v>
      </c>
      <c r="D1251" t="n">
        <v>70</v>
      </c>
      <c r="E1251" t="n">
        <v>115</v>
      </c>
      <c r="F1251" t="n">
        <v>1300</v>
      </c>
      <c r="G1251">
        <f>SUMIF(PRISPELO!B:B, A1251, PRISPELO!G:G)</f>
        <v/>
      </c>
      <c r="H1251">
        <f>SUMIF(ODPIS!B:B, A1251, ODPIS!G:G)</f>
        <v/>
      </c>
      <c r="I1251" s="2">
        <f>F1251 + G1251 - H1251</f>
        <v/>
      </c>
    </row>
    <row r="1252">
      <c r="A1252" t="n">
        <v>3226</v>
      </c>
      <c r="B1252" t="inlineStr">
        <is>
          <t>NIVIS NEXT MATT</t>
        </is>
      </c>
      <c r="C1252" t="n">
        <v>90</v>
      </c>
      <c r="D1252" t="n">
        <v>64</v>
      </c>
      <c r="E1252" t="n">
        <v>200</v>
      </c>
      <c r="F1252" t="n">
        <v>0</v>
      </c>
      <c r="G1252">
        <f>SUMIF(PRISPELO!B:B, A1252, PRISPELO!G:G)</f>
        <v/>
      </c>
      <c r="H1252">
        <f>SUMIF(ODPIS!B:B, A1252, ODPIS!G:G)</f>
        <v/>
      </c>
      <c r="I1252" s="2">
        <f>F1252 + G1252 - H1252</f>
        <v/>
      </c>
    </row>
    <row r="1253">
      <c r="A1253" t="n">
        <v>3227</v>
      </c>
      <c r="B1253" t="inlineStr">
        <is>
          <t>IQ PRINT</t>
        </is>
      </c>
      <c r="C1253" t="n">
        <v>69.8</v>
      </c>
      <c r="D1253" t="n">
        <v>33.2</v>
      </c>
      <c r="E1253" t="n">
        <v>300</v>
      </c>
      <c r="F1253" t="n">
        <v>0</v>
      </c>
      <c r="G1253">
        <f>SUMIF(PRISPELO!B:B, A1253, PRISPELO!G:G)</f>
        <v/>
      </c>
      <c r="H1253">
        <f>SUMIF(ODPIS!B:B, A1253, ODPIS!G:G)</f>
        <v/>
      </c>
      <c r="I1253" s="2">
        <f>F1253 + G1253 - H1253</f>
        <v/>
      </c>
    </row>
    <row r="1254">
      <c r="A1254" t="n">
        <v>3228</v>
      </c>
      <c r="B1254" t="inlineStr">
        <is>
          <t>Magno satin</t>
        </is>
      </c>
      <c r="C1254" t="n">
        <v>43.8</v>
      </c>
      <c r="D1254" t="n">
        <v>62.8</v>
      </c>
      <c r="E1254" t="n">
        <v>200</v>
      </c>
      <c r="F1254" t="n">
        <v>0</v>
      </c>
      <c r="G1254">
        <f>SUMIF(PRISPELO!B:B, A1254, PRISPELO!G:G)</f>
        <v/>
      </c>
      <c r="H1254">
        <f>SUMIF(ODPIS!B:B, A1254, ODPIS!G:G)</f>
        <v/>
      </c>
      <c r="I1254" s="2">
        <f>F1254 + G1254 - H1254</f>
        <v/>
      </c>
    </row>
    <row r="1255">
      <c r="A1255" t="n">
        <v>3229</v>
      </c>
      <c r="B1255" t="inlineStr">
        <is>
          <t>Garda gloss</t>
        </is>
      </c>
      <c r="C1255" t="n">
        <v>45</v>
      </c>
      <c r="D1255" t="n">
        <v>64</v>
      </c>
      <c r="E1255" t="n">
        <v>200</v>
      </c>
      <c r="F1255" t="n">
        <v>0</v>
      </c>
      <c r="G1255">
        <f>SUMIF(PRISPELO!B:B, A1255, PRISPELO!G:G)</f>
        <v/>
      </c>
      <c r="H1255">
        <f>SUMIF(ODPIS!B:B, A1255, ODPIS!G:G)</f>
        <v/>
      </c>
      <c r="I1255" s="2">
        <f>F1255 + G1255 - H1255</f>
        <v/>
      </c>
    </row>
    <row r="1256">
      <c r="A1256" t="n">
        <v>3230</v>
      </c>
      <c r="B1256" t="inlineStr">
        <is>
          <t>Garda matt</t>
        </is>
      </c>
      <c r="C1256" t="n">
        <v>52</v>
      </c>
      <c r="D1256" t="n">
        <v>45</v>
      </c>
      <c r="E1256" t="n">
        <v>130</v>
      </c>
      <c r="F1256" t="n">
        <v>0</v>
      </c>
      <c r="G1256">
        <f>SUMIF(PRISPELO!B:B, A1256, PRISPELO!G:G)</f>
        <v/>
      </c>
      <c r="H1256">
        <f>SUMIF(ODPIS!B:B, A1256, ODPIS!G:G)</f>
        <v/>
      </c>
      <c r="I1256" s="2">
        <f>F1256 + G1256 - H1256</f>
        <v/>
      </c>
    </row>
    <row r="1257">
      <c r="A1257" t="n">
        <v>3231</v>
      </c>
      <c r="B1257" t="inlineStr">
        <is>
          <t>Quatro silk</t>
        </is>
      </c>
      <c r="C1257" t="n">
        <v>63.8</v>
      </c>
      <c r="D1257" t="n">
        <v>44.8</v>
      </c>
      <c r="E1257" t="n">
        <v>115</v>
      </c>
      <c r="F1257" t="n">
        <v>0</v>
      </c>
      <c r="G1257">
        <f>SUMIF(PRISPELO!B:B, A1257, PRISPELO!G:G)</f>
        <v/>
      </c>
      <c r="H1257">
        <f>SUMIF(ODPIS!B:B, A1257, ODPIS!G:G)</f>
        <v/>
      </c>
      <c r="I1257" s="2">
        <f>F1257 + G1257 - H1257</f>
        <v/>
      </c>
    </row>
    <row r="1258">
      <c r="A1258" t="n">
        <v>3232</v>
      </c>
      <c r="B1258" t="inlineStr">
        <is>
          <t>CHROMOSTAR</t>
        </is>
      </c>
      <c r="C1258" t="n">
        <v>101</v>
      </c>
      <c r="D1258" t="n">
        <v>71</v>
      </c>
      <c r="E1258" t="n">
        <v>250</v>
      </c>
      <c r="F1258" t="n">
        <v>0</v>
      </c>
      <c r="G1258">
        <f>SUMIF(PRISPELO!B:B, A1258, PRISPELO!G:G)</f>
        <v/>
      </c>
      <c r="H1258">
        <f>SUMIF(ODPIS!B:B, A1258, ODPIS!G:G)</f>
        <v/>
      </c>
      <c r="I1258" s="2">
        <f>F1258 + G1258 - H1258</f>
        <v/>
      </c>
    </row>
    <row r="1259">
      <c r="A1259" t="n">
        <v>3236</v>
      </c>
      <c r="B1259" t="inlineStr">
        <is>
          <t>BALANCE PURE BA</t>
        </is>
      </c>
      <c r="C1259" t="n">
        <v>50</v>
      </c>
      <c r="D1259" t="n">
        <v>71.5</v>
      </c>
      <c r="E1259" t="n">
        <v>90</v>
      </c>
      <c r="F1259" t="n">
        <v>0</v>
      </c>
      <c r="G1259">
        <f>SUMIF(PRISPELO!B:B, A1259, PRISPELO!G:G)</f>
        <v/>
      </c>
      <c r="H1259">
        <f>SUMIF(ODPIS!B:B, A1259, ODPIS!G:G)</f>
        <v/>
      </c>
      <c r="I1259" s="2">
        <f>F1259 + G1259 - H1259</f>
        <v/>
      </c>
    </row>
    <row r="1260">
      <c r="A1260" t="n">
        <v>3236</v>
      </c>
      <c r="B1260" t="inlineStr">
        <is>
          <t>BALANCE PURE BA</t>
        </is>
      </c>
      <c r="C1260" t="n">
        <v>50</v>
      </c>
      <c r="D1260" t="n">
        <v>71.5</v>
      </c>
      <c r="E1260" t="n">
        <v>90</v>
      </c>
      <c r="F1260" t="n">
        <v>0</v>
      </c>
      <c r="G1260">
        <f>SUMIF(PRISPELO!B:B, A1260, PRISPELO!G:G)</f>
        <v/>
      </c>
      <c r="H1260">
        <f>SUMIF(ODPIS!B:B, A1260, ODPIS!G:G)</f>
        <v/>
      </c>
      <c r="I1260" s="2">
        <f>F1260 + G1260 - H1260</f>
        <v/>
      </c>
    </row>
    <row r="1261">
      <c r="A1261" t="n">
        <v>3237</v>
      </c>
      <c r="B1261" t="inlineStr">
        <is>
          <t>Magno natural offset</t>
        </is>
      </c>
      <c r="C1261" t="n">
        <v>64</v>
      </c>
      <c r="D1261" t="n">
        <v>45</v>
      </c>
      <c r="E1261" t="n">
        <v>80</v>
      </c>
      <c r="F1261" t="n">
        <v>0</v>
      </c>
      <c r="G1261">
        <f>SUMIF(PRISPELO!B:B, A1261, PRISPELO!G:G)</f>
        <v/>
      </c>
      <c r="H1261">
        <f>SUMIF(ODPIS!B:B, A1261, ODPIS!G:G)</f>
        <v/>
      </c>
      <c r="I1261" s="2">
        <f>F1261 + G1261 - H1261</f>
        <v/>
      </c>
    </row>
    <row r="1262">
      <c r="A1262" t="n">
        <v>3237</v>
      </c>
      <c r="B1262" t="inlineStr">
        <is>
          <t>Magno natural offset</t>
        </is>
      </c>
      <c r="C1262" t="n">
        <v>64</v>
      </c>
      <c r="D1262" t="n">
        <v>45</v>
      </c>
      <c r="E1262" t="n">
        <v>80</v>
      </c>
      <c r="F1262" t="n">
        <v>0</v>
      </c>
      <c r="G1262">
        <f>SUMIF(PRISPELO!B:B, A1262, PRISPELO!G:G)</f>
        <v/>
      </c>
      <c r="H1262">
        <f>SUMIF(ODPIS!B:B, A1262, ODPIS!G:G)</f>
        <v/>
      </c>
      <c r="I1262" s="2">
        <f>F1262 + G1262 - H1262</f>
        <v/>
      </c>
    </row>
    <row r="1263">
      <c r="A1263" t="n">
        <v>3241</v>
      </c>
      <c r="B1263" t="inlineStr">
        <is>
          <t>Claro silk</t>
        </is>
      </c>
      <c r="C1263" t="n">
        <v>63.8</v>
      </c>
      <c r="D1263" t="n">
        <v>44.8</v>
      </c>
      <c r="E1263" t="n">
        <v>90</v>
      </c>
      <c r="F1263" t="n">
        <v>0</v>
      </c>
      <c r="G1263">
        <f>SUMIF(PRISPELO!B:B, A1263, PRISPELO!G:G)</f>
        <v/>
      </c>
      <c r="H1263">
        <f>SUMIF(ODPIS!B:B, A1263, ODPIS!G:G)</f>
        <v/>
      </c>
      <c r="I1263" s="2">
        <f>F1263 + G1263 - H1263</f>
        <v/>
      </c>
    </row>
    <row r="1264">
      <c r="A1264" t="n">
        <v>3241</v>
      </c>
      <c r="B1264" t="inlineStr">
        <is>
          <t>Claro silk</t>
        </is>
      </c>
      <c r="C1264" t="n">
        <v>63.8</v>
      </c>
      <c r="D1264" t="n">
        <v>44.8</v>
      </c>
      <c r="E1264" t="n">
        <v>90</v>
      </c>
      <c r="F1264" t="n">
        <v>0</v>
      </c>
      <c r="G1264">
        <f>SUMIF(PRISPELO!B:B, A1264, PRISPELO!G:G)</f>
        <v/>
      </c>
      <c r="H1264">
        <f>SUMIF(ODPIS!B:B, A1264, ODPIS!G:G)</f>
        <v/>
      </c>
      <c r="I1264" s="2">
        <f>F1264 + G1264 - H1264</f>
        <v/>
      </c>
    </row>
    <row r="1265">
      <c r="A1265" t="n">
        <v>3242</v>
      </c>
      <c r="B1265" t="inlineStr">
        <is>
          <t>AMBER GRAPHIC</t>
        </is>
      </c>
      <c r="C1265" t="n">
        <v>50</v>
      </c>
      <c r="D1265" t="n">
        <v>70</v>
      </c>
      <c r="E1265" t="n">
        <v>80</v>
      </c>
      <c r="F1265" t="n">
        <v>0</v>
      </c>
      <c r="G1265">
        <f>SUMIF(PRISPELO!B:B, A1265, PRISPELO!G:G)</f>
        <v/>
      </c>
      <c r="H1265">
        <f>SUMIF(ODPIS!B:B, A1265, ODPIS!G:G)</f>
        <v/>
      </c>
      <c r="I1265" s="2">
        <f>F1265 + G1265 - H1265</f>
        <v/>
      </c>
    </row>
    <row r="1266">
      <c r="A1266" t="n">
        <v>3242</v>
      </c>
      <c r="B1266" t="inlineStr">
        <is>
          <t>AMBER GRAPHIC</t>
        </is>
      </c>
      <c r="C1266" t="n">
        <v>50</v>
      </c>
      <c r="D1266" t="n">
        <v>70</v>
      </c>
      <c r="E1266" t="n">
        <v>80</v>
      </c>
      <c r="F1266" t="n">
        <v>0</v>
      </c>
      <c r="G1266">
        <f>SUMIF(PRISPELO!B:B, A1266, PRISPELO!G:G)</f>
        <v/>
      </c>
      <c r="H1266">
        <f>SUMIF(ODPIS!B:B, A1266, ODPIS!G:G)</f>
        <v/>
      </c>
      <c r="I1266" s="2">
        <f>F1266 + G1266 - H1266</f>
        <v/>
      </c>
    </row>
    <row r="1267">
      <c r="A1267" t="n">
        <v>3243</v>
      </c>
      <c r="B1267" t="inlineStr">
        <is>
          <t>MultiArt gloss</t>
        </is>
      </c>
      <c r="C1267" t="n">
        <v>33.2</v>
      </c>
      <c r="D1267" t="n">
        <v>69.8</v>
      </c>
      <c r="E1267" t="n">
        <v>200</v>
      </c>
      <c r="F1267" t="n">
        <v>0</v>
      </c>
      <c r="G1267">
        <f>SUMIF(PRISPELO!B:B, A1267, PRISPELO!G:G)</f>
        <v/>
      </c>
      <c r="H1267">
        <f>SUMIF(ODPIS!B:B, A1267, ODPIS!G:G)</f>
        <v/>
      </c>
      <c r="I1267" s="2">
        <f>F1267 + G1267 - H1267</f>
        <v/>
      </c>
    </row>
    <row r="1268">
      <c r="A1268" t="n">
        <v>3243</v>
      </c>
      <c r="B1268" t="inlineStr">
        <is>
          <t>MultiArt gloss</t>
        </is>
      </c>
      <c r="C1268" t="n">
        <v>33.2</v>
      </c>
      <c r="D1268" t="n">
        <v>69.8</v>
      </c>
      <c r="E1268" t="n">
        <v>200</v>
      </c>
      <c r="F1268" t="n">
        <v>0</v>
      </c>
      <c r="G1268">
        <f>SUMIF(PRISPELO!B:B, A1268, PRISPELO!G:G)</f>
        <v/>
      </c>
      <c r="H1268">
        <f>SUMIF(ODPIS!B:B, A1268, ODPIS!G:G)</f>
        <v/>
      </c>
      <c r="I1268" s="2">
        <f>F1268 + G1268 - H1268</f>
        <v/>
      </c>
    </row>
    <row r="1269">
      <c r="A1269" t="n">
        <v>3244</v>
      </c>
      <c r="B1269" t="inlineStr">
        <is>
          <t>IQ Print</t>
        </is>
      </c>
      <c r="C1269" t="n">
        <v>45</v>
      </c>
      <c r="D1269" t="n">
        <v>35</v>
      </c>
      <c r="E1269" t="n">
        <v>100</v>
      </c>
      <c r="F1269" t="n">
        <v>0</v>
      </c>
      <c r="G1269">
        <f>SUMIF(PRISPELO!B:B, A1269, PRISPELO!G:G)</f>
        <v/>
      </c>
      <c r="H1269">
        <f>SUMIF(ODPIS!B:B, A1269, ODPIS!G:G)</f>
        <v/>
      </c>
      <c r="I1269" s="2">
        <f>F1269 + G1269 - H1269</f>
        <v/>
      </c>
    </row>
    <row r="1270">
      <c r="A1270" t="n">
        <v>3245</v>
      </c>
      <c r="B1270" t="inlineStr">
        <is>
          <t>CHROMOSTAR</t>
        </is>
      </c>
      <c r="C1270" t="n">
        <v>70</v>
      </c>
      <c r="D1270" t="n">
        <v>50</v>
      </c>
      <c r="E1270" t="n">
        <v>295</v>
      </c>
      <c r="F1270" t="n">
        <v>0</v>
      </c>
      <c r="G1270">
        <f>SUMIF(PRISPELO!B:B, A1270, PRISPELO!G:G)</f>
        <v/>
      </c>
      <c r="H1270">
        <f>SUMIF(ODPIS!B:B, A1270, ODPIS!G:G)</f>
        <v/>
      </c>
      <c r="I1270" s="2">
        <f>F1270 + G1270 - H1270</f>
        <v/>
      </c>
    </row>
    <row r="1271">
      <c r="A1271" t="n">
        <v>3245</v>
      </c>
      <c r="B1271" t="inlineStr">
        <is>
          <t>CHROMOSTAR</t>
        </is>
      </c>
      <c r="C1271" t="n">
        <v>70</v>
      </c>
      <c r="D1271" t="n">
        <v>50</v>
      </c>
      <c r="E1271" t="n">
        <v>295</v>
      </c>
      <c r="F1271" t="n">
        <v>0</v>
      </c>
      <c r="G1271">
        <f>SUMIF(PRISPELO!B:B, A1271, PRISPELO!G:G)</f>
        <v/>
      </c>
      <c r="H1271">
        <f>SUMIF(ODPIS!B:B, A1271, ODPIS!G:G)</f>
        <v/>
      </c>
      <c r="I1271" s="2">
        <f>F1271 + G1271 - H1271</f>
        <v/>
      </c>
    </row>
    <row r="1272">
      <c r="A1272" t="n">
        <v>3247</v>
      </c>
      <c r="B1272" t="inlineStr">
        <is>
          <t>Magno satin</t>
        </is>
      </c>
      <c r="C1272" t="n">
        <v>64</v>
      </c>
      <c r="D1272" t="n">
        <v>45</v>
      </c>
      <c r="E1272" t="n">
        <v>200</v>
      </c>
      <c r="F1272" t="n">
        <v>0</v>
      </c>
      <c r="G1272">
        <f>SUMIF(PRISPELO!B:B, A1272, PRISPELO!G:G)</f>
        <v/>
      </c>
      <c r="H1272">
        <f>SUMIF(ODPIS!B:B, A1272, ODPIS!G:G)</f>
        <v/>
      </c>
      <c r="I1272" s="2">
        <f>F1272 + G1272 - H1272</f>
        <v/>
      </c>
    </row>
    <row r="1273">
      <c r="A1273" t="n">
        <v>3249</v>
      </c>
      <c r="B1273" t="inlineStr">
        <is>
          <t>IQ Print</t>
        </is>
      </c>
      <c r="C1273" t="n">
        <v>64</v>
      </c>
      <c r="D1273" t="n">
        <v>45</v>
      </c>
      <c r="E1273" t="n">
        <v>250</v>
      </c>
      <c r="F1273" t="n">
        <v>0</v>
      </c>
      <c r="G1273">
        <f>SUMIF(PRISPELO!B:B, A1273, PRISPELO!G:G)</f>
        <v/>
      </c>
      <c r="H1273">
        <f>SUMIF(ODPIS!B:B, A1273, ODPIS!G:G)</f>
        <v/>
      </c>
      <c r="I1273" s="2">
        <f>F1273 + G1273 - H1273</f>
        <v/>
      </c>
    </row>
    <row r="1274">
      <c r="A1274" t="n">
        <v>3250</v>
      </c>
      <c r="B1274" t="inlineStr">
        <is>
          <t>CLARO BULK</t>
        </is>
      </c>
      <c r="C1274" t="n">
        <v>43.8</v>
      </c>
      <c r="D1274" t="n">
        <v>63.8</v>
      </c>
      <c r="E1274" t="n">
        <v>90</v>
      </c>
      <c r="F1274" t="n">
        <v>0</v>
      </c>
      <c r="G1274">
        <f>SUMIF(PRISPELO!B:B, A1274, PRISPELO!G:G)</f>
        <v/>
      </c>
      <c r="H1274">
        <f>SUMIF(ODPIS!B:B, A1274, ODPIS!G:G)</f>
        <v/>
      </c>
      <c r="I1274" s="2">
        <f>F1274 + G1274 - H1274</f>
        <v/>
      </c>
    </row>
    <row r="1275">
      <c r="A1275" t="n">
        <v>3250</v>
      </c>
      <c r="B1275" t="inlineStr">
        <is>
          <t>CLARO BULK</t>
        </is>
      </c>
      <c r="C1275" t="n">
        <v>43.8</v>
      </c>
      <c r="D1275" t="n">
        <v>63.8</v>
      </c>
      <c r="E1275" t="n">
        <v>90</v>
      </c>
      <c r="F1275" t="n">
        <v>0</v>
      </c>
      <c r="G1275">
        <f>SUMIF(PRISPELO!B:B, A1275, PRISPELO!G:G)</f>
        <v/>
      </c>
      <c r="H1275">
        <f>SUMIF(ODPIS!B:B, A1275, ODPIS!G:G)</f>
        <v/>
      </c>
      <c r="I1275" s="2">
        <f>F1275 + G1275 - H1275</f>
        <v/>
      </c>
    </row>
    <row r="1276">
      <c r="A1276" t="n">
        <v>3251</v>
      </c>
      <c r="B1276" t="inlineStr">
        <is>
          <t>Garda gloss</t>
        </is>
      </c>
      <c r="C1276" t="n">
        <v>44.8</v>
      </c>
      <c r="D1276" t="n">
        <v>63.8</v>
      </c>
      <c r="E1276" t="n">
        <v>135</v>
      </c>
      <c r="F1276" t="n">
        <v>0</v>
      </c>
      <c r="G1276">
        <f>SUMIF(PRISPELO!B:B, A1276, PRISPELO!G:G)</f>
        <v/>
      </c>
      <c r="H1276">
        <f>SUMIF(ODPIS!B:B, A1276, ODPIS!G:G)</f>
        <v/>
      </c>
      <c r="I1276" s="2">
        <f>F1276 + G1276 - H1276</f>
        <v/>
      </c>
    </row>
    <row r="1277">
      <c r="A1277" t="n">
        <v>3251</v>
      </c>
      <c r="B1277" t="inlineStr">
        <is>
          <t>Garda gloss</t>
        </is>
      </c>
      <c r="C1277" t="n">
        <v>44.8</v>
      </c>
      <c r="D1277" t="n">
        <v>63.8</v>
      </c>
      <c r="E1277" t="n">
        <v>135</v>
      </c>
      <c r="F1277" t="n">
        <v>0</v>
      </c>
      <c r="G1277">
        <f>SUMIF(PRISPELO!B:B, A1277, PRISPELO!G:G)</f>
        <v/>
      </c>
      <c r="H1277">
        <f>SUMIF(ODPIS!B:B, A1277, ODPIS!G:G)</f>
        <v/>
      </c>
      <c r="I1277" s="2">
        <f>F1277 + G1277 - H1277</f>
        <v/>
      </c>
    </row>
    <row r="1278">
      <c r="A1278" t="n">
        <v>3253</v>
      </c>
      <c r="B1278" t="inlineStr">
        <is>
          <t>SORA matt</t>
        </is>
      </c>
      <c r="C1278" t="n">
        <v>70</v>
      </c>
      <c r="D1278" t="n">
        <v>100</v>
      </c>
      <c r="E1278" t="n">
        <v>80</v>
      </c>
      <c r="F1278" t="n">
        <v>1200</v>
      </c>
      <c r="G1278">
        <f>SUMIF(PRISPELO!B:B, A1278, PRISPELO!G:G)</f>
        <v/>
      </c>
      <c r="H1278">
        <f>SUMIF(ODPIS!B:B, A1278, ODPIS!G:G)</f>
        <v/>
      </c>
      <c r="I1278" s="2">
        <f>F1278 + G1278 - H1278</f>
        <v/>
      </c>
    </row>
    <row r="1279">
      <c r="A1279" t="n">
        <v>3256</v>
      </c>
      <c r="B1279" t="inlineStr">
        <is>
          <t>NIVIS NEXT GLOS</t>
        </is>
      </c>
      <c r="C1279" t="n">
        <v>90</v>
      </c>
      <c r="D1279" t="n">
        <v>64</v>
      </c>
      <c r="E1279" t="n">
        <v>200</v>
      </c>
      <c r="F1279" t="n">
        <v>0</v>
      </c>
      <c r="G1279">
        <f>SUMIF(PRISPELO!B:B, A1279, PRISPELO!G:G)</f>
        <v/>
      </c>
      <c r="H1279">
        <f>SUMIF(ODPIS!B:B, A1279, ODPIS!G:G)</f>
        <v/>
      </c>
      <c r="I1279" s="2">
        <f>F1279 + G1279 - H1279</f>
        <v/>
      </c>
    </row>
    <row r="1280">
      <c r="A1280" t="n">
        <v>3257</v>
      </c>
      <c r="B1280" t="inlineStr">
        <is>
          <t>COATED BOARD</t>
        </is>
      </c>
      <c r="C1280" t="n">
        <v>71</v>
      </c>
      <c r="D1280" t="n">
        <v>101</v>
      </c>
      <c r="E1280" t="n">
        <v>500</v>
      </c>
      <c r="F1280" t="n">
        <v>0</v>
      </c>
      <c r="G1280">
        <f>SUMIF(PRISPELO!B:B, A1280, PRISPELO!G:G)</f>
        <v/>
      </c>
      <c r="H1280">
        <f>SUMIF(ODPIS!B:B, A1280, ODPIS!G:G)</f>
        <v/>
      </c>
      <c r="I1280" s="2">
        <f>F1280 + G1280 - H1280</f>
        <v/>
      </c>
    </row>
    <row r="1281">
      <c r="A1281" t="n">
        <v>3258</v>
      </c>
      <c r="B1281" t="inlineStr">
        <is>
          <t>IQ COLOR PINK</t>
        </is>
      </c>
      <c r="C1281" t="n">
        <v>70</v>
      </c>
      <c r="D1281" t="n">
        <v>100</v>
      </c>
      <c r="E1281" t="n">
        <v>160</v>
      </c>
      <c r="F1281" t="n">
        <v>0</v>
      </c>
      <c r="G1281">
        <f>SUMIF(PRISPELO!B:B, A1281, PRISPELO!G:G)</f>
        <v/>
      </c>
      <c r="H1281">
        <f>SUMIF(ODPIS!B:B, A1281, ODPIS!G:G)</f>
        <v/>
      </c>
      <c r="I1281" s="2">
        <f>F1281 + G1281 - H1281</f>
        <v/>
      </c>
    </row>
    <row r="1282">
      <c r="A1282" t="n">
        <v>3259</v>
      </c>
      <c r="B1282" t="inlineStr">
        <is>
          <t>IQ COLOR BLUE</t>
        </is>
      </c>
      <c r="C1282" t="n">
        <v>70</v>
      </c>
      <c r="D1282" t="n">
        <v>100</v>
      </c>
      <c r="E1282" t="n">
        <v>160</v>
      </c>
      <c r="F1282" t="n">
        <v>0</v>
      </c>
      <c r="G1282">
        <f>SUMIF(PRISPELO!B:B, A1282, PRISPELO!G:G)</f>
        <v/>
      </c>
      <c r="H1282">
        <f>SUMIF(ODPIS!B:B, A1282, ODPIS!G:G)</f>
        <v/>
      </c>
      <c r="I1282" s="2">
        <f>F1282 + G1282 - H1282</f>
        <v/>
      </c>
    </row>
    <row r="1283">
      <c r="A1283" t="n">
        <v>3260</v>
      </c>
      <c r="B1283" t="inlineStr">
        <is>
          <t>RAFLACOAT REMOVAB. ZASEKAN</t>
        </is>
      </c>
      <c r="C1283" t="n">
        <v>50</v>
      </c>
      <c r="D1283" t="n">
        <v>100</v>
      </c>
      <c r="E1283" t="n">
        <v>80</v>
      </c>
      <c r="F1283" t="n">
        <v>0</v>
      </c>
      <c r="G1283">
        <f>SUMIF(PRISPELO!B:B, A1283, PRISPELO!G:G)</f>
        <v/>
      </c>
      <c r="H1283">
        <f>SUMIF(ODPIS!B:B, A1283, ODPIS!G:G)</f>
        <v/>
      </c>
      <c r="I1283" s="2">
        <f>F1283 + G1283 - H1283</f>
        <v/>
      </c>
    </row>
    <row r="1284">
      <c r="A1284" t="n">
        <v>3261</v>
      </c>
      <c r="B1284" t="inlineStr">
        <is>
          <t>OLIN REHU HIGH WHIT</t>
        </is>
      </c>
      <c r="C1284" t="n">
        <v>72</v>
      </c>
      <c r="D1284" t="n">
        <v>102</v>
      </c>
      <c r="E1284" t="n">
        <v>120</v>
      </c>
      <c r="F1284" t="n">
        <v>0</v>
      </c>
      <c r="G1284">
        <f>SUMIF(PRISPELO!B:B, A1284, PRISPELO!G:G)</f>
        <v/>
      </c>
      <c r="H1284">
        <f>SUMIF(ODPIS!B:B, A1284, ODPIS!G:G)</f>
        <v/>
      </c>
      <c r="I1284" s="2">
        <f>F1284 + G1284 - H1284</f>
        <v/>
      </c>
    </row>
    <row r="1285">
      <c r="A1285" t="n">
        <v>3262</v>
      </c>
      <c r="B1285" t="inlineStr">
        <is>
          <t>AMBER GRAPHIC</t>
        </is>
      </c>
      <c r="C1285" t="n">
        <v>70</v>
      </c>
      <c r="D1285" t="n">
        <v>100</v>
      </c>
      <c r="E1285" t="n">
        <v>100</v>
      </c>
      <c r="F1285" t="n">
        <v>0</v>
      </c>
      <c r="G1285">
        <f>SUMIF(PRISPELO!B:B, A1285, PRISPELO!G:G)</f>
        <v/>
      </c>
      <c r="H1285">
        <f>SUMIF(ODPIS!B:B, A1285, ODPIS!G:G)</f>
        <v/>
      </c>
      <c r="I1285" s="2">
        <f>F1285 + G1285 - H1285</f>
        <v/>
      </c>
    </row>
    <row r="1286">
      <c r="A1286" t="n">
        <v>3263</v>
      </c>
      <c r="B1286" t="inlineStr">
        <is>
          <t>NIKLAKET MEDIUM</t>
        </is>
      </c>
      <c r="C1286" t="n">
        <v>72</v>
      </c>
      <c r="D1286" t="n">
        <v>102</v>
      </c>
      <c r="E1286" t="n">
        <v>75</v>
      </c>
      <c r="F1286" t="n">
        <v>300</v>
      </c>
      <c r="G1286">
        <f>SUMIF(PRISPELO!B:B, A1286, PRISPELO!G:G)</f>
        <v/>
      </c>
      <c r="H1286">
        <f>SUMIF(ODPIS!B:B, A1286, ODPIS!G:G)</f>
        <v/>
      </c>
      <c r="I1286" s="2">
        <f>F1286 + G1286 - H1286</f>
        <v/>
      </c>
    </row>
    <row r="1287">
      <c r="A1287" t="n">
        <v>3264</v>
      </c>
      <c r="B1287" t="inlineStr">
        <is>
          <t>IQ COLOR GREEN</t>
        </is>
      </c>
      <c r="C1287" t="n">
        <v>70</v>
      </c>
      <c r="D1287" t="n">
        <v>100</v>
      </c>
      <c r="E1287" t="n">
        <v>230</v>
      </c>
      <c r="F1287" t="n">
        <v>0</v>
      </c>
      <c r="G1287">
        <f>SUMIF(PRISPELO!B:B, A1287, PRISPELO!G:G)</f>
        <v/>
      </c>
      <c r="H1287">
        <f>SUMIF(ODPIS!B:B, A1287, ODPIS!G:G)</f>
        <v/>
      </c>
      <c r="I1287" s="2">
        <f>F1287 + G1287 - H1287</f>
        <v/>
      </c>
    </row>
    <row r="1288">
      <c r="A1288" t="n">
        <v>3265</v>
      </c>
      <c r="B1288" t="inlineStr">
        <is>
          <t>NIVIS NEXT GLOSS</t>
        </is>
      </c>
      <c r="C1288" t="n">
        <v>100</v>
      </c>
      <c r="D1288" t="n">
        <v>70</v>
      </c>
      <c r="E1288" t="n">
        <v>90</v>
      </c>
      <c r="F1288" t="n">
        <v>0</v>
      </c>
      <c r="G1288">
        <f>SUMIF(PRISPELO!B:B, A1288, PRISPELO!G:G)</f>
        <v/>
      </c>
      <c r="H1288">
        <f>SUMIF(ODPIS!B:B, A1288, ODPIS!G:G)</f>
        <v/>
      </c>
      <c r="I1288" s="2">
        <f>F1288 + G1288 - H1288</f>
        <v/>
      </c>
    </row>
    <row r="1289">
      <c r="A1289" t="n">
        <v>3266</v>
      </c>
      <c r="B1289" t="inlineStr">
        <is>
          <t>ROYAL BOARD EXTRA</t>
        </is>
      </c>
      <c r="C1289" t="n">
        <v>70</v>
      </c>
      <c r="D1289" t="n">
        <v>100</v>
      </c>
      <c r="E1289" t="n">
        <v>295</v>
      </c>
      <c r="F1289" t="n">
        <v>0</v>
      </c>
      <c r="G1289">
        <f>SUMIF(PRISPELO!B:B, A1289, PRISPELO!G:G)</f>
        <v/>
      </c>
      <c r="H1289">
        <f>SUMIF(ODPIS!B:B, A1289, ODPIS!G:G)</f>
        <v/>
      </c>
      <c r="I1289" s="2">
        <f>F1289 + G1289 - H1289</f>
        <v/>
      </c>
    </row>
    <row r="1290">
      <c r="A1290" t="n">
        <v>3267</v>
      </c>
      <c r="B1290" t="inlineStr">
        <is>
          <t>ROYAL OFFSET</t>
        </is>
      </c>
      <c r="C1290" t="n">
        <v>100</v>
      </c>
      <c r="D1290" t="n">
        <v>70</v>
      </c>
      <c r="E1290" t="n">
        <v>250</v>
      </c>
      <c r="F1290" t="n">
        <v>0</v>
      </c>
      <c r="G1290">
        <f>SUMIF(PRISPELO!B:B, A1290, PRISPELO!G:G)</f>
        <v/>
      </c>
      <c r="H1290">
        <f>SUMIF(ODPIS!B:B, A1290, ODPIS!G:G)</f>
        <v/>
      </c>
      <c r="I1290" s="2">
        <f>F1290 + G1290 - H1290</f>
        <v/>
      </c>
    </row>
    <row r="1291">
      <c r="A1291" t="n">
        <v>3268</v>
      </c>
      <c r="B1291" t="inlineStr">
        <is>
          <t>NIVIS NEXT MATT</t>
        </is>
      </c>
      <c r="C1291" t="n">
        <v>70</v>
      </c>
      <c r="D1291" t="n">
        <v>100</v>
      </c>
      <c r="E1291" t="n">
        <v>200</v>
      </c>
      <c r="F1291" t="n">
        <v>450</v>
      </c>
      <c r="G1291">
        <f>SUMIF(PRISPELO!B:B, A1291, PRISPELO!G:G)</f>
        <v/>
      </c>
      <c r="H1291">
        <f>SUMIF(ODPIS!B:B, A1291, ODPIS!G:G)</f>
        <v/>
      </c>
      <c r="I1291" s="2">
        <f>F1291 + G1291 - H1291</f>
        <v/>
      </c>
    </row>
    <row r="1292">
      <c r="A1292" t="n">
        <v>3269</v>
      </c>
      <c r="B1292" t="inlineStr">
        <is>
          <t>TARGET PLUS</t>
        </is>
      </c>
      <c r="C1292" t="n">
        <v>70</v>
      </c>
      <c r="D1292" t="n">
        <v>100</v>
      </c>
      <c r="E1292" t="n">
        <v>300</v>
      </c>
      <c r="F1292" t="n">
        <v>0</v>
      </c>
      <c r="G1292">
        <f>SUMIF(PRISPELO!B:B, A1292, PRISPELO!G:G)</f>
        <v/>
      </c>
      <c r="H1292">
        <f>SUMIF(ODPIS!B:B, A1292, ODPIS!G:G)</f>
        <v/>
      </c>
      <c r="I1292" s="2">
        <f>F1292 + G1292 - H1292</f>
        <v/>
      </c>
    </row>
    <row r="1293">
      <c r="A1293" t="n">
        <v>3270</v>
      </c>
      <c r="B1293" t="inlineStr">
        <is>
          <t>NIVIS NEXT MATT</t>
        </is>
      </c>
      <c r="C1293" t="n">
        <v>100</v>
      </c>
      <c r="D1293" t="n">
        <v>70</v>
      </c>
      <c r="E1293" t="n">
        <v>150</v>
      </c>
      <c r="F1293" t="n">
        <v>350</v>
      </c>
      <c r="G1293">
        <f>SUMIF(PRISPELO!B:B, A1293, PRISPELO!G:G)</f>
        <v/>
      </c>
      <c r="H1293">
        <f>SUMIF(ODPIS!B:B, A1293, ODPIS!G:G)</f>
        <v/>
      </c>
      <c r="I1293" s="2">
        <f>F1293 + G1293 - H1293</f>
        <v/>
      </c>
    </row>
    <row r="1294">
      <c r="A1294" t="n">
        <v>3979</v>
      </c>
      <c r="B1294" t="inlineStr">
        <is>
          <t>Kuverta Olin smooth LO sil,trak</t>
        </is>
      </c>
      <c r="C1294" t="n">
        <v>22</v>
      </c>
      <c r="D1294" t="n">
        <v>11</v>
      </c>
      <c r="E1294" t="n">
        <v>90</v>
      </c>
      <c r="F1294" t="n">
        <v>0</v>
      </c>
      <c r="G1294">
        <f>SUMIF(PRISPELO!B:B, A1294, PRISPELO!G:G)</f>
        <v/>
      </c>
      <c r="H1294">
        <f>SUMIF(ODPIS!B:B, A1294, ODPIS!G:G)</f>
        <v/>
      </c>
      <c r="I1294" s="2">
        <f>F1294 + G1294 - H1294</f>
        <v/>
      </c>
    </row>
    <row r="1295">
      <c r="A1295" t="n">
        <v>3271</v>
      </c>
      <c r="B1295" t="inlineStr">
        <is>
          <t>IQ COLOR PINK</t>
        </is>
      </c>
      <c r="C1295" t="n">
        <v>70</v>
      </c>
      <c r="D1295" t="n">
        <v>100</v>
      </c>
      <c r="E1295" t="n">
        <v>120</v>
      </c>
      <c r="F1295" t="n">
        <v>0</v>
      </c>
      <c r="G1295">
        <f>SUMIF(PRISPELO!B:B, A1295, PRISPELO!G:G)</f>
        <v/>
      </c>
      <c r="H1295">
        <f>SUMIF(ODPIS!B:B, A1295, ODPIS!G:G)</f>
        <v/>
      </c>
      <c r="I1295" s="2">
        <f>F1295 + G1295 - H1295</f>
        <v/>
      </c>
    </row>
    <row r="1296">
      <c r="A1296" t="n">
        <v>3272</v>
      </c>
      <c r="B1296" t="inlineStr">
        <is>
          <t>IQ COLOR ORANGE</t>
        </is>
      </c>
      <c r="C1296" t="n">
        <v>70</v>
      </c>
      <c r="D1296" t="n">
        <v>100</v>
      </c>
      <c r="E1296" t="n">
        <v>120</v>
      </c>
      <c r="F1296" t="n">
        <v>0</v>
      </c>
      <c r="G1296">
        <f>SUMIF(PRISPELO!B:B, A1296, PRISPELO!G:G)</f>
        <v/>
      </c>
      <c r="H1296">
        <f>SUMIF(ODPIS!B:B, A1296, ODPIS!G:G)</f>
        <v/>
      </c>
      <c r="I1296" s="2">
        <f>F1296 + G1296 - H1296</f>
        <v/>
      </c>
    </row>
    <row r="1297">
      <c r="A1297" t="n">
        <v>3273</v>
      </c>
      <c r="B1297" t="inlineStr">
        <is>
          <t>RIVES TRADITION CREAM</t>
        </is>
      </c>
      <c r="C1297" t="n">
        <v>70</v>
      </c>
      <c r="D1297" t="n">
        <v>100</v>
      </c>
      <c r="E1297" t="n">
        <v>250</v>
      </c>
      <c r="F1297" t="n">
        <v>0</v>
      </c>
      <c r="G1297">
        <f>SUMIF(PRISPELO!B:B, A1297, PRISPELO!G:G)</f>
        <v/>
      </c>
      <c r="H1297">
        <f>SUMIF(ODPIS!B:B, A1297, ODPIS!G:G)</f>
        <v/>
      </c>
      <c r="I1297" s="2">
        <f>F1297 + G1297 - H1297</f>
        <v/>
      </c>
    </row>
    <row r="1298">
      <c r="A1298" t="n">
        <v>3274</v>
      </c>
      <c r="B1298" t="inlineStr">
        <is>
          <t>CHROMOSTAR</t>
        </is>
      </c>
      <c r="C1298" t="n">
        <v>72</v>
      </c>
      <c r="D1298" t="n">
        <v>102</v>
      </c>
      <c r="E1298" t="n">
        <v>295</v>
      </c>
      <c r="F1298" t="n">
        <v>0</v>
      </c>
      <c r="G1298">
        <f>SUMIF(PRISPELO!B:B, A1298, PRISPELO!G:G)</f>
        <v/>
      </c>
      <c r="H1298">
        <f>SUMIF(ODPIS!B:B, A1298, ODPIS!G:G)</f>
        <v/>
      </c>
      <c r="I1298" s="2">
        <f>F1298 + G1298 - H1298</f>
        <v/>
      </c>
    </row>
    <row r="1299">
      <c r="A1299" t="n">
        <v>3275</v>
      </c>
      <c r="B1299" t="inlineStr">
        <is>
          <t>ROYALCOAT PREMIUM SILK</t>
        </is>
      </c>
      <c r="C1299" t="n">
        <v>64</v>
      </c>
      <c r="D1299" t="n">
        <v>90</v>
      </c>
      <c r="E1299" t="n">
        <v>300</v>
      </c>
      <c r="F1299" t="n">
        <v>0</v>
      </c>
      <c r="G1299">
        <f>SUMIF(PRISPELO!B:B, A1299, PRISPELO!G:G)</f>
        <v/>
      </c>
      <c r="H1299">
        <f>SUMIF(ODPIS!B:B, A1299, ODPIS!G:G)</f>
        <v/>
      </c>
      <c r="I1299" s="2">
        <f>F1299 + G1299 - H1299</f>
        <v/>
      </c>
    </row>
    <row r="1300">
      <c r="A1300" t="n">
        <v>3276</v>
      </c>
      <c r="B1300" t="inlineStr">
        <is>
          <t>NIVIS NEXT MATT</t>
        </is>
      </c>
      <c r="C1300" t="n">
        <v>90</v>
      </c>
      <c r="D1300" t="n">
        <v>64</v>
      </c>
      <c r="E1300" t="n">
        <v>100</v>
      </c>
      <c r="F1300" t="n">
        <v>0</v>
      </c>
      <c r="G1300">
        <f>SUMIF(PRISPELO!B:B, A1300, PRISPELO!G:G)</f>
        <v/>
      </c>
      <c r="H1300">
        <f>SUMIF(ODPIS!B:B, A1300, ODPIS!G:G)</f>
        <v/>
      </c>
      <c r="I1300" s="2">
        <f>F1300 + G1300 - H1300</f>
        <v/>
      </c>
    </row>
    <row r="1301">
      <c r="A1301" t="n">
        <v>3277</v>
      </c>
      <c r="B1301" t="inlineStr">
        <is>
          <t>ROYALSET OFFSET</t>
        </is>
      </c>
      <c r="C1301" t="n">
        <v>100</v>
      </c>
      <c r="D1301" t="n">
        <v>70</v>
      </c>
      <c r="E1301" t="n">
        <v>190</v>
      </c>
      <c r="F1301" t="n">
        <v>0</v>
      </c>
      <c r="G1301">
        <f>SUMIF(PRISPELO!B:B, A1301, PRISPELO!G:G)</f>
        <v/>
      </c>
      <c r="H1301">
        <f>SUMIF(ODPIS!B:B, A1301, ODPIS!G:G)</f>
        <v/>
      </c>
      <c r="I1301" s="2">
        <f>F1301 + G1301 - H1301</f>
        <v/>
      </c>
    </row>
    <row r="1302">
      <c r="A1302" t="n">
        <v>3278</v>
      </c>
      <c r="B1302" t="inlineStr">
        <is>
          <t>ROYAL BOARD EXTRA</t>
        </is>
      </c>
      <c r="C1302" t="n">
        <v>102</v>
      </c>
      <c r="D1302" t="n">
        <v>72</v>
      </c>
      <c r="E1302" t="n">
        <v>325</v>
      </c>
      <c r="F1302" t="n">
        <v>0</v>
      </c>
      <c r="G1302">
        <f>SUMIF(PRISPELO!B:B, A1302, PRISPELO!G:G)</f>
        <v/>
      </c>
      <c r="H1302">
        <f>SUMIF(ODPIS!B:B, A1302, ODPIS!G:G)</f>
        <v/>
      </c>
      <c r="I1302" s="2">
        <f>F1302 + G1302 - H1302</f>
        <v/>
      </c>
    </row>
    <row r="1303">
      <c r="A1303" t="n">
        <v>3279</v>
      </c>
      <c r="B1303" t="inlineStr">
        <is>
          <t>nivis next matt</t>
        </is>
      </c>
      <c r="C1303" t="n">
        <v>70</v>
      </c>
      <c r="D1303" t="n">
        <v>100</v>
      </c>
      <c r="E1303" t="n">
        <v>100</v>
      </c>
      <c r="F1303" t="n">
        <v>150</v>
      </c>
      <c r="G1303">
        <f>SUMIF(PRISPELO!B:B, A1303, PRISPELO!G:G)</f>
        <v/>
      </c>
      <c r="H1303">
        <f>SUMIF(ODPIS!B:B, A1303, ODPIS!G:G)</f>
        <v/>
      </c>
      <c r="I1303" s="2">
        <f>F1303 + G1303 - H1303</f>
        <v/>
      </c>
    </row>
    <row r="1304">
      <c r="A1304" t="n">
        <v>3280</v>
      </c>
      <c r="B1304" t="inlineStr">
        <is>
          <t>GIROFORM CFB bel</t>
        </is>
      </c>
      <c r="C1304" t="n">
        <v>45</v>
      </c>
      <c r="D1304" t="n">
        <v>32</v>
      </c>
      <c r="E1304" t="n">
        <v>80</v>
      </c>
      <c r="F1304" t="n">
        <v>0</v>
      </c>
      <c r="G1304">
        <f>SUMIF(PRISPELO!B:B, A1304, PRISPELO!G:G)</f>
        <v/>
      </c>
      <c r="H1304">
        <f>SUMIF(ODPIS!B:B, A1304, ODPIS!G:G)</f>
        <v/>
      </c>
      <c r="I1304" s="2">
        <f>F1304 + G1304 - H1304</f>
        <v/>
      </c>
    </row>
    <row r="1305">
      <c r="A1305" t="n">
        <v>3281</v>
      </c>
      <c r="B1305" t="inlineStr">
        <is>
          <t>G-PRINT</t>
        </is>
      </c>
      <c r="C1305" t="n">
        <v>90</v>
      </c>
      <c r="D1305" t="n">
        <v>64</v>
      </c>
      <c r="E1305" t="n">
        <v>200</v>
      </c>
      <c r="F1305" t="n">
        <v>0</v>
      </c>
      <c r="G1305">
        <f>SUMIF(PRISPELO!B:B, A1305, PRISPELO!G:G)</f>
        <v/>
      </c>
      <c r="H1305">
        <f>SUMIF(ODPIS!B:B, A1305, ODPIS!G:G)</f>
        <v/>
      </c>
      <c r="I1305" s="2">
        <f>F1305 + G1305 - H1305</f>
        <v/>
      </c>
    </row>
    <row r="1306">
      <c r="A1306" t="n">
        <v>3282</v>
      </c>
      <c r="B1306" t="inlineStr">
        <is>
          <t>G-PRINT</t>
        </is>
      </c>
      <c r="C1306" t="n">
        <v>100</v>
      </c>
      <c r="D1306" t="n">
        <v>70</v>
      </c>
      <c r="E1306" t="n">
        <v>100</v>
      </c>
      <c r="F1306" t="n">
        <v>0</v>
      </c>
      <c r="G1306">
        <f>SUMIF(PRISPELO!B:B, A1306, PRISPELO!G:G)</f>
        <v/>
      </c>
      <c r="H1306">
        <f>SUMIF(ODPIS!B:B, A1306, ODPIS!G:G)</f>
        <v/>
      </c>
      <c r="I1306" s="2">
        <f>F1306 + G1306 - H1306</f>
        <v/>
      </c>
    </row>
    <row r="1307">
      <c r="A1307" t="n">
        <v>3283</v>
      </c>
      <c r="B1307" t="inlineStr">
        <is>
          <t>IDEM SUPERIOR - CB</t>
        </is>
      </c>
      <c r="C1307" t="n">
        <v>61</v>
      </c>
      <c r="D1307" t="n">
        <v>86</v>
      </c>
      <c r="E1307" t="n">
        <v>60</v>
      </c>
      <c r="F1307" t="n">
        <v>0</v>
      </c>
      <c r="G1307">
        <f>SUMIF(PRISPELO!B:B, A1307, PRISPELO!G:G)</f>
        <v/>
      </c>
      <c r="H1307">
        <f>SUMIF(ODPIS!B:B, A1307, ODPIS!G:G)</f>
        <v/>
      </c>
      <c r="I1307" s="2">
        <f>F1307 + G1307 - H1307</f>
        <v/>
      </c>
    </row>
    <row r="1308">
      <c r="A1308" t="n">
        <v>3285</v>
      </c>
      <c r="B1308" t="inlineStr">
        <is>
          <t>Tera Print Silk</t>
        </is>
      </c>
      <c r="C1308" t="n">
        <v>45</v>
      </c>
      <c r="D1308" t="n">
        <v>64</v>
      </c>
      <c r="E1308" t="n">
        <v>65</v>
      </c>
      <c r="F1308" t="n">
        <v>0</v>
      </c>
      <c r="G1308">
        <f>SUMIF(PRISPELO!B:B, A1308, PRISPELO!G:G)</f>
        <v/>
      </c>
      <c r="H1308">
        <f>SUMIF(ODPIS!B:B, A1308, ODPIS!G:G)</f>
        <v/>
      </c>
      <c r="I1308" s="2">
        <f>F1308 + G1308 - H1308</f>
        <v/>
      </c>
    </row>
    <row r="1309">
      <c r="A1309" t="n">
        <v>3286</v>
      </c>
      <c r="B1309" t="inlineStr">
        <is>
          <t>AMBER GRAPHIC</t>
        </is>
      </c>
      <c r="C1309" t="n">
        <v>45</v>
      </c>
      <c r="D1309" t="n">
        <v>64</v>
      </c>
      <c r="E1309" t="n">
        <v>90</v>
      </c>
      <c r="F1309" t="n">
        <v>0</v>
      </c>
      <c r="G1309">
        <f>SUMIF(PRISPELO!B:B, A1309, PRISPELO!G:G)</f>
        <v/>
      </c>
      <c r="H1309">
        <f>SUMIF(ODPIS!B:B, A1309, ODPIS!G:G)</f>
        <v/>
      </c>
      <c r="I1309" s="2">
        <f>F1309 + G1309 - H1309</f>
        <v/>
      </c>
    </row>
    <row r="1310">
      <c r="A1310" t="n">
        <v>3287</v>
      </c>
      <c r="B1310" t="inlineStr">
        <is>
          <t>CLARO BULK</t>
        </is>
      </c>
      <c r="C1310" t="n">
        <v>100</v>
      </c>
      <c r="D1310" t="n">
        <v>70</v>
      </c>
      <c r="E1310" t="n">
        <v>90</v>
      </c>
      <c r="F1310" t="n">
        <v>230</v>
      </c>
      <c r="G1310">
        <f>SUMIF(PRISPELO!B:B, A1310, PRISPELO!G:G)</f>
        <v/>
      </c>
      <c r="H1310">
        <f>SUMIF(ODPIS!B:B, A1310, ODPIS!G:G)</f>
        <v/>
      </c>
      <c r="I1310" s="2">
        <f>F1310 + G1310 - H1310</f>
        <v/>
      </c>
    </row>
    <row r="1311">
      <c r="A1311" t="n">
        <v>3288</v>
      </c>
      <c r="B1311" t="inlineStr">
        <is>
          <t>CHROMOSTAR</t>
        </is>
      </c>
      <c r="C1311" t="n">
        <v>63.5</v>
      </c>
      <c r="D1311" t="n">
        <v>44.2</v>
      </c>
      <c r="E1311" t="n">
        <v>295</v>
      </c>
      <c r="F1311" t="n">
        <v>0</v>
      </c>
      <c r="G1311">
        <f>SUMIF(PRISPELO!B:B, A1311, PRISPELO!G:G)</f>
        <v/>
      </c>
      <c r="H1311">
        <f>SUMIF(ODPIS!B:B, A1311, ODPIS!G:G)</f>
        <v/>
      </c>
      <c r="I1311" s="2">
        <f>F1311 + G1311 - H1311</f>
        <v/>
      </c>
    </row>
    <row r="1312">
      <c r="A1312" t="n">
        <v>3289</v>
      </c>
      <c r="B1312" t="inlineStr">
        <is>
          <t>AMBER GRAPHIC</t>
        </is>
      </c>
      <c r="C1312" t="n">
        <v>100</v>
      </c>
      <c r="D1312" t="n">
        <v>70</v>
      </c>
      <c r="E1312" t="n">
        <v>170</v>
      </c>
      <c r="F1312" t="n">
        <v>0</v>
      </c>
      <c r="G1312">
        <f>SUMIF(PRISPELO!B:B, A1312, PRISPELO!G:G)</f>
        <v/>
      </c>
      <c r="H1312">
        <f>SUMIF(ODPIS!B:B, A1312, ODPIS!G:G)</f>
        <v/>
      </c>
      <c r="I1312" s="2">
        <f>F1312 + G1312 - H1312</f>
        <v/>
      </c>
    </row>
    <row r="1313">
      <c r="A1313" t="n">
        <v>3290</v>
      </c>
      <c r="B1313" t="inlineStr">
        <is>
          <t>AMBER GRAPHIC</t>
        </is>
      </c>
      <c r="C1313" t="n">
        <v>100</v>
      </c>
      <c r="D1313" t="n">
        <v>70</v>
      </c>
      <c r="E1313" t="n">
        <v>300</v>
      </c>
      <c r="F1313" t="n">
        <v>0</v>
      </c>
      <c r="G1313">
        <f>SUMIF(PRISPELO!B:B, A1313, PRISPELO!G:G)</f>
        <v/>
      </c>
      <c r="H1313">
        <f>SUMIF(ODPIS!B:B, A1313, ODPIS!G:G)</f>
        <v/>
      </c>
      <c r="I1313" s="2">
        <f>F1313 + G1313 - H1313</f>
        <v/>
      </c>
    </row>
    <row r="1314">
      <c r="A1314" t="n">
        <v>3293</v>
      </c>
      <c r="B1314" t="inlineStr">
        <is>
          <t>NIVIS NEXT GLOSS</t>
        </is>
      </c>
      <c r="C1314" t="n">
        <v>90</v>
      </c>
      <c r="D1314" t="n">
        <v>64</v>
      </c>
      <c r="E1314" t="n">
        <v>115</v>
      </c>
      <c r="F1314" t="n">
        <v>450</v>
      </c>
      <c r="G1314">
        <f>SUMIF(PRISPELO!B:B, A1314, PRISPELO!G:G)</f>
        <v/>
      </c>
      <c r="H1314">
        <f>SUMIF(ODPIS!B:B, A1314, ODPIS!G:G)</f>
        <v/>
      </c>
      <c r="I1314" s="2">
        <f>F1314 + G1314 - H1314</f>
        <v/>
      </c>
    </row>
    <row r="1315">
      <c r="A1315" t="n">
        <v>3294</v>
      </c>
      <c r="B1315" t="inlineStr">
        <is>
          <t>NIVIS NEXT MAT</t>
        </is>
      </c>
      <c r="C1315" t="n">
        <v>70</v>
      </c>
      <c r="D1315" t="n">
        <v>100</v>
      </c>
      <c r="E1315" t="n">
        <v>150</v>
      </c>
      <c r="F1315" t="n">
        <v>0</v>
      </c>
      <c r="G1315">
        <f>SUMIF(PRISPELO!B:B, A1315, PRISPELO!G:G)</f>
        <v/>
      </c>
      <c r="H1315">
        <f>SUMIF(ODPIS!B:B, A1315, ODPIS!G:G)</f>
        <v/>
      </c>
      <c r="I1315" s="2">
        <f>F1315 + G1315 - H1315</f>
        <v/>
      </c>
    </row>
    <row r="1316">
      <c r="A1316" t="n">
        <v>3295</v>
      </c>
      <c r="B1316" t="inlineStr">
        <is>
          <t>MULTICOLOR SPEZIAL</t>
        </is>
      </c>
      <c r="C1316" t="n">
        <v>71</v>
      </c>
      <c r="D1316" t="n">
        <v>101</v>
      </c>
      <c r="E1316" t="n">
        <v>500</v>
      </c>
      <c r="F1316" t="n">
        <v>0</v>
      </c>
      <c r="G1316">
        <f>SUMIF(PRISPELO!B:B, A1316, PRISPELO!G:G)</f>
        <v/>
      </c>
      <c r="H1316">
        <f>SUMIF(ODPIS!B:B, A1316, ODPIS!G:G)</f>
        <v/>
      </c>
      <c r="I1316" s="2">
        <f>F1316 + G1316 - H1316</f>
        <v/>
      </c>
    </row>
    <row r="1317">
      <c r="A1317" t="n">
        <v>3298</v>
      </c>
      <c r="B1317" t="inlineStr">
        <is>
          <t>PERGRAP CLASSIC RUGH</t>
        </is>
      </c>
      <c r="C1317" t="n">
        <v>102</v>
      </c>
      <c r="D1317" t="n">
        <v>720</v>
      </c>
      <c r="E1317" t="n">
        <v>240</v>
      </c>
      <c r="F1317" t="n">
        <v>0</v>
      </c>
      <c r="G1317">
        <f>SUMIF(PRISPELO!B:B, A1317, PRISPELO!G:G)</f>
        <v/>
      </c>
      <c r="H1317">
        <f>SUMIF(ODPIS!B:B, A1317, ODPIS!G:G)</f>
        <v/>
      </c>
      <c r="I1317" s="2">
        <f>F1317 + G1317 - H1317</f>
        <v/>
      </c>
    </row>
    <row r="1318">
      <c r="A1318" t="n">
        <v>3299</v>
      </c>
      <c r="B1318" t="inlineStr">
        <is>
          <t>GIROFORM CB</t>
        </is>
      </c>
      <c r="C1318" t="n">
        <v>64</v>
      </c>
      <c r="D1318" t="n">
        <v>45</v>
      </c>
      <c r="E1318" t="n">
        <v>77</v>
      </c>
      <c r="F1318" t="n">
        <v>0</v>
      </c>
      <c r="G1318">
        <f>SUMIF(PRISPELO!B:B, A1318, PRISPELO!G:G)</f>
        <v/>
      </c>
      <c r="H1318">
        <f>SUMIF(ODPIS!B:B, A1318, ODPIS!G:G)</f>
        <v/>
      </c>
      <c r="I1318" s="2">
        <f>F1318 + G1318 - H1318</f>
        <v/>
      </c>
    </row>
    <row r="1319">
      <c r="A1319" t="n">
        <v>3300</v>
      </c>
      <c r="B1319" t="inlineStr">
        <is>
          <t>FEDRIGONI SYMBOL CARD PW</t>
        </is>
      </c>
      <c r="C1319" t="n">
        <v>72</v>
      </c>
      <c r="D1319" t="n">
        <v>102</v>
      </c>
      <c r="E1319" t="n">
        <v>360</v>
      </c>
      <c r="F1319" t="n">
        <v>0</v>
      </c>
      <c r="G1319">
        <f>SUMIF(PRISPELO!B:B, A1319, PRISPELO!G:G)</f>
        <v/>
      </c>
      <c r="H1319">
        <f>SUMIF(ODPIS!B:B, A1319, ODPIS!G:G)</f>
        <v/>
      </c>
      <c r="I1319" s="2">
        <f>F1319 + G1319 - H1319</f>
        <v/>
      </c>
    </row>
    <row r="1320">
      <c r="A1320" t="n">
        <v>3301</v>
      </c>
      <c r="B1320" t="inlineStr">
        <is>
          <t>NIVIS NEXT MATT</t>
        </is>
      </c>
      <c r="C1320" t="n">
        <v>100</v>
      </c>
      <c r="D1320" t="n">
        <v>70</v>
      </c>
      <c r="E1320" t="n">
        <v>100</v>
      </c>
      <c r="F1320" t="n">
        <v>0</v>
      </c>
      <c r="G1320">
        <f>SUMIF(PRISPELO!B:B, A1320, PRISPELO!G:G)</f>
        <v/>
      </c>
      <c r="H1320">
        <f>SUMIF(ODPIS!B:B, A1320, ODPIS!G:G)</f>
        <v/>
      </c>
      <c r="I1320" s="2">
        <f>F1320 + G1320 - H1320</f>
        <v/>
      </c>
    </row>
    <row r="1321">
      <c r="A1321" t="n">
        <v>3302</v>
      </c>
      <c r="B1321" t="inlineStr">
        <is>
          <t>OFFSET PREPRINT</t>
        </is>
      </c>
      <c r="C1321" t="n">
        <v>46</v>
      </c>
      <c r="D1321" t="n">
        <v>64</v>
      </c>
      <c r="E1321" t="n">
        <v>120</v>
      </c>
      <c r="F1321" t="n">
        <v>0</v>
      </c>
      <c r="G1321">
        <f>SUMIF(PRISPELO!B:B, A1321, PRISPELO!G:G)</f>
        <v/>
      </c>
      <c r="H1321">
        <f>SUMIF(ODPIS!B:B, A1321, ODPIS!G:G)</f>
        <v/>
      </c>
      <c r="I1321" s="2">
        <f>F1321 + G1321 - H1321</f>
        <v/>
      </c>
    </row>
    <row r="1322">
      <c r="A1322" t="n">
        <v>3304</v>
      </c>
      <c r="B1322" t="inlineStr">
        <is>
          <t>NIVIS NEXT GLOSS</t>
        </is>
      </c>
      <c r="C1322" t="n">
        <v>64</v>
      </c>
      <c r="D1322" t="n">
        <v>90</v>
      </c>
      <c r="E1322" t="n">
        <v>150</v>
      </c>
      <c r="F1322" t="n">
        <v>0</v>
      </c>
      <c r="G1322">
        <f>SUMIF(PRISPELO!B:B, A1322, PRISPELO!G:G)</f>
        <v/>
      </c>
      <c r="H1322">
        <f>SUMIF(ODPIS!B:B, A1322, ODPIS!G:G)</f>
        <v/>
      </c>
      <c r="I1322" s="2">
        <f>F1322 + G1322 - H1322</f>
        <v/>
      </c>
    </row>
    <row r="1323">
      <c r="A1323" t="n">
        <v>3305</v>
      </c>
      <c r="B1323" t="inlineStr">
        <is>
          <t>NIVIS NEXT MAT</t>
        </is>
      </c>
      <c r="C1323" t="n">
        <v>90</v>
      </c>
      <c r="D1323" t="n">
        <v>64</v>
      </c>
      <c r="E1323" t="n">
        <v>115</v>
      </c>
      <c r="F1323" t="n">
        <v>0</v>
      </c>
      <c r="G1323">
        <f>SUMIF(PRISPELO!B:B, A1323, PRISPELO!G:G)</f>
        <v/>
      </c>
      <c r="H1323">
        <f>SUMIF(ODPIS!B:B, A1323, ODPIS!G:G)</f>
        <v/>
      </c>
      <c r="I1323" s="2">
        <f>F1323 + G1323 - H1323</f>
        <v/>
      </c>
    </row>
    <row r="1324">
      <c r="A1324" t="n">
        <v>3306</v>
      </c>
      <c r="B1324" t="inlineStr">
        <is>
          <t>MUNKEN POLAR</t>
        </is>
      </c>
      <c r="C1324" t="n">
        <v>100</v>
      </c>
      <c r="D1324" t="n">
        <v>70</v>
      </c>
      <c r="E1324" t="n">
        <v>240</v>
      </c>
      <c r="F1324" t="n">
        <v>0</v>
      </c>
      <c r="G1324">
        <f>SUMIF(PRISPELO!B:B, A1324, PRISPELO!G:G)</f>
        <v/>
      </c>
      <c r="H1324">
        <f>SUMIF(ODPIS!B:B, A1324, ODPIS!G:G)</f>
        <v/>
      </c>
      <c r="I1324" s="2">
        <f>F1324 + G1324 - H1324</f>
        <v/>
      </c>
    </row>
    <row r="1325">
      <c r="A1325" t="n">
        <v>3307</v>
      </c>
      <c r="B1325" t="inlineStr">
        <is>
          <t>MUNKEN POLAR</t>
        </is>
      </c>
      <c r="C1325" t="n">
        <v>90</v>
      </c>
      <c r="D1325" t="n">
        <v>64</v>
      </c>
      <c r="E1325" t="n">
        <v>120</v>
      </c>
      <c r="F1325" t="n">
        <v>0</v>
      </c>
      <c r="G1325">
        <f>SUMIF(PRISPELO!B:B, A1325, PRISPELO!G:G)</f>
        <v/>
      </c>
      <c r="H1325">
        <f>SUMIF(ODPIS!B:B, A1325, ODPIS!G:G)</f>
        <v/>
      </c>
      <c r="I1325" s="2">
        <f>F1325 + G1325 - H1325</f>
        <v/>
      </c>
    </row>
    <row r="1326">
      <c r="A1326" t="n">
        <v>3308</v>
      </c>
      <c r="B1326" t="inlineStr">
        <is>
          <t>ZENITH</t>
        </is>
      </c>
      <c r="C1326" t="n">
        <v>71</v>
      </c>
      <c r="D1326" t="n">
        <v>101</v>
      </c>
      <c r="E1326" t="n">
        <v>295</v>
      </c>
      <c r="F1326" t="n">
        <v>0</v>
      </c>
      <c r="G1326">
        <f>SUMIF(PRISPELO!B:B, A1326, PRISPELO!G:G)</f>
        <v/>
      </c>
      <c r="H1326">
        <f>SUMIF(ODPIS!B:B, A1326, ODPIS!G:G)</f>
        <v/>
      </c>
      <c r="I1326" s="2">
        <f>F1326 + G1326 - H1326</f>
        <v/>
      </c>
    </row>
    <row r="1327">
      <c r="A1327" t="n">
        <v>3309</v>
      </c>
      <c r="B1327" t="inlineStr">
        <is>
          <t>ALGRO DESIGN DUO</t>
        </is>
      </c>
      <c r="C1327" t="n">
        <v>102</v>
      </c>
      <c r="D1327" t="n">
        <v>72</v>
      </c>
      <c r="E1327" t="n">
        <v>360</v>
      </c>
      <c r="F1327" t="n">
        <v>0</v>
      </c>
      <c r="G1327">
        <f>SUMIF(PRISPELO!B:B, A1327, PRISPELO!G:G)</f>
        <v/>
      </c>
      <c r="H1327">
        <f>SUMIF(ODPIS!B:B, A1327, ODPIS!G:G)</f>
        <v/>
      </c>
      <c r="I1327" s="2">
        <f>F1327 + G1327 - H1327</f>
        <v/>
      </c>
    </row>
    <row r="1328">
      <c r="A1328" t="n">
        <v>3311</v>
      </c>
      <c r="B1328" t="inlineStr">
        <is>
          <t>OLIN REGU HIGH WHIT</t>
        </is>
      </c>
      <c r="C1328" t="n">
        <v>72</v>
      </c>
      <c r="D1328" t="n">
        <v>102</v>
      </c>
      <c r="E1328" t="n">
        <v>170</v>
      </c>
      <c r="F1328" t="n">
        <v>0</v>
      </c>
      <c r="G1328">
        <f>SUMIF(PRISPELO!B:B, A1328, PRISPELO!G:G)</f>
        <v/>
      </c>
      <c r="H1328">
        <f>SUMIF(ODPIS!B:B, A1328, ODPIS!G:G)</f>
        <v/>
      </c>
      <c r="I1328" s="2">
        <f>F1328 + G1328 - H1328</f>
        <v/>
      </c>
    </row>
    <row r="1329">
      <c r="A1329" t="n">
        <v>3312</v>
      </c>
      <c r="B1329" t="inlineStr">
        <is>
          <t>GIROFORM CB</t>
        </is>
      </c>
      <c r="C1329" t="n">
        <v>45</v>
      </c>
      <c r="D1329" t="n">
        <v>64</v>
      </c>
      <c r="E1329" t="n">
        <v>80</v>
      </c>
      <c r="F1329" t="n">
        <v>0</v>
      </c>
      <c r="G1329">
        <f>SUMIF(PRISPELO!B:B, A1329, PRISPELO!G:G)</f>
        <v/>
      </c>
      <c r="H1329">
        <f>SUMIF(ODPIS!B:B, A1329, ODPIS!G:G)</f>
        <v/>
      </c>
      <c r="I1329" s="2">
        <f>F1329 + G1329 - H1329</f>
        <v/>
      </c>
    </row>
    <row r="1330">
      <c r="A1330" t="n">
        <v>3313</v>
      </c>
      <c r="B1330" t="inlineStr">
        <is>
          <t>GIROFORM CF</t>
        </is>
      </c>
      <c r="C1330" t="n">
        <v>45</v>
      </c>
      <c r="D1330" t="n">
        <v>64</v>
      </c>
      <c r="E1330" t="n">
        <v>80</v>
      </c>
      <c r="F1330" t="n">
        <v>0</v>
      </c>
      <c r="G1330">
        <f>SUMIF(PRISPELO!B:B, A1330, PRISPELO!G:G)</f>
        <v/>
      </c>
      <c r="H1330">
        <f>SUMIF(ODPIS!B:B, A1330, ODPIS!G:G)</f>
        <v/>
      </c>
      <c r="I1330" s="2">
        <f>F1330 + G1330 - H1330</f>
        <v/>
      </c>
    </row>
    <row r="1331">
      <c r="A1331" t="n">
        <v>3314</v>
      </c>
      <c r="B1331" t="inlineStr">
        <is>
          <t>ROYALCOAT PREMIUM SILK</t>
        </is>
      </c>
      <c r="C1331" t="n">
        <v>46</v>
      </c>
      <c r="D1331" t="n">
        <v>68</v>
      </c>
      <c r="E1331" t="n">
        <v>200</v>
      </c>
      <c r="F1331" t="n">
        <v>0</v>
      </c>
      <c r="G1331">
        <f>SUMIF(PRISPELO!B:B, A1331, PRISPELO!G:G)</f>
        <v/>
      </c>
      <c r="H1331">
        <f>SUMIF(ODPIS!B:B, A1331, ODPIS!G:G)</f>
        <v/>
      </c>
      <c r="I1331" s="2">
        <f>F1331 + G1331 - H1331</f>
        <v/>
      </c>
    </row>
    <row r="1332">
      <c r="A1332" t="n">
        <v>3315</v>
      </c>
      <c r="B1332" t="inlineStr">
        <is>
          <t>MUNKEN POLAR</t>
        </is>
      </c>
      <c r="C1332" t="n">
        <v>102</v>
      </c>
      <c r="D1332" t="n">
        <v>72</v>
      </c>
      <c r="E1332" t="n">
        <v>240</v>
      </c>
      <c r="F1332" t="n">
        <v>0</v>
      </c>
      <c r="G1332">
        <f>SUMIF(PRISPELO!B:B, A1332, PRISPELO!G:G)</f>
        <v/>
      </c>
      <c r="H1332">
        <f>SUMIF(ODPIS!B:B, A1332, ODPIS!G:G)</f>
        <v/>
      </c>
      <c r="I1332" s="2">
        <f>F1332 + G1332 - H1332</f>
        <v/>
      </c>
    </row>
    <row r="1333">
      <c r="A1333" t="n">
        <v>3316</v>
      </c>
      <c r="B1333" t="inlineStr">
        <is>
          <t>ROYALSET OFFSET</t>
        </is>
      </c>
      <c r="C1333" t="n">
        <v>70</v>
      </c>
      <c r="D1333" t="n">
        <v>100</v>
      </c>
      <c r="E1333" t="n">
        <v>80</v>
      </c>
      <c r="F1333" t="n">
        <v>0</v>
      </c>
      <c r="G1333">
        <f>SUMIF(PRISPELO!B:B, A1333, PRISPELO!G:G)</f>
        <v/>
      </c>
      <c r="H1333">
        <f>SUMIF(ODPIS!B:B, A1333, ODPIS!G:G)</f>
        <v/>
      </c>
      <c r="I1333" s="2">
        <f>F1333 + G1333 - H1333</f>
        <v/>
      </c>
    </row>
    <row r="1334">
      <c r="A1334" t="n">
        <v>3317</v>
      </c>
      <c r="B1334" t="inlineStr">
        <is>
          <t>ROYALSET OFFSET</t>
        </is>
      </c>
      <c r="C1334" t="n">
        <v>70</v>
      </c>
      <c r="D1334" t="n">
        <v>100</v>
      </c>
      <c r="E1334" t="n">
        <v>100</v>
      </c>
      <c r="F1334" t="n">
        <v>0</v>
      </c>
      <c r="G1334">
        <f>SUMIF(PRISPELO!B:B, A1334, PRISPELO!G:G)</f>
        <v/>
      </c>
      <c r="H1334">
        <f>SUMIF(ODPIS!B:B, A1334, ODPIS!G:G)</f>
        <v/>
      </c>
      <c r="I1334" s="2">
        <f>F1334 + G1334 - H1334</f>
        <v/>
      </c>
    </row>
    <row r="1335">
      <c r="A1335" t="n">
        <v>3318</v>
      </c>
      <c r="B1335" t="inlineStr">
        <is>
          <t>ROYALSET OFFSET</t>
        </is>
      </c>
      <c r="C1335" t="n">
        <v>90</v>
      </c>
      <c r="D1335" t="n">
        <v>64</v>
      </c>
      <c r="E1335" t="n">
        <v>100</v>
      </c>
      <c r="F1335" t="n">
        <v>0</v>
      </c>
      <c r="G1335">
        <f>SUMIF(PRISPELO!B:B, A1335, PRISPELO!G:G)</f>
        <v/>
      </c>
      <c r="H1335">
        <f>SUMIF(ODPIS!B:B, A1335, ODPIS!G:G)</f>
        <v/>
      </c>
      <c r="I1335" s="2">
        <f>F1335 + G1335 - H1335</f>
        <v/>
      </c>
    </row>
    <row r="1336">
      <c r="A1336" t="n">
        <v>3319</v>
      </c>
      <c r="B1336" t="inlineStr">
        <is>
          <t>NIVIS NEXT gloss</t>
        </is>
      </c>
      <c r="C1336" t="n">
        <v>70</v>
      </c>
      <c r="D1336" t="n">
        <v>100</v>
      </c>
      <c r="E1336" t="n">
        <v>250</v>
      </c>
      <c r="F1336" t="n">
        <v>0</v>
      </c>
      <c r="G1336">
        <f>SUMIF(PRISPELO!B:B, A1336, PRISPELO!G:G)</f>
        <v/>
      </c>
      <c r="H1336">
        <f>SUMIF(ODPIS!B:B, A1336, ODPIS!G:G)</f>
        <v/>
      </c>
      <c r="I1336" s="2">
        <f>F1336 + G1336 - H1336</f>
        <v/>
      </c>
    </row>
    <row r="1337">
      <c r="A1337" t="n">
        <v>3321</v>
      </c>
      <c r="B1337" t="inlineStr">
        <is>
          <t>FEDRIGONI SYMBOL CARD PW</t>
        </is>
      </c>
      <c r="C1337" t="n">
        <v>72</v>
      </c>
      <c r="D1337" t="n">
        <v>102</v>
      </c>
      <c r="E1337" t="n">
        <v>350</v>
      </c>
      <c r="F1337" t="n">
        <v>0</v>
      </c>
      <c r="G1337">
        <f>SUMIF(PRISPELO!B:B, A1337, PRISPELO!G:G)</f>
        <v/>
      </c>
      <c r="H1337">
        <f>SUMIF(ODPIS!B:B, A1337, ODPIS!G:G)</f>
        <v/>
      </c>
      <c r="I1337" s="2">
        <f>F1337 + G1337 - H1337</f>
        <v/>
      </c>
    </row>
    <row r="1338">
      <c r="A1338" t="n">
        <v>3322</v>
      </c>
      <c r="B1338" t="inlineStr">
        <is>
          <t>ROYALCOAT GLOSS</t>
        </is>
      </c>
      <c r="C1338" t="n">
        <v>45</v>
      </c>
      <c r="D1338" t="n">
        <v>64</v>
      </c>
      <c r="E1338" t="n">
        <v>100</v>
      </c>
      <c r="F1338" t="n">
        <v>0</v>
      </c>
      <c r="G1338">
        <f>SUMIF(PRISPELO!B:B, A1338, PRISPELO!G:G)</f>
        <v/>
      </c>
      <c r="H1338">
        <f>SUMIF(ODPIS!B:B, A1338, ODPIS!G:G)</f>
        <v/>
      </c>
      <c r="I1338" s="2">
        <f>F1338 + G1338 - H1338</f>
        <v/>
      </c>
    </row>
    <row r="1339">
      <c r="A1339" t="n">
        <v>3323</v>
      </c>
      <c r="B1339" t="inlineStr">
        <is>
          <t>ROYALCOAT PREMIUM SILK</t>
        </is>
      </c>
      <c r="C1339" t="n">
        <v>64</v>
      </c>
      <c r="D1339" t="n">
        <v>90</v>
      </c>
      <c r="E1339" t="n">
        <v>170</v>
      </c>
      <c r="F1339" t="n">
        <v>0</v>
      </c>
      <c r="G1339">
        <f>SUMIF(PRISPELO!B:B, A1339, PRISPELO!G:G)</f>
        <v/>
      </c>
      <c r="H1339">
        <f>SUMIF(ODPIS!B:B, A1339, ODPIS!G:G)</f>
        <v/>
      </c>
      <c r="I1339" s="2">
        <f>F1339 + G1339 - H1339</f>
        <v/>
      </c>
    </row>
    <row r="1340">
      <c r="A1340" t="n">
        <v>3324</v>
      </c>
      <c r="B1340" t="inlineStr">
        <is>
          <t>NIVIS NEXT MAT</t>
        </is>
      </c>
      <c r="C1340" t="n">
        <v>64</v>
      </c>
      <c r="D1340" t="n">
        <v>90</v>
      </c>
      <c r="E1340" t="n">
        <v>90</v>
      </c>
      <c r="F1340" t="n">
        <v>0</v>
      </c>
      <c r="G1340">
        <f>SUMIF(PRISPELO!B:B, A1340, PRISPELO!G:G)</f>
        <v/>
      </c>
      <c r="H1340">
        <f>SUMIF(ODPIS!B:B, A1340, ODPIS!G:G)</f>
        <v/>
      </c>
      <c r="I1340" s="2">
        <f>F1340 + G1340 - H1340</f>
        <v/>
      </c>
    </row>
    <row r="1341">
      <c r="A1341" t="n">
        <v>3325</v>
      </c>
      <c r="B1341" t="inlineStr">
        <is>
          <t>MAGNO VOLUME 1.08</t>
        </is>
      </c>
      <c r="C1341" t="n">
        <v>70</v>
      </c>
      <c r="D1341" t="n">
        <v>100</v>
      </c>
      <c r="E1341" t="n">
        <v>90</v>
      </c>
      <c r="F1341" t="n">
        <v>0</v>
      </c>
      <c r="G1341">
        <f>SUMIF(PRISPELO!B:B, A1341, PRISPELO!G:G)</f>
        <v/>
      </c>
      <c r="H1341">
        <f>SUMIF(ODPIS!B:B, A1341, ODPIS!G:G)</f>
        <v/>
      </c>
      <c r="I1341" s="2">
        <f>F1341 + G1341 - H1341</f>
        <v/>
      </c>
    </row>
    <row r="1342">
      <c r="A1342" t="n">
        <v>3326</v>
      </c>
      <c r="B1342" t="inlineStr">
        <is>
          <t>IMPACT NATURAL</t>
        </is>
      </c>
      <c r="C1342" t="n">
        <v>90</v>
      </c>
      <c r="D1342" t="n">
        <v>64</v>
      </c>
      <c r="E1342" t="n">
        <v>115</v>
      </c>
      <c r="F1342" t="n">
        <v>0</v>
      </c>
      <c r="G1342">
        <f>SUMIF(PRISPELO!B:B, A1342, PRISPELO!G:G)</f>
        <v/>
      </c>
      <c r="H1342">
        <f>SUMIF(ODPIS!B:B, A1342, ODPIS!G:G)</f>
        <v/>
      </c>
      <c r="I1342" s="2">
        <f>F1342 + G1342 - H1342</f>
        <v/>
      </c>
    </row>
    <row r="1343">
      <c r="A1343" t="n">
        <v>3327</v>
      </c>
      <c r="B1343" t="inlineStr">
        <is>
          <t>IMPACT NATURAL</t>
        </is>
      </c>
      <c r="C1343" t="n">
        <v>90</v>
      </c>
      <c r="D1343" t="n">
        <v>64</v>
      </c>
      <c r="E1343" t="n">
        <v>250</v>
      </c>
      <c r="F1343" t="n">
        <v>0</v>
      </c>
      <c r="G1343">
        <f>SUMIF(PRISPELO!B:B, A1343, PRISPELO!G:G)</f>
        <v/>
      </c>
      <c r="H1343">
        <f>SUMIF(ODPIS!B:B, A1343, ODPIS!G:G)</f>
        <v/>
      </c>
      <c r="I1343" s="2">
        <f>F1343 + G1343 - H1343</f>
        <v/>
      </c>
    </row>
    <row r="1344">
      <c r="A1344" t="n">
        <v>3328</v>
      </c>
      <c r="B1344" t="inlineStr">
        <is>
          <t>ROYAL COAT PREMIUM SILK</t>
        </is>
      </c>
      <c r="C1344" t="n">
        <v>45</v>
      </c>
      <c r="D1344" t="n">
        <v>64</v>
      </c>
      <c r="E1344" t="n">
        <v>300</v>
      </c>
      <c r="F1344" t="n">
        <v>0</v>
      </c>
      <c r="G1344">
        <f>SUMIF(PRISPELO!B:B, A1344, PRISPELO!G:G)</f>
        <v/>
      </c>
      <c r="H1344">
        <f>SUMIF(ODPIS!B:B, A1344, ODPIS!G:G)</f>
        <v/>
      </c>
      <c r="I1344" s="2">
        <f>F1344 + G1344 - H1344</f>
        <v/>
      </c>
    </row>
    <row r="1345">
      <c r="A1345" t="n">
        <v>3329</v>
      </c>
      <c r="B1345" t="inlineStr">
        <is>
          <t>ROYALCOAT PREMIUM SILK</t>
        </is>
      </c>
      <c r="C1345" t="n">
        <v>45</v>
      </c>
      <c r="D1345" t="n">
        <v>64</v>
      </c>
      <c r="E1345" t="n">
        <v>200</v>
      </c>
      <c r="F1345" t="n">
        <v>0</v>
      </c>
      <c r="G1345">
        <f>SUMIF(PRISPELO!B:B, A1345, PRISPELO!G:G)</f>
        <v/>
      </c>
      <c r="H1345">
        <f>SUMIF(ODPIS!B:B, A1345, ODPIS!G:G)</f>
        <v/>
      </c>
      <c r="I1345" s="2">
        <f>F1345 + G1345 - H1345</f>
        <v/>
      </c>
    </row>
    <row r="1346">
      <c r="A1346" t="n">
        <v>3330</v>
      </c>
      <c r="B1346" t="inlineStr">
        <is>
          <t>MUNKEN PURE</t>
        </is>
      </c>
      <c r="C1346" t="n">
        <v>720</v>
      </c>
      <c r="D1346" t="n">
        <v>102</v>
      </c>
      <c r="E1346" t="n">
        <v>200</v>
      </c>
      <c r="F1346" t="n">
        <v>0</v>
      </c>
      <c r="G1346">
        <f>SUMIF(PRISPELO!B:B, A1346, PRISPELO!G:G)</f>
        <v/>
      </c>
      <c r="H1346">
        <f>SUMIF(ODPIS!B:B, A1346, ODPIS!G:G)</f>
        <v/>
      </c>
      <c r="I1346" s="2">
        <f>F1346 + G1346 - H1346</f>
        <v/>
      </c>
    </row>
    <row r="1347">
      <c r="A1347" t="n">
        <v>3331</v>
      </c>
      <c r="B1347" t="inlineStr">
        <is>
          <t>IQ COLOR YELLOW</t>
        </is>
      </c>
      <c r="C1347" t="n">
        <v>70</v>
      </c>
      <c r="D1347" t="n">
        <v>100</v>
      </c>
      <c r="E1347" t="n">
        <v>230</v>
      </c>
      <c r="F1347" t="n">
        <v>0</v>
      </c>
      <c r="G1347">
        <f>SUMIF(PRISPELO!B:B, A1347, PRISPELO!G:G)</f>
        <v/>
      </c>
      <c r="H1347">
        <f>SUMIF(ODPIS!B:B, A1347, ODPIS!G:G)</f>
        <v/>
      </c>
      <c r="I1347" s="2">
        <f>F1347 + G1347 - H1347</f>
        <v/>
      </c>
    </row>
    <row r="1348">
      <c r="A1348" t="n">
        <v>3332</v>
      </c>
      <c r="B1348" t="inlineStr">
        <is>
          <t>NOTURNO 22</t>
        </is>
      </c>
      <c r="C1348" t="n">
        <v>70</v>
      </c>
      <c r="D1348" t="n">
        <v>100</v>
      </c>
      <c r="E1348" t="n">
        <v>300</v>
      </c>
      <c r="F1348" t="n">
        <v>0</v>
      </c>
      <c r="G1348">
        <f>SUMIF(PRISPELO!B:B, A1348, PRISPELO!G:G)</f>
        <v/>
      </c>
      <c r="H1348">
        <f>SUMIF(ODPIS!B:B, A1348, ODPIS!G:G)</f>
        <v/>
      </c>
      <c r="I1348" s="2">
        <f>F1348 + G1348 - H1348</f>
        <v/>
      </c>
    </row>
    <row r="1349">
      <c r="A1349" t="n">
        <v>3333</v>
      </c>
      <c r="B1349" t="inlineStr">
        <is>
          <t>OLIN REGU HIGH WHIT</t>
        </is>
      </c>
      <c r="C1349" t="n">
        <v>45</v>
      </c>
      <c r="D1349" t="n">
        <v>64</v>
      </c>
      <c r="E1349" t="n">
        <v>100</v>
      </c>
      <c r="F1349" t="n">
        <v>0</v>
      </c>
      <c r="G1349">
        <f>SUMIF(PRISPELO!B:B, A1349, PRISPELO!G:G)</f>
        <v/>
      </c>
      <c r="H1349">
        <f>SUMIF(ODPIS!B:B, A1349, ODPIS!G:G)</f>
        <v/>
      </c>
      <c r="I1349" s="2">
        <f>F1349 + G1349 - H1349</f>
        <v/>
      </c>
    </row>
    <row r="1350">
      <c r="A1350" t="n">
        <v>3334</v>
      </c>
      <c r="B1350" t="inlineStr">
        <is>
          <t>PERGRAPHICA HIGH SMOOTH</t>
        </is>
      </c>
      <c r="C1350" t="n">
        <v>102</v>
      </c>
      <c r="D1350" t="n">
        <v>72</v>
      </c>
      <c r="E1350" t="n">
        <v>240</v>
      </c>
      <c r="F1350" t="n">
        <v>0</v>
      </c>
      <c r="G1350">
        <f>SUMIF(PRISPELO!B:B, A1350, PRISPELO!G:G)</f>
        <v/>
      </c>
      <c r="H1350">
        <f>SUMIF(ODPIS!B:B, A1350, ODPIS!G:G)</f>
        <v/>
      </c>
      <c r="I1350" s="2">
        <f>F1350 + G1350 - H1350</f>
        <v/>
      </c>
    </row>
    <row r="1351">
      <c r="A1351" t="n">
        <v>3335</v>
      </c>
      <c r="B1351" t="inlineStr">
        <is>
          <t>IQ BOARD WHITE</t>
        </is>
      </c>
      <c r="C1351" t="n">
        <v>72</v>
      </c>
      <c r="D1351" t="n">
        <v>102</v>
      </c>
      <c r="E1351" t="n">
        <v>400</v>
      </c>
      <c r="F1351" t="n">
        <v>0</v>
      </c>
      <c r="G1351">
        <f>SUMIF(PRISPELO!B:B, A1351, PRISPELO!G:G)</f>
        <v/>
      </c>
      <c r="H1351">
        <f>SUMIF(ODPIS!B:B, A1351, ODPIS!G:G)</f>
        <v/>
      </c>
      <c r="I1351" s="2">
        <f>F1351 + G1351 - H1351</f>
        <v/>
      </c>
    </row>
    <row r="1352">
      <c r="A1352" t="n">
        <v>3338</v>
      </c>
      <c r="B1352" t="inlineStr">
        <is>
          <t>LUMIART GLOSS</t>
        </is>
      </c>
      <c r="C1352" t="n">
        <v>64</v>
      </c>
      <c r="D1352" t="n">
        <v>90</v>
      </c>
      <c r="E1352" t="n">
        <v>200</v>
      </c>
      <c r="F1352" t="n">
        <v>0</v>
      </c>
      <c r="G1352">
        <f>SUMIF(PRISPELO!B:B, A1352, PRISPELO!G:G)</f>
        <v/>
      </c>
      <c r="H1352">
        <f>SUMIF(ODPIS!B:B, A1352, ODPIS!G:G)</f>
        <v/>
      </c>
      <c r="I1352" s="2">
        <f>F1352 + G1352 - H1352</f>
        <v/>
      </c>
    </row>
    <row r="1353">
      <c r="A1353" t="n">
        <v>3339</v>
      </c>
      <c r="B1353" t="inlineStr">
        <is>
          <t>FEDRIGONI SYMBOL SATIN</t>
        </is>
      </c>
      <c r="C1353" t="n">
        <v>64</v>
      </c>
      <c r="D1353" t="n">
        <v>90</v>
      </c>
      <c r="E1353" t="n">
        <v>350</v>
      </c>
      <c r="F1353" t="n">
        <v>0</v>
      </c>
      <c r="G1353">
        <f>SUMIF(PRISPELO!B:B, A1353, PRISPELO!G:G)</f>
        <v/>
      </c>
      <c r="H1353">
        <f>SUMIF(ODPIS!B:B, A1353, ODPIS!G:G)</f>
        <v/>
      </c>
      <c r="I1353" s="2">
        <f>F1353 + G1353 - H1353</f>
        <v/>
      </c>
    </row>
    <row r="1354">
      <c r="A1354" t="n">
        <v>3340</v>
      </c>
      <c r="B1354" t="inlineStr">
        <is>
          <t>PERGRAFICA NATUR ROUGH</t>
        </is>
      </c>
      <c r="C1354" t="n">
        <v>45</v>
      </c>
      <c r="D1354" t="n">
        <v>32</v>
      </c>
      <c r="E1354" t="n">
        <v>90</v>
      </c>
      <c r="F1354" t="n">
        <v>0</v>
      </c>
      <c r="G1354">
        <f>SUMIF(PRISPELO!B:B, A1354, PRISPELO!G:G)</f>
        <v/>
      </c>
      <c r="H1354">
        <f>SUMIF(ODPIS!B:B, A1354, ODPIS!G:G)</f>
        <v/>
      </c>
      <c r="I1354" s="2">
        <f>F1354 + G1354 - H1354</f>
        <v/>
      </c>
    </row>
    <row r="1355">
      <c r="A1355" t="n">
        <v>3341</v>
      </c>
      <c r="B1355" t="inlineStr">
        <is>
          <t>PREMIUM SILK</t>
        </is>
      </c>
      <c r="C1355" t="n">
        <v>100</v>
      </c>
      <c r="D1355" t="n">
        <v>70</v>
      </c>
      <c r="E1355" t="n">
        <v>350</v>
      </c>
      <c r="F1355" t="n">
        <v>0</v>
      </c>
      <c r="G1355">
        <f>SUMIF(PRISPELO!B:B, A1355, PRISPELO!G:G)</f>
        <v/>
      </c>
      <c r="H1355">
        <f>SUMIF(ODPIS!B:B, A1355, ODPIS!G:G)</f>
        <v/>
      </c>
      <c r="I1355" s="2">
        <f>F1355 + G1355 - H1355</f>
        <v/>
      </c>
    </row>
    <row r="1356">
      <c r="A1356" t="n">
        <v>3342</v>
      </c>
      <c r="B1356" t="inlineStr">
        <is>
          <t>Bio Top</t>
        </is>
      </c>
      <c r="C1356" t="n">
        <v>90</v>
      </c>
      <c r="D1356" t="n">
        <v>64</v>
      </c>
      <c r="E1356" t="n">
        <v>100</v>
      </c>
      <c r="F1356" t="n">
        <v>0</v>
      </c>
      <c r="G1356">
        <f>SUMIF(PRISPELO!B:B, A1356, PRISPELO!G:G)</f>
        <v/>
      </c>
      <c r="H1356">
        <f>SUMIF(ODPIS!B:B, A1356, ODPIS!G:G)</f>
        <v/>
      </c>
      <c r="I1356" s="2">
        <f>F1356 + G1356 - H1356</f>
        <v/>
      </c>
    </row>
    <row r="1357">
      <c r="A1357" t="n">
        <v>3343</v>
      </c>
      <c r="B1357" t="inlineStr">
        <is>
          <t>GALERIE ART GLOSS</t>
        </is>
      </c>
      <c r="C1357" t="n">
        <v>90</v>
      </c>
      <c r="D1357" t="n">
        <v>64</v>
      </c>
      <c r="E1357" t="n">
        <v>250</v>
      </c>
      <c r="F1357" t="n">
        <v>0</v>
      </c>
      <c r="G1357">
        <f>SUMIF(PRISPELO!B:B, A1357, PRISPELO!G:G)</f>
        <v/>
      </c>
      <c r="H1357">
        <f>SUMIF(ODPIS!B:B, A1357, ODPIS!G:G)</f>
        <v/>
      </c>
      <c r="I1357" s="2">
        <f>F1357 + G1357 - H1357</f>
        <v/>
      </c>
    </row>
    <row r="1358">
      <c r="A1358" t="n">
        <v>3344</v>
      </c>
      <c r="B1358" t="inlineStr">
        <is>
          <t>ROYALCOAT PREMIUM SILK</t>
        </is>
      </c>
      <c r="C1358" t="n">
        <v>72</v>
      </c>
      <c r="D1358" t="n">
        <v>102</v>
      </c>
      <c r="E1358" t="n">
        <v>350</v>
      </c>
      <c r="F1358" t="n">
        <v>0</v>
      </c>
      <c r="G1358">
        <f>SUMIF(PRISPELO!B:B, A1358, PRISPELO!G:G)</f>
        <v/>
      </c>
      <c r="H1358">
        <f>SUMIF(ODPIS!B:B, A1358, ODPIS!G:G)</f>
        <v/>
      </c>
      <c r="I1358" s="2">
        <f>F1358 + G1358 - H1358</f>
        <v/>
      </c>
    </row>
    <row r="1359">
      <c r="A1359" t="n">
        <v>3345</v>
      </c>
      <c r="B1359" t="inlineStr">
        <is>
          <t>ROYALCOAT PREM. SILK</t>
        </is>
      </c>
      <c r="C1359" t="n">
        <v>72</v>
      </c>
      <c r="D1359" t="n">
        <v>102</v>
      </c>
      <c r="E1359" t="n">
        <v>115</v>
      </c>
      <c r="F1359" t="n">
        <v>0</v>
      </c>
      <c r="G1359">
        <f>SUMIF(PRISPELO!B:B, A1359, PRISPELO!G:G)</f>
        <v/>
      </c>
      <c r="H1359">
        <f>SUMIF(ODPIS!B:B, A1359, ODPIS!G:G)</f>
        <v/>
      </c>
      <c r="I1359" s="2">
        <f>F1359 + G1359 - H1359</f>
        <v/>
      </c>
    </row>
    <row r="1360">
      <c r="A1360" t="n">
        <v>3346</v>
      </c>
      <c r="B1360" t="inlineStr">
        <is>
          <t>ROYALCOAT PREM.SILK</t>
        </is>
      </c>
      <c r="C1360" t="n">
        <v>90</v>
      </c>
      <c r="D1360" t="n">
        <v>64</v>
      </c>
      <c r="E1360" t="n">
        <v>150</v>
      </c>
      <c r="F1360" t="n">
        <v>0</v>
      </c>
      <c r="G1360">
        <f>SUMIF(PRISPELO!B:B, A1360, PRISPELO!G:G)</f>
        <v/>
      </c>
      <c r="H1360">
        <f>SUMIF(ODPIS!B:B, A1360, ODPIS!G:G)</f>
        <v/>
      </c>
      <c r="I1360" s="2">
        <f>F1360 + G1360 - H1360</f>
        <v/>
      </c>
    </row>
    <row r="1361">
      <c r="A1361" t="n">
        <v>3347</v>
      </c>
      <c r="B1361" t="inlineStr">
        <is>
          <t>IMPACT NATURAL</t>
        </is>
      </c>
      <c r="C1361" t="n">
        <v>88</v>
      </c>
      <c r="D1361" t="n">
        <v>63</v>
      </c>
      <c r="E1361" t="n">
        <v>100</v>
      </c>
      <c r="F1361" t="n">
        <v>0</v>
      </c>
      <c r="G1361">
        <f>SUMIF(PRISPELO!B:B, A1361, PRISPELO!G:G)</f>
        <v/>
      </c>
      <c r="H1361">
        <f>SUMIF(ODPIS!B:B, A1361, ODPIS!G:G)</f>
        <v/>
      </c>
      <c r="I1361" s="2">
        <f>F1361 + G1361 - H1361</f>
        <v/>
      </c>
    </row>
    <row r="1362">
      <c r="A1362" t="n">
        <v>3348</v>
      </c>
      <c r="B1362" t="inlineStr">
        <is>
          <t>AMBER GRAPHIC</t>
        </is>
      </c>
      <c r="C1362" t="n">
        <v>90</v>
      </c>
      <c r="D1362" t="n">
        <v>64</v>
      </c>
      <c r="E1362" t="n">
        <v>120</v>
      </c>
      <c r="F1362" t="n">
        <v>0</v>
      </c>
      <c r="G1362">
        <f>SUMIF(PRISPELO!B:B, A1362, PRISPELO!G:G)</f>
        <v/>
      </c>
      <c r="H1362">
        <f>SUMIF(ODPIS!B:B, A1362, ODPIS!G:G)</f>
        <v/>
      </c>
      <c r="I1362" s="2">
        <f>F1362 + G1362 - H1362</f>
        <v/>
      </c>
    </row>
    <row r="1363">
      <c r="A1363" t="n">
        <v>3349</v>
      </c>
      <c r="B1363" t="inlineStr">
        <is>
          <t>ROYALSET OFFSET</t>
        </is>
      </c>
      <c r="C1363" t="n">
        <v>90</v>
      </c>
      <c r="D1363" t="n">
        <v>64</v>
      </c>
      <c r="E1363" t="n">
        <v>250</v>
      </c>
      <c r="F1363" t="n">
        <v>0</v>
      </c>
      <c r="G1363">
        <f>SUMIF(PRISPELO!B:B, A1363, PRISPELO!G:G)</f>
        <v/>
      </c>
      <c r="H1363">
        <f>SUMIF(ODPIS!B:B, A1363, ODPIS!G:G)</f>
        <v/>
      </c>
      <c r="I1363" s="2">
        <f>F1363 + G1363 - H1363</f>
        <v/>
      </c>
    </row>
    <row r="1364">
      <c r="A1364" t="n">
        <v>3351</v>
      </c>
      <c r="B1364" t="inlineStr">
        <is>
          <t>FEDRIGONNI SYMBOL FREELIFE SATIN</t>
        </is>
      </c>
      <c r="C1364" t="n">
        <v>70</v>
      </c>
      <c r="D1364" t="n">
        <v>100</v>
      </c>
      <c r="E1364" t="n">
        <v>250</v>
      </c>
      <c r="F1364" t="n">
        <v>0</v>
      </c>
      <c r="G1364">
        <f>SUMIF(PRISPELO!B:B, A1364, PRISPELO!G:G)</f>
        <v/>
      </c>
      <c r="H1364">
        <f>SUMIF(ODPIS!B:B, A1364, ODPIS!G:G)</f>
        <v/>
      </c>
      <c r="I1364" s="2">
        <f>F1364 + G1364 - H1364</f>
        <v/>
      </c>
    </row>
    <row r="1365">
      <c r="A1365" t="n">
        <v>3352</v>
      </c>
      <c r="B1365" t="inlineStr">
        <is>
          <t>ROYALCOAT PREM. SILK</t>
        </is>
      </c>
      <c r="C1365" t="n">
        <v>90</v>
      </c>
      <c r="D1365" t="n">
        <v>64</v>
      </c>
      <c r="E1365" t="n">
        <v>130</v>
      </c>
      <c r="F1365" t="n">
        <v>0</v>
      </c>
      <c r="G1365">
        <f>SUMIF(PRISPELO!B:B, A1365, PRISPELO!G:G)</f>
        <v/>
      </c>
      <c r="H1365">
        <f>SUMIF(ODPIS!B:B, A1365, ODPIS!G:G)</f>
        <v/>
      </c>
      <c r="I1365" s="2">
        <f>F1365 + G1365 - H1365</f>
        <v/>
      </c>
    </row>
    <row r="1366">
      <c r="A1366" t="n">
        <v>3353</v>
      </c>
      <c r="B1366" t="inlineStr">
        <is>
          <t>MULTIART GLOSS</t>
        </is>
      </c>
      <c r="C1366" t="n">
        <v>100</v>
      </c>
      <c r="D1366" t="n">
        <v>70</v>
      </c>
      <c r="E1366" t="n">
        <v>350</v>
      </c>
      <c r="F1366" t="n">
        <v>0</v>
      </c>
      <c r="G1366">
        <f>SUMIF(PRISPELO!B:B, A1366, PRISPELO!G:G)</f>
        <v/>
      </c>
      <c r="H1366">
        <f>SUMIF(ODPIS!B:B, A1366, ODPIS!G:G)</f>
        <v/>
      </c>
      <c r="I1366" s="2">
        <f>F1366 + G1366 - H1366</f>
        <v/>
      </c>
    </row>
    <row r="1367">
      <c r="A1367" t="n">
        <v>3354</v>
      </c>
      <c r="B1367" t="inlineStr">
        <is>
          <t>SIRI BLACK BLACK</t>
        </is>
      </c>
      <c r="C1367" t="n">
        <v>70</v>
      </c>
      <c r="D1367" t="n">
        <v>100</v>
      </c>
      <c r="E1367" t="n">
        <v>700</v>
      </c>
      <c r="F1367" t="n">
        <v>0</v>
      </c>
      <c r="G1367">
        <f>SUMIF(PRISPELO!B:B, A1367, PRISPELO!G:G)</f>
        <v/>
      </c>
      <c r="H1367">
        <f>SUMIF(ODPIS!B:B, A1367, ODPIS!G:G)</f>
        <v/>
      </c>
      <c r="I1367" s="2">
        <f>F1367 + G1367 - H1367</f>
        <v/>
      </c>
    </row>
    <row r="1368">
      <c r="A1368" t="n">
        <v>3355</v>
      </c>
      <c r="B1368" t="inlineStr">
        <is>
          <t>FEDRYGONI SIRIO BRUNO</t>
        </is>
      </c>
      <c r="C1368" t="n">
        <v>70</v>
      </c>
      <c r="D1368" t="n">
        <v>100</v>
      </c>
      <c r="E1368" t="n">
        <v>210</v>
      </c>
      <c r="F1368" t="n">
        <v>0</v>
      </c>
      <c r="G1368">
        <f>SUMIF(PRISPELO!B:B, A1368, PRISPELO!G:G)</f>
        <v/>
      </c>
      <c r="H1368">
        <f>SUMIF(ODPIS!B:B, A1368, ODPIS!G:G)</f>
        <v/>
      </c>
      <c r="I1368" s="2">
        <f>F1368 + G1368 - H1368</f>
        <v/>
      </c>
    </row>
    <row r="1369">
      <c r="A1369" t="n">
        <v>3358</v>
      </c>
      <c r="B1369" t="inlineStr">
        <is>
          <t>AMBER GRAPHIC</t>
        </is>
      </c>
      <c r="C1369" t="n">
        <v>45</v>
      </c>
      <c r="D1369" t="n">
        <v>64</v>
      </c>
      <c r="E1369" t="n">
        <v>80</v>
      </c>
      <c r="F1369" t="n">
        <v>0</v>
      </c>
      <c r="G1369">
        <f>SUMIF(PRISPELO!B:B, A1369, PRISPELO!G:G)</f>
        <v/>
      </c>
      <c r="H1369">
        <f>SUMIF(ODPIS!B:B, A1369, ODPIS!G:G)</f>
        <v/>
      </c>
      <c r="I1369" s="2">
        <f>F1369 + G1369 - H1369</f>
        <v/>
      </c>
    </row>
    <row r="1370">
      <c r="A1370" t="n">
        <v>3359</v>
      </c>
      <c r="B1370" t="inlineStr">
        <is>
          <t>AMBER GRAPHIC</t>
        </is>
      </c>
      <c r="C1370" t="n">
        <v>45</v>
      </c>
      <c r="D1370" t="n">
        <v>64</v>
      </c>
      <c r="E1370" t="n">
        <v>150</v>
      </c>
      <c r="F1370" t="n">
        <v>0</v>
      </c>
      <c r="G1370">
        <f>SUMIF(PRISPELO!B:B, A1370, PRISPELO!G:G)</f>
        <v/>
      </c>
      <c r="H1370">
        <f>SUMIF(ODPIS!B:B, A1370, ODPIS!G:G)</f>
        <v/>
      </c>
      <c r="I1370" s="2">
        <f>F1370 + G1370 - H1370</f>
        <v/>
      </c>
    </row>
    <row r="1371">
      <c r="A1371" t="n">
        <v>3360</v>
      </c>
      <c r="B1371" t="inlineStr">
        <is>
          <t>MASTER BOARD</t>
        </is>
      </c>
      <c r="C1371" t="n">
        <v>100</v>
      </c>
      <c r="D1371" t="n">
        <v>70</v>
      </c>
      <c r="E1371" t="n">
        <v>280</v>
      </c>
      <c r="F1371" t="n">
        <v>0</v>
      </c>
      <c r="G1371">
        <f>SUMIF(PRISPELO!B:B, A1371, PRISPELO!G:G)</f>
        <v/>
      </c>
      <c r="H1371">
        <f>SUMIF(ODPIS!B:B, A1371, ODPIS!G:G)</f>
        <v/>
      </c>
      <c r="I1371" s="2">
        <f>F1371 + G1371 - H1371</f>
        <v/>
      </c>
    </row>
    <row r="1372">
      <c r="A1372" t="n">
        <v>3361</v>
      </c>
      <c r="B1372" t="inlineStr">
        <is>
          <t>CLARO BULK</t>
        </is>
      </c>
      <c r="C1372" t="n">
        <v>100</v>
      </c>
      <c r="D1372" t="n">
        <v>70</v>
      </c>
      <c r="E1372" t="n">
        <v>100</v>
      </c>
      <c r="F1372" t="n">
        <v>0</v>
      </c>
      <c r="G1372">
        <f>SUMIF(PRISPELO!B:B, A1372, PRISPELO!G:G)</f>
        <v/>
      </c>
      <c r="H1372">
        <f>SUMIF(ODPIS!B:B, A1372, ODPIS!G:G)</f>
        <v/>
      </c>
      <c r="I1372" s="2">
        <f>F1372 + G1372 - H1372</f>
        <v/>
      </c>
    </row>
    <row r="1373">
      <c r="A1373" t="n">
        <v>3362</v>
      </c>
      <c r="B1373" t="inlineStr">
        <is>
          <t>ARTIC VOLUME</t>
        </is>
      </c>
      <c r="C1373" t="n">
        <v>102</v>
      </c>
      <c r="D1373" t="n">
        <v>72</v>
      </c>
      <c r="E1373" t="n">
        <v>115</v>
      </c>
      <c r="F1373" t="n">
        <v>0</v>
      </c>
      <c r="G1373">
        <f>SUMIF(PRISPELO!B:B, A1373, PRISPELO!G:G)</f>
        <v/>
      </c>
      <c r="H1373">
        <f>SUMIF(ODPIS!B:B, A1373, ODPIS!G:G)</f>
        <v/>
      </c>
      <c r="I1373" s="2">
        <f>F1373 + G1373 - H1373</f>
        <v/>
      </c>
    </row>
    <row r="1374">
      <c r="A1374" t="n">
        <v>3363</v>
      </c>
      <c r="B1374" t="inlineStr">
        <is>
          <t>MOLKO FOLIJA SUPER WHITE</t>
        </is>
      </c>
      <c r="C1374" t="n">
        <v>70</v>
      </c>
      <c r="D1374" t="n">
        <v>50</v>
      </c>
      <c r="E1374" t="n">
        <v>215</v>
      </c>
      <c r="F1374" t="n">
        <v>0</v>
      </c>
      <c r="G1374">
        <f>SUMIF(PRISPELO!B:B, A1374, PRISPELO!G:G)</f>
        <v/>
      </c>
      <c r="H1374">
        <f>SUMIF(ODPIS!B:B, A1374, ODPIS!G:G)</f>
        <v/>
      </c>
      <c r="I1374" s="2">
        <f>F1374 + G1374 - H1374</f>
        <v/>
      </c>
    </row>
    <row r="1375">
      <c r="A1375" t="n">
        <v>3364</v>
      </c>
      <c r="B1375" t="inlineStr">
        <is>
          <t>MASTER BOARD</t>
        </is>
      </c>
      <c r="C1375" t="n">
        <v>100</v>
      </c>
      <c r="D1375" t="n">
        <v>70</v>
      </c>
      <c r="E1375" t="n">
        <v>305</v>
      </c>
      <c r="F1375" t="n">
        <v>0</v>
      </c>
      <c r="G1375">
        <f>SUMIF(PRISPELO!B:B, A1375, PRISPELO!G:G)</f>
        <v/>
      </c>
      <c r="H1375">
        <f>SUMIF(ODPIS!B:B, A1375, ODPIS!G:G)</f>
        <v/>
      </c>
      <c r="I1375" s="2">
        <f>F1375 + G1375 - H1375</f>
        <v/>
      </c>
    </row>
    <row r="1376">
      <c r="A1376" t="n">
        <v>3365</v>
      </c>
      <c r="B1376" t="inlineStr">
        <is>
          <t>AMBER PREPRINT</t>
        </is>
      </c>
      <c r="C1376" t="n">
        <v>46</v>
      </c>
      <c r="D1376" t="n">
        <v>64</v>
      </c>
      <c r="E1376" t="n">
        <v>80</v>
      </c>
      <c r="F1376" t="n">
        <v>0</v>
      </c>
      <c r="G1376">
        <f>SUMIF(PRISPELO!B:B, A1376, PRISPELO!G:G)</f>
        <v/>
      </c>
      <c r="H1376">
        <f>SUMIF(ODPIS!B:B, A1376, ODPIS!G:G)</f>
        <v/>
      </c>
      <c r="I1376" s="2">
        <f>F1376 + G1376 - H1376</f>
        <v/>
      </c>
    </row>
    <row r="1377">
      <c r="A1377" t="n">
        <v>2004</v>
      </c>
      <c r="B1377" t="inlineStr">
        <is>
          <t>Kuverta amerikanka ELCO OD SI</t>
        </is>
      </c>
      <c r="C1377" t="n">
        <v>16.2</v>
      </c>
      <c r="D1377" t="n">
        <v>22.9</v>
      </c>
      <c r="E1377" t="n">
        <v>100</v>
      </c>
      <c r="F1377" t="n">
        <v>0</v>
      </c>
      <c r="G1377">
        <f>SUMIF(PRISPELO!B:B, A1377, PRISPELO!G:G)</f>
        <v/>
      </c>
      <c r="H1377">
        <f>SUMIF(ODPIS!B:B, A1377, ODPIS!G:G)</f>
        <v/>
      </c>
      <c r="I1377" s="2">
        <f>F1377 + G1377 - H1377</f>
        <v/>
      </c>
    </row>
    <row r="1378">
      <c r="A1378" t="n">
        <v>3366</v>
      </c>
      <c r="B1378" t="inlineStr">
        <is>
          <t>Garda gloss</t>
        </is>
      </c>
      <c r="C1378" t="n">
        <v>68</v>
      </c>
      <c r="D1378" t="n">
        <v>52</v>
      </c>
      <c r="E1378" t="n">
        <v>135</v>
      </c>
      <c r="F1378" t="n">
        <v>0</v>
      </c>
      <c r="G1378">
        <f>SUMIF(PRISPELO!B:B, A1378, PRISPELO!G:G)</f>
        <v/>
      </c>
      <c r="H1378">
        <f>SUMIF(ODPIS!B:B, A1378, ODPIS!G:G)</f>
        <v/>
      </c>
      <c r="I1378" s="2">
        <f>F1378 + G1378 - H1378</f>
        <v/>
      </c>
    </row>
    <row r="1379">
      <c r="A1379" t="n">
        <v>3367</v>
      </c>
      <c r="B1379" t="inlineStr">
        <is>
          <t>CLARO BULK</t>
        </is>
      </c>
      <c r="C1379" t="n">
        <v>90</v>
      </c>
      <c r="D1379" t="n">
        <v>64</v>
      </c>
      <c r="E1379" t="n">
        <v>170</v>
      </c>
      <c r="F1379" t="n">
        <v>0</v>
      </c>
      <c r="G1379">
        <f>SUMIF(PRISPELO!B:B, A1379, PRISPELO!G:G)</f>
        <v/>
      </c>
      <c r="H1379">
        <f>SUMIF(ODPIS!B:B, A1379, ODPIS!G:G)</f>
        <v/>
      </c>
      <c r="I1379" s="2">
        <f>F1379 + G1379 - H1379</f>
        <v/>
      </c>
    </row>
    <row r="1380">
      <c r="A1380" t="n">
        <v>3368</v>
      </c>
      <c r="B1380" t="inlineStr">
        <is>
          <t>Garda matt</t>
        </is>
      </c>
      <c r="C1380" t="n">
        <v>90</v>
      </c>
      <c r="D1380" t="n">
        <v>64</v>
      </c>
      <c r="E1380" t="n">
        <v>150</v>
      </c>
      <c r="F1380" t="n">
        <v>0</v>
      </c>
      <c r="G1380">
        <f>SUMIF(PRISPELO!B:B, A1380, PRISPELO!G:G)</f>
        <v/>
      </c>
      <c r="H1380">
        <f>SUMIF(ODPIS!B:B, A1380, ODPIS!G:G)</f>
        <v/>
      </c>
      <c r="I1380" s="2">
        <f>F1380 + G1380 - H1380</f>
        <v/>
      </c>
    </row>
    <row r="1381">
      <c r="A1381" t="n">
        <v>3369</v>
      </c>
      <c r="B1381" t="inlineStr">
        <is>
          <t>CARTA ELEGA</t>
        </is>
      </c>
      <c r="C1381" t="n">
        <v>102</v>
      </c>
      <c r="D1381" t="n">
        <v>72</v>
      </c>
      <c r="E1381" t="n">
        <v>230</v>
      </c>
      <c r="F1381" t="n">
        <v>0</v>
      </c>
      <c r="G1381">
        <f>SUMIF(PRISPELO!B:B, A1381, PRISPELO!G:G)</f>
        <v/>
      </c>
      <c r="H1381">
        <f>SUMIF(ODPIS!B:B, A1381, ODPIS!G:G)</f>
        <v/>
      </c>
      <c r="I1381" s="2">
        <f>F1381 + G1381 - H1381</f>
        <v/>
      </c>
    </row>
    <row r="1382">
      <c r="A1382" t="n">
        <v>3370</v>
      </c>
      <c r="B1382" t="inlineStr">
        <is>
          <t>BOARD ONE PRIME</t>
        </is>
      </c>
      <c r="C1382" t="n">
        <v>70</v>
      </c>
      <c r="D1382" t="n">
        <v>100</v>
      </c>
      <c r="E1382" t="n">
        <v>250</v>
      </c>
      <c r="F1382" t="n">
        <v>0</v>
      </c>
      <c r="G1382">
        <f>SUMIF(PRISPELO!B:B, A1382, PRISPELO!G:G)</f>
        <v/>
      </c>
      <c r="H1382">
        <f>SUMIF(ODPIS!B:B, A1382, ODPIS!G:G)</f>
        <v/>
      </c>
      <c r="I1382" s="2">
        <f>F1382 + G1382 - H1382</f>
        <v/>
      </c>
    </row>
    <row r="1383">
      <c r="A1383" t="n">
        <v>3371</v>
      </c>
      <c r="B1383" t="inlineStr">
        <is>
          <t>GARDA MATT</t>
        </is>
      </c>
      <c r="C1383" t="n">
        <v>63.8</v>
      </c>
      <c r="D1383" t="n">
        <v>44.8</v>
      </c>
      <c r="E1383" t="n">
        <v>170</v>
      </c>
      <c r="F1383" t="n">
        <v>0</v>
      </c>
      <c r="G1383">
        <f>SUMIF(PRISPELO!B:B, A1383, PRISPELO!G:G)</f>
        <v/>
      </c>
      <c r="H1383">
        <f>SUMIF(ODPIS!B:B, A1383, ODPIS!G:G)</f>
        <v/>
      </c>
      <c r="I1383" s="2">
        <f>F1383 + G1383 - H1383</f>
        <v/>
      </c>
    </row>
    <row r="1384">
      <c r="A1384" t="n">
        <v>3372</v>
      </c>
      <c r="B1384" t="inlineStr">
        <is>
          <t>ALGRO DESIGN DUO</t>
        </is>
      </c>
      <c r="C1384" t="n">
        <v>102</v>
      </c>
      <c r="D1384" t="n">
        <v>72</v>
      </c>
      <c r="E1384" t="n">
        <v>380</v>
      </c>
      <c r="F1384" t="n">
        <v>0</v>
      </c>
      <c r="G1384">
        <f>SUMIF(PRISPELO!B:B, A1384, PRISPELO!G:G)</f>
        <v/>
      </c>
      <c r="H1384">
        <f>SUMIF(ODPIS!B:B, A1384, ODPIS!G:G)</f>
        <v/>
      </c>
      <c r="I1384" s="2">
        <f>F1384 + G1384 - H1384</f>
        <v/>
      </c>
    </row>
    <row r="1385">
      <c r="A1385" t="n">
        <v>3129</v>
      </c>
      <c r="B1385" t="inlineStr">
        <is>
          <t>Kuverta amerikanka LO ELCO S.trak</t>
        </is>
      </c>
      <c r="C1385" t="n">
        <v>11</v>
      </c>
      <c r="D1385" t="n">
        <v>23</v>
      </c>
      <c r="E1385" t="n">
        <v>100</v>
      </c>
      <c r="F1385" t="n">
        <v>0</v>
      </c>
      <c r="G1385">
        <f>SUMIF(PRISPELO!B:B, A1385, PRISPELO!G:G)</f>
        <v/>
      </c>
      <c r="H1385">
        <f>SUMIF(ODPIS!B:B, A1385, ODPIS!G:G)</f>
        <v/>
      </c>
      <c r="I1385" s="2">
        <f>F1385 + G1385 - H1385</f>
        <v/>
      </c>
    </row>
    <row r="1386">
      <c r="A1386" t="n">
        <v>3373</v>
      </c>
      <c r="B1386" t="inlineStr">
        <is>
          <t>ARTIC VOLUME</t>
        </is>
      </c>
      <c r="C1386" t="n">
        <v>90</v>
      </c>
      <c r="D1386" t="n">
        <v>64</v>
      </c>
      <c r="E1386" t="n">
        <v>115</v>
      </c>
      <c r="F1386" t="n">
        <v>0</v>
      </c>
      <c r="G1386">
        <f>SUMIF(PRISPELO!B:B, A1386, PRISPELO!G:G)</f>
        <v/>
      </c>
      <c r="H1386">
        <f>SUMIF(ODPIS!B:B, A1386, ODPIS!G:G)</f>
        <v/>
      </c>
      <c r="I1386" s="2">
        <f>F1386 + G1386 - H1386</f>
        <v/>
      </c>
    </row>
    <row r="1387">
      <c r="A1387" t="n">
        <v>3374</v>
      </c>
      <c r="B1387" t="inlineStr">
        <is>
          <t>EAGLE HI-BULK</t>
        </is>
      </c>
      <c r="C1387" t="n">
        <v>69.8</v>
      </c>
      <c r="D1387" t="n">
        <v>50.8</v>
      </c>
      <c r="E1387" t="n">
        <v>250</v>
      </c>
      <c r="F1387" t="n">
        <v>0</v>
      </c>
      <c r="G1387">
        <f>SUMIF(PRISPELO!B:B, A1387, PRISPELO!G:G)</f>
        <v/>
      </c>
      <c r="H1387">
        <f>SUMIF(ODPIS!B:B, A1387, ODPIS!G:G)</f>
        <v/>
      </c>
      <c r="I1387" s="2">
        <f>F1387 + G1387 - H1387</f>
        <v/>
      </c>
    </row>
    <row r="1388">
      <c r="A1388" t="n">
        <v>3375</v>
      </c>
      <c r="B1388" t="inlineStr">
        <is>
          <t>DNS PREMIUM</t>
        </is>
      </c>
      <c r="C1388" t="n">
        <v>70</v>
      </c>
      <c r="D1388" t="n">
        <v>100</v>
      </c>
      <c r="E1388" t="n">
        <v>90</v>
      </c>
      <c r="F1388" t="n">
        <v>0</v>
      </c>
      <c r="G1388">
        <f>SUMIF(PRISPELO!B:B, A1388, PRISPELO!G:G)</f>
        <v/>
      </c>
      <c r="H1388">
        <f>SUMIF(ODPIS!B:B, A1388, ODPIS!G:G)</f>
        <v/>
      </c>
      <c r="I1388" s="2">
        <f>F1388 + G1388 - H1388</f>
        <v/>
      </c>
    </row>
    <row r="1389">
      <c r="A1389" t="n">
        <v>3376</v>
      </c>
      <c r="B1389" t="inlineStr">
        <is>
          <t>SMART BOARD DUO</t>
        </is>
      </c>
      <c r="C1389" t="n">
        <v>72</v>
      </c>
      <c r="D1389" t="n">
        <v>100</v>
      </c>
      <c r="E1389" t="n">
        <v>300</v>
      </c>
      <c r="F1389" t="n">
        <v>0</v>
      </c>
      <c r="G1389">
        <f>SUMIF(PRISPELO!B:B, A1389, PRISPELO!G:G)</f>
        <v/>
      </c>
      <c r="H1389">
        <f>SUMIF(ODPIS!B:B, A1389, ODPIS!G:G)</f>
        <v/>
      </c>
      <c r="I1389" s="2">
        <f>F1389 + G1389 - H1389</f>
        <v/>
      </c>
    </row>
    <row r="1390">
      <c r="A1390" t="n">
        <v>3377</v>
      </c>
      <c r="B1390" t="inlineStr">
        <is>
          <t>GARDA MATT</t>
        </is>
      </c>
      <c r="C1390" t="n">
        <v>64</v>
      </c>
      <c r="D1390" t="n">
        <v>90</v>
      </c>
      <c r="E1390" t="n">
        <v>150</v>
      </c>
      <c r="F1390" t="n">
        <v>0</v>
      </c>
      <c r="G1390">
        <f>SUMIF(PRISPELO!B:B, A1390, PRISPELO!G:G)</f>
        <v/>
      </c>
      <c r="H1390">
        <f>SUMIF(ODPIS!B:B, A1390, ODPIS!G:G)</f>
        <v/>
      </c>
      <c r="I1390" s="2">
        <f>F1390 + G1390 - H1390</f>
        <v/>
      </c>
    </row>
    <row r="1391">
      <c r="A1391" t="n">
        <v>3378</v>
      </c>
      <c r="B1391" t="inlineStr">
        <is>
          <t>TERRA PRINT SILK</t>
        </is>
      </c>
      <c r="C1391" t="n">
        <v>90</v>
      </c>
      <c r="D1391" t="n">
        <v>64</v>
      </c>
      <c r="E1391" t="n">
        <v>80</v>
      </c>
      <c r="F1391" t="n">
        <v>0</v>
      </c>
      <c r="G1391">
        <f>SUMIF(PRISPELO!B:B, A1391, PRISPELO!G:G)</f>
        <v/>
      </c>
      <c r="H1391">
        <f>SUMIF(ODPIS!B:B, A1391, ODPIS!G:G)</f>
        <v/>
      </c>
      <c r="I1391" s="2">
        <f>F1391 + G1391 - H1391</f>
        <v/>
      </c>
    </row>
    <row r="1392">
      <c r="A1392" t="n">
        <v>3379</v>
      </c>
      <c r="B1392" t="inlineStr">
        <is>
          <t>TERRA PRINT SILK</t>
        </is>
      </c>
      <c r="C1392" t="n">
        <v>70</v>
      </c>
      <c r="D1392" t="n">
        <v>100</v>
      </c>
      <c r="E1392" t="n">
        <v>70</v>
      </c>
      <c r="F1392" t="n">
        <v>0</v>
      </c>
      <c r="G1392">
        <f>SUMIF(PRISPELO!B:B, A1392, PRISPELO!G:G)</f>
        <v/>
      </c>
      <c r="H1392">
        <f>SUMIF(ODPIS!B:B, A1392, ODPIS!G:G)</f>
        <v/>
      </c>
      <c r="I1392" s="2">
        <f>F1392 + G1392 - H1392</f>
        <v/>
      </c>
    </row>
    <row r="1393">
      <c r="A1393" t="n">
        <v>3380</v>
      </c>
      <c r="B1393" t="inlineStr">
        <is>
          <t>CHROMOSTAR</t>
        </is>
      </c>
      <c r="C1393" t="n">
        <v>63.5</v>
      </c>
      <c r="D1393" t="n">
        <v>42.5</v>
      </c>
      <c r="E1393" t="n">
        <v>295</v>
      </c>
      <c r="F1393" t="n">
        <v>0</v>
      </c>
      <c r="G1393">
        <f>SUMIF(PRISPELO!B:B, A1393, PRISPELO!G:G)</f>
        <v/>
      </c>
      <c r="H1393">
        <f>SUMIF(ODPIS!B:B, A1393, ODPIS!G:G)</f>
        <v/>
      </c>
      <c r="I1393" s="2">
        <f>F1393 + G1393 - H1393</f>
        <v/>
      </c>
    </row>
    <row r="1394">
      <c r="A1394" t="n">
        <v>3381</v>
      </c>
      <c r="B1394" t="inlineStr">
        <is>
          <t>NOVATERCH GLOSS</t>
        </is>
      </c>
      <c r="C1394" t="n">
        <v>45</v>
      </c>
      <c r="D1394" t="n">
        <v>64</v>
      </c>
      <c r="E1394" t="n">
        <v>100</v>
      </c>
      <c r="F1394" t="n">
        <v>0</v>
      </c>
      <c r="G1394">
        <f>SUMIF(PRISPELO!B:B, A1394, PRISPELO!G:G)</f>
        <v/>
      </c>
      <c r="H1394">
        <f>SUMIF(ODPIS!B:B, A1394, ODPIS!G:G)</f>
        <v/>
      </c>
      <c r="I1394" s="2">
        <f>F1394 + G1394 - H1394</f>
        <v/>
      </c>
    </row>
    <row r="1395">
      <c r="A1395" t="n">
        <v>3382</v>
      </c>
      <c r="B1395" t="inlineStr">
        <is>
          <t>Garda gloss</t>
        </is>
      </c>
      <c r="C1395" t="n">
        <v>64</v>
      </c>
      <c r="D1395" t="n">
        <v>48</v>
      </c>
      <c r="E1395" t="n">
        <v>135</v>
      </c>
      <c r="F1395" t="n">
        <v>0</v>
      </c>
      <c r="G1395">
        <f>SUMIF(PRISPELO!B:B, A1395, PRISPELO!G:G)</f>
        <v/>
      </c>
      <c r="H1395">
        <f>SUMIF(ODPIS!B:B, A1395, ODPIS!G:G)</f>
        <v/>
      </c>
      <c r="I1395" s="2">
        <f>F1395 + G1395 - H1395</f>
        <v/>
      </c>
    </row>
    <row r="1396">
      <c r="A1396" t="n">
        <v>3383</v>
      </c>
      <c r="B1396" t="inlineStr">
        <is>
          <t>AMBER GRAPHIC</t>
        </is>
      </c>
      <c r="C1396" t="n">
        <v>45</v>
      </c>
      <c r="D1396" t="n">
        <v>64</v>
      </c>
      <c r="E1396" t="n">
        <v>170</v>
      </c>
      <c r="F1396" t="n">
        <v>0</v>
      </c>
      <c r="G1396">
        <f>SUMIF(PRISPELO!B:B, A1396, PRISPELO!G:G)</f>
        <v/>
      </c>
      <c r="H1396">
        <f>SUMIF(ODPIS!B:B, A1396, ODPIS!G:G)</f>
        <v/>
      </c>
      <c r="I1396" s="2">
        <f>F1396 + G1396 - H1396</f>
        <v/>
      </c>
    </row>
    <row r="1397">
      <c r="A1397" t="n">
        <v>3384</v>
      </c>
      <c r="B1397" t="inlineStr">
        <is>
          <t>AMBER GRAPHIC</t>
        </is>
      </c>
      <c r="C1397" t="n">
        <v>45</v>
      </c>
      <c r="D1397" t="n">
        <v>64</v>
      </c>
      <c r="E1397" t="n">
        <v>120</v>
      </c>
      <c r="F1397" t="n">
        <v>0</v>
      </c>
      <c r="G1397">
        <f>SUMIF(PRISPELO!B:B, A1397, PRISPELO!G:G)</f>
        <v/>
      </c>
      <c r="H1397">
        <f>SUMIF(ODPIS!B:B, A1397, ODPIS!G:G)</f>
        <v/>
      </c>
      <c r="I1397" s="2">
        <f>F1397 + G1397 - H1397</f>
        <v/>
      </c>
    </row>
    <row r="1398">
      <c r="A1398" t="n">
        <v>3385</v>
      </c>
      <c r="B1398" t="inlineStr">
        <is>
          <t>MUNKEN KRISTALL</t>
        </is>
      </c>
      <c r="C1398" t="n">
        <v>102</v>
      </c>
      <c r="D1398" t="n">
        <v>72</v>
      </c>
      <c r="E1398" t="n">
        <v>300</v>
      </c>
      <c r="F1398" t="n">
        <v>0</v>
      </c>
      <c r="G1398">
        <f>SUMIF(PRISPELO!B:B, A1398, PRISPELO!G:G)</f>
        <v/>
      </c>
      <c r="H1398">
        <f>SUMIF(ODPIS!B:B, A1398, ODPIS!G:G)</f>
        <v/>
      </c>
      <c r="I1398" s="2">
        <f>F1398 + G1398 - H1398</f>
        <v/>
      </c>
    </row>
    <row r="1399">
      <c r="A1399" t="n">
        <v>3386</v>
      </c>
      <c r="B1399" t="inlineStr">
        <is>
          <t>OLIN REGU ABSULUTE</t>
        </is>
      </c>
      <c r="C1399" t="n">
        <v>102</v>
      </c>
      <c r="D1399" t="n">
        <v>72</v>
      </c>
      <c r="E1399" t="n">
        <v>120</v>
      </c>
      <c r="F1399" t="n">
        <v>0</v>
      </c>
      <c r="G1399">
        <f>SUMIF(PRISPELO!B:B, A1399, PRISPELO!G:G)</f>
        <v/>
      </c>
      <c r="H1399">
        <f>SUMIF(ODPIS!B:B, A1399, ODPIS!G:G)</f>
        <v/>
      </c>
      <c r="I1399" s="2">
        <f>F1399 + G1399 - H1399</f>
        <v/>
      </c>
    </row>
    <row r="1400">
      <c r="A1400" t="n">
        <v>3387</v>
      </c>
      <c r="B1400" t="inlineStr">
        <is>
          <t>ARCTIC MATT</t>
        </is>
      </c>
      <c r="C1400" t="n">
        <v>90</v>
      </c>
      <c r="D1400" t="n">
        <v>64</v>
      </c>
      <c r="E1400" t="n">
        <v>170</v>
      </c>
      <c r="F1400" t="n">
        <v>0</v>
      </c>
      <c r="G1400">
        <f>SUMIF(PRISPELO!B:B, A1400, PRISPELO!G:G)</f>
        <v/>
      </c>
      <c r="H1400">
        <f>SUMIF(ODPIS!B:B, A1400, ODPIS!G:G)</f>
        <v/>
      </c>
      <c r="I1400" s="2">
        <f>F1400 + G1400 - H1400</f>
        <v/>
      </c>
    </row>
    <row r="1401">
      <c r="A1401" t="n">
        <v>3388</v>
      </c>
      <c r="B1401" t="inlineStr">
        <is>
          <t>Royalcoat premium GLOS</t>
        </is>
      </c>
      <c r="C1401" t="n">
        <v>64</v>
      </c>
      <c r="D1401" t="n">
        <v>90</v>
      </c>
      <c r="E1401" t="n">
        <v>150</v>
      </c>
      <c r="F1401" t="n">
        <v>0</v>
      </c>
      <c r="G1401">
        <f>SUMIF(PRISPELO!B:B, A1401, PRISPELO!G:G)</f>
        <v/>
      </c>
      <c r="H1401">
        <f>SUMIF(ODPIS!B:B, A1401, ODPIS!G:G)</f>
        <v/>
      </c>
      <c r="I1401" s="2">
        <f>F1401 + G1401 - H1401</f>
        <v/>
      </c>
    </row>
    <row r="1402">
      <c r="A1402" t="n">
        <v>3389</v>
      </c>
      <c r="B1402" t="inlineStr">
        <is>
          <t>NIVIS NEXT GLOSS</t>
        </is>
      </c>
      <c r="C1402" t="n">
        <v>64</v>
      </c>
      <c r="D1402" t="n">
        <v>90</v>
      </c>
      <c r="E1402" t="n">
        <v>130</v>
      </c>
      <c r="F1402" t="n">
        <v>0</v>
      </c>
      <c r="G1402">
        <f>SUMIF(PRISPELO!B:B, A1402, PRISPELO!G:G)</f>
        <v/>
      </c>
      <c r="H1402">
        <f>SUMIF(ODPIS!B:B, A1402, ODPIS!G:G)</f>
        <v/>
      </c>
      <c r="I1402" s="2">
        <f>F1402 + G1402 - H1402</f>
        <v/>
      </c>
    </row>
    <row r="1403">
      <c r="A1403" t="n">
        <v>3390</v>
      </c>
      <c r="B1403" t="inlineStr">
        <is>
          <t>ROYALCOAT PREM.SILK</t>
        </is>
      </c>
      <c r="C1403" t="n">
        <v>45</v>
      </c>
      <c r="D1403" t="n">
        <v>64</v>
      </c>
      <c r="E1403" t="n">
        <v>150</v>
      </c>
      <c r="F1403" t="n">
        <v>0</v>
      </c>
      <c r="G1403">
        <f>SUMIF(PRISPELO!B:B, A1403, PRISPELO!G:G)</f>
        <v/>
      </c>
      <c r="H1403">
        <f>SUMIF(ODPIS!B:B, A1403, ODPIS!G:G)</f>
        <v/>
      </c>
      <c r="I1403" s="2">
        <f>F1403 + G1403 - H1403</f>
        <v/>
      </c>
    </row>
    <row r="1404">
      <c r="A1404" t="n">
        <v>3391</v>
      </c>
      <c r="B1404" t="inlineStr">
        <is>
          <t>ROYAL COAT PREM. SILK</t>
        </is>
      </c>
      <c r="C1404" t="n">
        <v>90</v>
      </c>
      <c r="D1404" t="n">
        <v>64</v>
      </c>
      <c r="E1404" t="n">
        <v>250</v>
      </c>
      <c r="F1404" t="n">
        <v>0</v>
      </c>
      <c r="G1404">
        <f>SUMIF(PRISPELO!B:B, A1404, PRISPELO!G:G)</f>
        <v/>
      </c>
      <c r="H1404">
        <f>SUMIF(ODPIS!B:B, A1404, ODPIS!G:G)</f>
        <v/>
      </c>
      <c r="I1404" s="2">
        <f>F1404 + G1404 - H1404</f>
        <v/>
      </c>
    </row>
    <row r="1405">
      <c r="A1405" t="n">
        <v>3392</v>
      </c>
      <c r="B1405" t="inlineStr">
        <is>
          <t>ROYAL COAT PREM. SILK</t>
        </is>
      </c>
      <c r="C1405" t="n">
        <v>90</v>
      </c>
      <c r="D1405" t="n">
        <v>64</v>
      </c>
      <c r="E1405" t="n">
        <v>135</v>
      </c>
      <c r="F1405" t="n">
        <v>0</v>
      </c>
      <c r="G1405">
        <f>SUMIF(PRISPELO!B:B, A1405, PRISPELO!G:G)</f>
        <v/>
      </c>
      <c r="H1405">
        <f>SUMIF(ODPIS!B:B, A1405, ODPIS!G:G)</f>
        <v/>
      </c>
      <c r="I1405" s="2">
        <f>F1405 + G1405 - H1405</f>
        <v/>
      </c>
    </row>
    <row r="1406">
      <c r="A1406" t="n">
        <v>3393</v>
      </c>
      <c r="B1406" t="inlineStr">
        <is>
          <t>NIVIS NEXT GLOSS</t>
        </is>
      </c>
      <c r="C1406" t="n">
        <v>90</v>
      </c>
      <c r="D1406" t="n">
        <v>64</v>
      </c>
      <c r="E1406" t="n">
        <v>100</v>
      </c>
      <c r="F1406" t="n">
        <v>0</v>
      </c>
      <c r="G1406">
        <f>SUMIF(PRISPELO!B:B, A1406, PRISPELO!G:G)</f>
        <v/>
      </c>
      <c r="H1406">
        <f>SUMIF(ODPIS!B:B, A1406, ODPIS!G:G)</f>
        <v/>
      </c>
      <c r="I1406" s="2">
        <f>F1406 + G1406 - H1406</f>
        <v/>
      </c>
    </row>
    <row r="1407">
      <c r="A1407" t="n">
        <v>3396</v>
      </c>
      <c r="B1407" t="inlineStr">
        <is>
          <t>G-PRINT</t>
        </is>
      </c>
      <c r="C1407" t="n">
        <v>90</v>
      </c>
      <c r="D1407" t="n">
        <v>64</v>
      </c>
      <c r="E1407" t="n">
        <v>90</v>
      </c>
      <c r="F1407" t="n">
        <v>0</v>
      </c>
      <c r="G1407">
        <f>SUMIF(PRISPELO!B:B, A1407, PRISPELO!G:G)</f>
        <v/>
      </c>
      <c r="H1407">
        <f>SUMIF(ODPIS!B:B, A1407, ODPIS!G:G)</f>
        <v/>
      </c>
      <c r="I1407" s="2">
        <f>F1407 + G1407 - H1407</f>
        <v/>
      </c>
    </row>
    <row r="1408">
      <c r="A1408" t="n">
        <v>3397</v>
      </c>
      <c r="B1408" t="inlineStr">
        <is>
          <t>ZENITH</t>
        </is>
      </c>
      <c r="C1408" t="n">
        <v>72</v>
      </c>
      <c r="D1408" t="n">
        <v>51</v>
      </c>
      <c r="E1408" t="n">
        <v>295</v>
      </c>
      <c r="F1408" t="n">
        <v>0</v>
      </c>
      <c r="G1408">
        <f>SUMIF(PRISPELO!B:B, A1408, PRISPELO!G:G)</f>
        <v/>
      </c>
      <c r="H1408">
        <f>SUMIF(ODPIS!B:B, A1408, ODPIS!G:G)</f>
        <v/>
      </c>
      <c r="I1408" s="2">
        <f>F1408 + G1408 - H1408</f>
        <v/>
      </c>
    </row>
    <row r="1409">
      <c r="A1409" t="n">
        <v>3399</v>
      </c>
      <c r="B1409" t="inlineStr">
        <is>
          <t>FEDRIGONY F SATINPW</t>
        </is>
      </c>
      <c r="C1409" t="n">
        <v>64</v>
      </c>
      <c r="D1409" t="n">
        <v>88</v>
      </c>
      <c r="E1409" t="n">
        <v>350</v>
      </c>
      <c r="F1409" t="n">
        <v>0</v>
      </c>
      <c r="G1409">
        <f>SUMIF(PRISPELO!B:B, A1409, PRISPELO!G:G)</f>
        <v/>
      </c>
      <c r="H1409">
        <f>SUMIF(ODPIS!B:B, A1409, ODPIS!G:G)</f>
        <v/>
      </c>
      <c r="I1409" s="2">
        <f>F1409 + G1409 - H1409</f>
        <v/>
      </c>
    </row>
    <row r="1410">
      <c r="A1410" t="n">
        <v>3400</v>
      </c>
      <c r="B1410" t="inlineStr">
        <is>
          <t>PREMIUM SILK</t>
        </is>
      </c>
      <c r="C1410" t="n">
        <v>52</v>
      </c>
      <c r="D1410" t="n">
        <v>65</v>
      </c>
      <c r="E1410" t="n">
        <v>100</v>
      </c>
      <c r="F1410" t="n">
        <v>0</v>
      </c>
      <c r="G1410">
        <f>SUMIF(PRISPELO!B:B, A1410, PRISPELO!G:G)</f>
        <v/>
      </c>
      <c r="H1410">
        <f>SUMIF(ODPIS!B:B, A1410, ODPIS!G:G)</f>
        <v/>
      </c>
      <c r="I1410" s="2">
        <f>F1410 + G1410 - H1410</f>
        <v/>
      </c>
    </row>
    <row r="1411">
      <c r="A1411" t="n">
        <v>3933</v>
      </c>
      <c r="B1411" t="inlineStr">
        <is>
          <t>MAXI OFFSET</t>
        </is>
      </c>
      <c r="C1411" t="n">
        <v>34.8</v>
      </c>
      <c r="D1411" t="n">
        <v>24.8</v>
      </c>
      <c r="E1411" t="n">
        <v>350</v>
      </c>
      <c r="F1411" t="n">
        <v>0</v>
      </c>
      <c r="G1411">
        <f>SUMIF(PRISPELO!B:B, A1411, PRISPELO!G:G)</f>
        <v/>
      </c>
      <c r="H1411">
        <f>SUMIF(ODPIS!B:B, A1411, ODPIS!G:G)</f>
        <v/>
      </c>
      <c r="I1411" s="2">
        <f>F1411 + G1411 - H1411</f>
        <v/>
      </c>
    </row>
    <row r="1412">
      <c r="A1412" t="n">
        <v>3401</v>
      </c>
      <c r="B1412" t="inlineStr">
        <is>
          <t>PREMIUM SILK</t>
        </is>
      </c>
      <c r="C1412" t="n">
        <v>100</v>
      </c>
      <c r="D1412" t="n">
        <v>70</v>
      </c>
      <c r="E1412" t="n">
        <v>170</v>
      </c>
      <c r="F1412" t="n">
        <v>0</v>
      </c>
      <c r="G1412">
        <f>SUMIF(PRISPELO!B:B, A1412, PRISPELO!G:G)</f>
        <v/>
      </c>
      <c r="H1412">
        <f>SUMIF(ODPIS!B:B, A1412, ODPIS!G:G)</f>
        <v/>
      </c>
      <c r="I1412" s="2">
        <f>F1412 + G1412 - H1412</f>
        <v/>
      </c>
    </row>
    <row r="1413">
      <c r="A1413" t="n">
        <v>4000</v>
      </c>
      <c r="B1413" t="inlineStr">
        <is>
          <t>GARDA MATT</t>
        </is>
      </c>
      <c r="C1413" t="n">
        <v>31.8</v>
      </c>
      <c r="D1413" t="n">
        <v>34.8</v>
      </c>
      <c r="E1413" t="n">
        <v>115</v>
      </c>
      <c r="F1413" t="n">
        <v>0</v>
      </c>
      <c r="G1413">
        <f>SUMIF(PRISPELO!B:B, A1413, PRISPELO!G:G)</f>
        <v/>
      </c>
      <c r="H1413">
        <f>SUMIF(ODPIS!B:B, A1413, ODPIS!G:G)</f>
        <v/>
      </c>
      <c r="I1413" s="2">
        <f>F1413 + G1413 - H1413</f>
        <v/>
      </c>
    </row>
    <row r="1414">
      <c r="A1414" t="n">
        <v>3402</v>
      </c>
      <c r="B1414" t="inlineStr">
        <is>
          <t>LUMIART GLOSS</t>
        </is>
      </c>
      <c r="C1414" t="n">
        <v>70</v>
      </c>
      <c r="D1414" t="n">
        <v>100</v>
      </c>
      <c r="E1414" t="n">
        <v>115</v>
      </c>
      <c r="F1414" t="n">
        <v>0</v>
      </c>
      <c r="G1414">
        <f>SUMIF(PRISPELO!B:B, A1414, PRISPELO!G:G)</f>
        <v/>
      </c>
      <c r="H1414">
        <f>SUMIF(ODPIS!B:B, A1414, ODPIS!G:G)</f>
        <v/>
      </c>
      <c r="I1414" s="2">
        <f>F1414 + G1414 - H1414</f>
        <v/>
      </c>
    </row>
    <row r="1415">
      <c r="A1415" t="n">
        <v>3403</v>
      </c>
      <c r="B1415" t="inlineStr">
        <is>
          <t>CARD 1SC MOSAICO</t>
        </is>
      </c>
      <c r="C1415" t="n">
        <v>72</v>
      </c>
      <c r="D1415" t="n">
        <v>102</v>
      </c>
      <c r="E1415" t="n">
        <v>270</v>
      </c>
      <c r="F1415" t="n">
        <v>0</v>
      </c>
      <c r="G1415">
        <f>SUMIF(PRISPELO!B:B, A1415, PRISPELO!G:G)</f>
        <v/>
      </c>
      <c r="H1415">
        <f>SUMIF(ODPIS!B:B, A1415, ODPIS!G:G)</f>
        <v/>
      </c>
      <c r="I1415" s="2">
        <f>F1415 + G1415 - H1415</f>
        <v/>
      </c>
    </row>
    <row r="1416">
      <c r="A1416" t="n">
        <v>3404</v>
      </c>
      <c r="B1416" t="inlineStr">
        <is>
          <t>ARCOSET EXTRA WHITE</t>
        </is>
      </c>
      <c r="C1416" t="n">
        <v>100</v>
      </c>
      <c r="D1416" t="n">
        <v>70</v>
      </c>
      <c r="E1416" t="n">
        <v>120</v>
      </c>
      <c r="F1416" t="n">
        <v>0</v>
      </c>
      <c r="G1416">
        <f>SUMIF(PRISPELO!B:B, A1416, PRISPELO!G:G)</f>
        <v/>
      </c>
      <c r="H1416">
        <f>SUMIF(ODPIS!B:B, A1416, ODPIS!G:G)</f>
        <v/>
      </c>
      <c r="I1416" s="2">
        <f>F1416 + G1416 - H1416</f>
        <v/>
      </c>
    </row>
    <row r="1417">
      <c r="A1417" t="n">
        <v>4052</v>
      </c>
      <c r="B1417" t="inlineStr">
        <is>
          <t>Kuverta 17B BO SI</t>
        </is>
      </c>
      <c r="C1417" t="n">
        <v>17.5</v>
      </c>
      <c r="D1417" t="n">
        <v>17.5</v>
      </c>
      <c r="E1417" t="n">
        <v>90</v>
      </c>
      <c r="F1417" t="n">
        <v>0</v>
      </c>
      <c r="G1417">
        <f>SUMIF(PRISPELO!B:B, A1417, PRISPELO!G:G)</f>
        <v/>
      </c>
      <c r="H1417">
        <f>SUMIF(ODPIS!B:B, A1417, ODPIS!G:G)</f>
        <v/>
      </c>
      <c r="I1417" s="2">
        <f>F1417 + G1417 - H1417</f>
        <v/>
      </c>
    </row>
    <row r="1418">
      <c r="A1418" t="n">
        <v>3407</v>
      </c>
      <c r="B1418" t="inlineStr">
        <is>
          <t>IQ COLOR RUMEN</t>
        </is>
      </c>
      <c r="C1418" t="n">
        <v>70</v>
      </c>
      <c r="D1418" t="n">
        <v>100</v>
      </c>
      <c r="E1418" t="n">
        <v>230</v>
      </c>
      <c r="F1418" t="n">
        <v>0</v>
      </c>
      <c r="G1418">
        <f>SUMIF(PRISPELO!B:B, A1418, PRISPELO!G:G)</f>
        <v/>
      </c>
      <c r="H1418">
        <f>SUMIF(ODPIS!B:B, A1418, ODPIS!G:G)</f>
        <v/>
      </c>
      <c r="I1418" s="2">
        <f>F1418 + G1418 - H1418</f>
        <v/>
      </c>
    </row>
    <row r="1419">
      <c r="A1419" t="n">
        <v>3409</v>
      </c>
      <c r="B1419" t="inlineStr">
        <is>
          <t>FEDRIGONI SYM. F-GLOSS PW</t>
        </is>
      </c>
      <c r="C1419" t="n">
        <v>50</v>
      </c>
      <c r="D1419" t="n">
        <v>70</v>
      </c>
      <c r="E1419" t="n">
        <v>115</v>
      </c>
      <c r="F1419" t="n">
        <v>0</v>
      </c>
      <c r="G1419">
        <f>SUMIF(PRISPELO!B:B, A1419, PRISPELO!G:G)</f>
        <v/>
      </c>
      <c r="H1419">
        <f>SUMIF(ODPIS!B:B, A1419, ODPIS!G:G)</f>
        <v/>
      </c>
      <c r="I1419" s="2">
        <f>F1419 + G1419 - H1419</f>
        <v/>
      </c>
    </row>
    <row r="1420">
      <c r="A1420" t="n">
        <v>3410</v>
      </c>
      <c r="B1420" t="inlineStr">
        <is>
          <t>PREMIUM SILK</t>
        </is>
      </c>
      <c r="C1420" t="n">
        <v>70</v>
      </c>
      <c r="D1420" t="n">
        <v>100</v>
      </c>
      <c r="E1420" t="n">
        <v>250</v>
      </c>
      <c r="F1420" t="n">
        <v>0</v>
      </c>
      <c r="G1420">
        <f>SUMIF(PRISPELO!B:B, A1420, PRISPELO!G:G)</f>
        <v/>
      </c>
      <c r="H1420">
        <f>SUMIF(ODPIS!B:B, A1420, ODPIS!G:G)</f>
        <v/>
      </c>
      <c r="I1420" s="2">
        <f>F1420 + G1420 - H1420</f>
        <v/>
      </c>
    </row>
    <row r="1421">
      <c r="A1421" t="n">
        <v>3412</v>
      </c>
      <c r="B1421" t="inlineStr">
        <is>
          <t>NIVIS NEXT GLOSS</t>
        </is>
      </c>
      <c r="C1421" t="n">
        <v>45</v>
      </c>
      <c r="D1421" t="n">
        <v>64</v>
      </c>
      <c r="E1421" t="n">
        <v>130</v>
      </c>
      <c r="F1421" t="n">
        <v>0</v>
      </c>
      <c r="G1421">
        <f>SUMIF(PRISPELO!B:B, A1421, PRISPELO!G:G)</f>
        <v/>
      </c>
      <c r="H1421">
        <f>SUMIF(ODPIS!B:B, A1421, ODPIS!G:G)</f>
        <v/>
      </c>
      <c r="I1421" s="2">
        <f>F1421 + G1421 - H1421</f>
        <v/>
      </c>
    </row>
    <row r="1422">
      <c r="A1422" t="n">
        <v>3413</v>
      </c>
      <c r="B1422" t="inlineStr">
        <is>
          <t>IMPACT NATURAL</t>
        </is>
      </c>
      <c r="C1422" t="n">
        <v>100</v>
      </c>
      <c r="D1422" t="n">
        <v>70</v>
      </c>
      <c r="E1422" t="n">
        <v>250</v>
      </c>
      <c r="F1422" t="n">
        <v>0</v>
      </c>
      <c r="G1422">
        <f>SUMIF(PRISPELO!B:B, A1422, PRISPELO!G:G)</f>
        <v/>
      </c>
      <c r="H1422">
        <f>SUMIF(ODPIS!B:B, A1422, ODPIS!G:G)</f>
        <v/>
      </c>
      <c r="I1422" s="2">
        <f>F1422 + G1422 - H1422</f>
        <v/>
      </c>
    </row>
    <row r="1423">
      <c r="A1423" t="n">
        <v>3415</v>
      </c>
      <c r="B1423" t="inlineStr">
        <is>
          <t>NIVIS NEXT GLOSS</t>
        </is>
      </c>
      <c r="C1423" t="n">
        <v>100</v>
      </c>
      <c r="D1423" t="n">
        <v>70</v>
      </c>
      <c r="E1423" t="n">
        <v>250</v>
      </c>
      <c r="F1423" t="n">
        <v>0</v>
      </c>
      <c r="G1423">
        <f>SUMIF(PRISPELO!B:B, A1423, PRISPELO!G:G)</f>
        <v/>
      </c>
      <c r="H1423">
        <f>SUMIF(ODPIS!B:B, A1423, ODPIS!G:G)</f>
        <v/>
      </c>
      <c r="I1423" s="2">
        <f>F1423 + G1423 - H1423</f>
        <v/>
      </c>
    </row>
    <row r="1424">
      <c r="A1424" t="n">
        <v>3416</v>
      </c>
      <c r="B1424" t="inlineStr">
        <is>
          <t>IDEM REACTO RUMEN</t>
        </is>
      </c>
      <c r="C1424" t="n">
        <v>45</v>
      </c>
      <c r="D1424" t="n">
        <v>64</v>
      </c>
      <c r="E1424" t="n">
        <v>75</v>
      </c>
      <c r="F1424" t="n">
        <v>0</v>
      </c>
      <c r="G1424">
        <f>SUMIF(PRISPELO!B:B, A1424, PRISPELO!G:G)</f>
        <v/>
      </c>
      <c r="H1424">
        <f>SUMIF(ODPIS!B:B, A1424, ODPIS!G:G)</f>
        <v/>
      </c>
      <c r="I1424" s="2">
        <f>F1424 + G1424 - H1424</f>
        <v/>
      </c>
    </row>
    <row r="1425">
      <c r="A1425" t="n">
        <v>3417</v>
      </c>
      <c r="B1425" t="inlineStr">
        <is>
          <t>QUATRO SILK</t>
        </is>
      </c>
      <c r="C1425" t="n">
        <v>100</v>
      </c>
      <c r="D1425" t="n">
        <v>70</v>
      </c>
      <c r="E1425" t="n">
        <v>115</v>
      </c>
      <c r="F1425" t="n">
        <v>0</v>
      </c>
      <c r="G1425">
        <f>SUMIF(PRISPELO!B:B, A1425, PRISPELO!G:G)</f>
        <v/>
      </c>
      <c r="H1425">
        <f>SUMIF(ODPIS!B:B, A1425, ODPIS!G:G)</f>
        <v/>
      </c>
      <c r="I1425" s="2">
        <f>F1425 + G1425 - H1425</f>
        <v/>
      </c>
    </row>
    <row r="1426">
      <c r="A1426" t="n">
        <v>3419</v>
      </c>
      <c r="B1426" t="inlineStr">
        <is>
          <t>NIVIS NEXT MATT</t>
        </is>
      </c>
      <c r="C1426" t="n">
        <v>64</v>
      </c>
      <c r="D1426" t="n">
        <v>90</v>
      </c>
      <c r="E1426" t="n">
        <v>200</v>
      </c>
      <c r="F1426" t="n">
        <v>0</v>
      </c>
      <c r="G1426">
        <f>SUMIF(PRISPELO!B:B, A1426, PRISPELO!G:G)</f>
        <v/>
      </c>
      <c r="H1426">
        <f>SUMIF(ODPIS!B:B, A1426, ODPIS!G:G)</f>
        <v/>
      </c>
      <c r="I1426" s="2">
        <f>F1426 + G1426 - H1426</f>
        <v/>
      </c>
    </row>
    <row r="1427">
      <c r="A1427" t="n">
        <v>3420</v>
      </c>
      <c r="B1427" t="inlineStr">
        <is>
          <t>NIVIS NEXT gloss</t>
        </is>
      </c>
      <c r="C1427" t="n">
        <v>64</v>
      </c>
      <c r="D1427" t="n">
        <v>90</v>
      </c>
      <c r="E1427" t="n">
        <v>100</v>
      </c>
      <c r="F1427" t="n">
        <v>0</v>
      </c>
      <c r="G1427">
        <f>SUMIF(PRISPELO!B:B, A1427, PRISPELO!G:G)</f>
        <v/>
      </c>
      <c r="H1427">
        <f>SUMIF(ODPIS!B:B, A1427, ODPIS!G:G)</f>
        <v/>
      </c>
      <c r="I1427" s="2">
        <f>F1427 + G1427 - H1427</f>
        <v/>
      </c>
    </row>
    <row r="1428">
      <c r="A1428" t="n">
        <v>3421</v>
      </c>
      <c r="B1428" t="inlineStr">
        <is>
          <t>IQ COLOR RUMEN</t>
        </is>
      </c>
      <c r="C1428" t="n">
        <v>70</v>
      </c>
      <c r="D1428" t="n">
        <v>100</v>
      </c>
      <c r="E1428" t="n">
        <v>160</v>
      </c>
      <c r="F1428" t="n">
        <v>0</v>
      </c>
      <c r="G1428">
        <f>SUMIF(PRISPELO!B:B, A1428, PRISPELO!G:G)</f>
        <v/>
      </c>
      <c r="H1428">
        <f>SUMIF(ODPIS!B:B, A1428, ODPIS!G:G)</f>
        <v/>
      </c>
      <c r="I1428" s="2">
        <f>F1428 + G1428 - H1428</f>
        <v/>
      </c>
    </row>
    <row r="1429">
      <c r="A1429" t="n">
        <v>3422</v>
      </c>
      <c r="B1429" t="inlineStr">
        <is>
          <t>GARDA MATT</t>
        </is>
      </c>
      <c r="C1429" t="n">
        <v>64</v>
      </c>
      <c r="D1429" t="n">
        <v>48</v>
      </c>
      <c r="E1429" t="n">
        <v>115</v>
      </c>
      <c r="F1429" t="n">
        <v>0</v>
      </c>
      <c r="G1429">
        <f>SUMIF(PRISPELO!B:B, A1429, PRISPELO!G:G)</f>
        <v/>
      </c>
      <c r="H1429">
        <f>SUMIF(ODPIS!B:B, A1429, ODPIS!G:G)</f>
        <v/>
      </c>
      <c r="I1429" s="2">
        <f>F1429 + G1429 - H1429</f>
        <v/>
      </c>
    </row>
    <row r="1430">
      <c r="A1430" t="n">
        <v>3423</v>
      </c>
      <c r="B1430" t="inlineStr">
        <is>
          <t>Samolep. Vellum extra plus 85</t>
        </is>
      </c>
      <c r="C1430" t="n">
        <v>50</v>
      </c>
      <c r="D1430" t="n">
        <v>70</v>
      </c>
      <c r="E1430" t="n">
        <v>85</v>
      </c>
      <c r="F1430" t="n">
        <v>0</v>
      </c>
      <c r="G1430">
        <f>SUMIF(PRISPELO!B:B, A1430, PRISPELO!G:G)</f>
        <v/>
      </c>
      <c r="H1430">
        <f>SUMIF(ODPIS!B:B, A1430, ODPIS!G:G)</f>
        <v/>
      </c>
      <c r="I1430" s="2">
        <f>F1430 + G1430 - H1430</f>
        <v/>
      </c>
    </row>
    <row r="1431">
      <c r="A1431" t="n">
        <v>3425</v>
      </c>
      <c r="B1431" t="inlineStr">
        <is>
          <t>Samol. Gloss pov.lepljivost</t>
        </is>
      </c>
      <c r="C1431" t="n">
        <v>50</v>
      </c>
      <c r="D1431" t="n">
        <v>70</v>
      </c>
      <c r="E1431" t="n">
        <v>85</v>
      </c>
      <c r="F1431" t="n">
        <v>0</v>
      </c>
      <c r="G1431">
        <f>SUMIF(PRISPELO!B:B, A1431, PRISPELO!G:G)</f>
        <v/>
      </c>
      <c r="H1431">
        <f>SUMIF(ODPIS!B:B, A1431, ODPIS!G:G)</f>
        <v/>
      </c>
      <c r="I1431" s="2">
        <f>F1431 + G1431 - H1431</f>
        <v/>
      </c>
    </row>
    <row r="1432">
      <c r="A1432" t="n">
        <v>3208</v>
      </c>
      <c r="B1432" t="inlineStr">
        <is>
          <t>kuverta amerikant C5/6 OD</t>
        </is>
      </c>
      <c r="C1432" t="n">
        <v>11</v>
      </c>
      <c r="D1432" t="n">
        <v>23</v>
      </c>
      <c r="E1432" t="n">
        <v>90</v>
      </c>
      <c r="F1432" t="n">
        <v>0</v>
      </c>
      <c r="G1432">
        <f>SUMIF(PRISPELO!B:B, A1432, PRISPELO!G:G)</f>
        <v/>
      </c>
      <c r="H1432">
        <f>SUMIF(ODPIS!B:B, A1432, ODPIS!G:G)</f>
        <v/>
      </c>
      <c r="I1432" s="2">
        <f>F1432 + G1432 - H1432</f>
        <v/>
      </c>
    </row>
    <row r="1433">
      <c r="A1433" t="n">
        <v>3426</v>
      </c>
      <c r="B1433" t="inlineStr">
        <is>
          <t>PREMIUM SILK</t>
        </is>
      </c>
      <c r="C1433" t="n">
        <v>64</v>
      </c>
      <c r="D1433" t="n">
        <v>48</v>
      </c>
      <c r="E1433" t="n">
        <v>150</v>
      </c>
      <c r="F1433" t="n">
        <v>0</v>
      </c>
      <c r="G1433">
        <f>SUMIF(PRISPELO!B:B, A1433, PRISPELO!G:G)</f>
        <v/>
      </c>
      <c r="H1433">
        <f>SUMIF(ODPIS!B:B, A1433, ODPIS!G:G)</f>
        <v/>
      </c>
      <c r="I1433" s="2">
        <f>F1433 + G1433 - H1433</f>
        <v/>
      </c>
    </row>
    <row r="1434">
      <c r="A1434" t="n">
        <v>3427</v>
      </c>
      <c r="B1434" t="inlineStr">
        <is>
          <t>IQ PRINT</t>
        </is>
      </c>
      <c r="C1434" t="n">
        <v>72</v>
      </c>
      <c r="D1434" t="n">
        <v>102</v>
      </c>
      <c r="E1434" t="n">
        <v>190</v>
      </c>
      <c r="F1434" t="n">
        <v>0</v>
      </c>
      <c r="G1434">
        <f>SUMIF(PRISPELO!B:B, A1434, PRISPELO!G:G)</f>
        <v/>
      </c>
      <c r="H1434">
        <f>SUMIF(ODPIS!B:B, A1434, ODPIS!G:G)</f>
        <v/>
      </c>
      <c r="I1434" s="2">
        <f>F1434 + G1434 - H1434</f>
        <v/>
      </c>
    </row>
    <row r="1435">
      <c r="A1435" t="n">
        <v>3428</v>
      </c>
      <c r="B1435" t="inlineStr">
        <is>
          <t>AMBER GRAPHIC</t>
        </is>
      </c>
      <c r="C1435" t="n">
        <v>100</v>
      </c>
      <c r="D1435" t="n">
        <v>70</v>
      </c>
      <c r="E1435" t="n">
        <v>140</v>
      </c>
      <c r="F1435" t="n">
        <v>0</v>
      </c>
      <c r="G1435">
        <f>SUMIF(PRISPELO!B:B, A1435, PRISPELO!G:G)</f>
        <v/>
      </c>
      <c r="H1435">
        <f>SUMIF(ODPIS!B:B, A1435, ODPIS!G:G)</f>
        <v/>
      </c>
      <c r="I1435" s="2">
        <f>F1435 + G1435 - H1435</f>
        <v/>
      </c>
    </row>
    <row r="1436">
      <c r="A1436" t="n">
        <v>3429</v>
      </c>
      <c r="B1436" t="inlineStr">
        <is>
          <t>IMPACT NATURAL</t>
        </is>
      </c>
      <c r="C1436" t="n">
        <v>72</v>
      </c>
      <c r="D1436" t="n">
        <v>102</v>
      </c>
      <c r="E1436" t="n">
        <v>300</v>
      </c>
      <c r="F1436" t="n">
        <v>0</v>
      </c>
      <c r="G1436">
        <f>SUMIF(PRISPELO!B:B, A1436, PRISPELO!G:G)</f>
        <v/>
      </c>
      <c r="H1436">
        <f>SUMIF(ODPIS!B:B, A1436, ODPIS!G:G)</f>
        <v/>
      </c>
      <c r="I1436" s="2">
        <f>F1436 + G1436 - H1436</f>
        <v/>
      </c>
    </row>
    <row r="1437">
      <c r="A1437" t="n">
        <v>3430</v>
      </c>
      <c r="B1437" t="inlineStr">
        <is>
          <t>IMPACT NATURAL</t>
        </is>
      </c>
      <c r="C1437" t="n">
        <v>88</v>
      </c>
      <c r="D1437" t="n">
        <v>63</v>
      </c>
      <c r="E1437" t="n">
        <v>135</v>
      </c>
      <c r="F1437" t="n">
        <v>0</v>
      </c>
      <c r="G1437">
        <f>SUMIF(PRISPELO!B:B, A1437, PRISPELO!G:G)</f>
        <v/>
      </c>
      <c r="H1437">
        <f>SUMIF(ODPIS!B:B, A1437, ODPIS!G:G)</f>
        <v/>
      </c>
      <c r="I1437" s="2">
        <f>F1437 + G1437 - H1437</f>
        <v/>
      </c>
    </row>
    <row r="1438">
      <c r="A1438" t="n">
        <v>3431</v>
      </c>
      <c r="B1438" t="inlineStr">
        <is>
          <t>NIVIS NEXT MATT</t>
        </is>
      </c>
      <c r="C1438" t="n">
        <v>64</v>
      </c>
      <c r="D1438" t="n">
        <v>45</v>
      </c>
      <c r="E1438" t="n">
        <v>115</v>
      </c>
      <c r="F1438" t="n">
        <v>0</v>
      </c>
      <c r="G1438">
        <f>SUMIF(PRISPELO!B:B, A1438, PRISPELO!G:G)</f>
        <v/>
      </c>
      <c r="H1438">
        <f>SUMIF(ODPIS!B:B, A1438, ODPIS!G:G)</f>
        <v/>
      </c>
      <c r="I1438" s="2">
        <f>F1438 + G1438 - H1438</f>
        <v/>
      </c>
    </row>
    <row r="1439">
      <c r="A1439" t="n">
        <v>3432</v>
      </c>
      <c r="B1439" t="inlineStr">
        <is>
          <t>ROYALCOAT PREMIUM SILK</t>
        </is>
      </c>
      <c r="C1439" t="n">
        <v>45</v>
      </c>
      <c r="D1439" t="n">
        <v>64</v>
      </c>
      <c r="E1439" t="n">
        <v>115</v>
      </c>
      <c r="F1439" t="n">
        <v>0</v>
      </c>
      <c r="G1439">
        <f>SUMIF(PRISPELO!B:B, A1439, PRISPELO!G:G)</f>
        <v/>
      </c>
      <c r="H1439">
        <f>SUMIF(ODPIS!B:B, A1439, ODPIS!G:G)</f>
        <v/>
      </c>
      <c r="I1439" s="2">
        <f>F1439 + G1439 - H1439</f>
        <v/>
      </c>
    </row>
    <row r="1440">
      <c r="A1440" t="n">
        <v>3434</v>
      </c>
      <c r="B1440" t="inlineStr">
        <is>
          <t>Garda gloss</t>
        </is>
      </c>
      <c r="C1440" t="n">
        <v>88</v>
      </c>
      <c r="D1440" t="n">
        <v>63</v>
      </c>
      <c r="E1440" t="n">
        <v>135</v>
      </c>
      <c r="F1440" t="n">
        <v>0</v>
      </c>
      <c r="G1440">
        <f>SUMIF(PRISPELO!B:B, A1440, PRISPELO!G:G)</f>
        <v/>
      </c>
      <c r="H1440">
        <f>SUMIF(ODPIS!B:B, A1440, ODPIS!G:G)</f>
        <v/>
      </c>
      <c r="I1440" s="2">
        <f>F1440 + G1440 - H1440</f>
        <v/>
      </c>
    </row>
    <row r="1441">
      <c r="A1441" t="n">
        <v>3435</v>
      </c>
      <c r="B1441" t="inlineStr">
        <is>
          <t>IQ COLOR MEDIUM GREEN</t>
        </is>
      </c>
      <c r="C1441" t="n">
        <v>70</v>
      </c>
      <c r="D1441" t="n">
        <v>100</v>
      </c>
      <c r="E1441" t="n">
        <v>230</v>
      </c>
      <c r="F1441" t="n">
        <v>0</v>
      </c>
      <c r="G1441">
        <f>SUMIF(PRISPELO!B:B, A1441, PRISPELO!G:G)</f>
        <v/>
      </c>
      <c r="H1441">
        <f>SUMIF(ODPIS!B:B, A1441, ODPIS!G:G)</f>
        <v/>
      </c>
      <c r="I1441" s="2">
        <f>F1441 + G1441 - H1441</f>
        <v/>
      </c>
    </row>
    <row r="1442">
      <c r="A1442" t="n">
        <v>3436</v>
      </c>
      <c r="B1442" t="inlineStr">
        <is>
          <t>PREMIUM SILK</t>
        </is>
      </c>
      <c r="C1442" t="n">
        <v>100</v>
      </c>
      <c r="D1442" t="n">
        <v>70</v>
      </c>
      <c r="E1442" t="n">
        <v>250</v>
      </c>
      <c r="F1442" t="n">
        <v>0</v>
      </c>
      <c r="G1442">
        <f>SUMIF(PRISPELO!B:B, A1442, PRISPELO!G:G)</f>
        <v/>
      </c>
      <c r="H1442">
        <f>SUMIF(ODPIS!B:B, A1442, ODPIS!G:G)</f>
        <v/>
      </c>
      <c r="I1442" s="2">
        <f>F1442 + G1442 - H1442</f>
        <v/>
      </c>
    </row>
    <row r="1443">
      <c r="A1443" t="n">
        <v>3437</v>
      </c>
      <c r="B1443" t="inlineStr">
        <is>
          <t>PREMIUM SILK</t>
        </is>
      </c>
      <c r="C1443" t="n">
        <v>64</v>
      </c>
      <c r="D1443" t="n">
        <v>90</v>
      </c>
      <c r="E1443" t="n">
        <v>350</v>
      </c>
      <c r="F1443" t="n">
        <v>0</v>
      </c>
      <c r="G1443">
        <f>SUMIF(PRISPELO!B:B, A1443, PRISPELO!G:G)</f>
        <v/>
      </c>
      <c r="H1443">
        <f>SUMIF(ODPIS!B:B, A1443, ODPIS!G:G)</f>
        <v/>
      </c>
      <c r="I1443" s="2">
        <f>F1443 + G1443 - H1443</f>
        <v/>
      </c>
    </row>
    <row r="1444">
      <c r="A1444" t="n">
        <v>3438</v>
      </c>
      <c r="B1444" t="inlineStr">
        <is>
          <t>TARGET PLUS</t>
        </is>
      </c>
      <c r="C1444" t="n">
        <v>90</v>
      </c>
      <c r="D1444" t="n">
        <v>64</v>
      </c>
      <c r="E1444" t="n">
        <v>160</v>
      </c>
      <c r="F1444" t="n">
        <v>0</v>
      </c>
      <c r="G1444">
        <f>SUMIF(PRISPELO!B:B, A1444, PRISPELO!G:G)</f>
        <v/>
      </c>
      <c r="H1444">
        <f>SUMIF(ODPIS!B:B, A1444, ODPIS!G:G)</f>
        <v/>
      </c>
      <c r="I1444" s="2">
        <f>F1444 + G1444 - H1444</f>
        <v/>
      </c>
    </row>
    <row r="1445">
      <c r="A1445" t="n">
        <v>3439</v>
      </c>
      <c r="B1445" t="inlineStr">
        <is>
          <t>IQ PRINT</t>
        </is>
      </c>
      <c r="C1445" t="n">
        <v>45</v>
      </c>
      <c r="D1445" t="n">
        <v>64</v>
      </c>
      <c r="E1445" t="n">
        <v>80</v>
      </c>
      <c r="F1445" t="n">
        <v>0</v>
      </c>
      <c r="G1445">
        <f>SUMIF(PRISPELO!B:B, A1445, PRISPELO!G:G)</f>
        <v/>
      </c>
      <c r="H1445">
        <f>SUMIF(ODPIS!B:B, A1445, ODPIS!G:G)</f>
        <v/>
      </c>
      <c r="I1445" s="2">
        <f>F1445 + G1445 - H1445</f>
        <v/>
      </c>
    </row>
    <row r="1446">
      <c r="A1446" t="n">
        <v>3441</v>
      </c>
      <c r="B1446" t="inlineStr">
        <is>
          <t>PREMIUM UNCOATED</t>
        </is>
      </c>
      <c r="C1446" t="n">
        <v>70</v>
      </c>
      <c r="D1446" t="n">
        <v>100</v>
      </c>
      <c r="E1446" t="n">
        <v>140</v>
      </c>
      <c r="F1446" t="n">
        <v>0</v>
      </c>
      <c r="G1446">
        <f>SUMIF(PRISPELO!B:B, A1446, PRISPELO!G:G)</f>
        <v/>
      </c>
      <c r="H1446">
        <f>SUMIF(ODPIS!B:B, A1446, ODPIS!G:G)</f>
        <v/>
      </c>
      <c r="I1446" s="2">
        <f>F1446 + G1446 - H1446</f>
        <v/>
      </c>
    </row>
    <row r="1447">
      <c r="A1447" t="n">
        <v>3442</v>
      </c>
      <c r="B1447" t="inlineStr">
        <is>
          <t>INASET PLUS LASER</t>
        </is>
      </c>
      <c r="C1447" t="n">
        <v>88</v>
      </c>
      <c r="D1447" t="n">
        <v>63</v>
      </c>
      <c r="E1447" t="n">
        <v>90</v>
      </c>
      <c r="F1447" t="n">
        <v>0</v>
      </c>
      <c r="G1447">
        <f>SUMIF(PRISPELO!B:B, A1447, PRISPELO!G:G)</f>
        <v/>
      </c>
      <c r="H1447">
        <f>SUMIF(ODPIS!B:B, A1447, ODPIS!G:G)</f>
        <v/>
      </c>
      <c r="I1447" s="2">
        <f>F1447 + G1447 - H1447</f>
        <v/>
      </c>
    </row>
    <row r="1448">
      <c r="A1448" t="n">
        <v>3444</v>
      </c>
      <c r="B1448" t="inlineStr">
        <is>
          <t>LUXLINE GG 1.5</t>
        </is>
      </c>
      <c r="C1448" t="n">
        <v>71</v>
      </c>
      <c r="D1448" t="n">
        <v>101</v>
      </c>
      <c r="E1448" t="n">
        <v>945</v>
      </c>
      <c r="F1448" t="n">
        <v>0</v>
      </c>
      <c r="G1448">
        <f>SUMIF(PRISPELO!B:B, A1448, PRISPELO!G:G)</f>
        <v/>
      </c>
      <c r="H1448">
        <f>SUMIF(ODPIS!B:B, A1448, ODPIS!G:G)</f>
        <v/>
      </c>
      <c r="I1448" s="2">
        <f>F1448 + G1448 - H1448</f>
        <v/>
      </c>
    </row>
    <row r="1449">
      <c r="A1449" t="n">
        <v>3445</v>
      </c>
      <c r="B1449" t="inlineStr">
        <is>
          <t>NIVIS NEXT GLOSS</t>
        </is>
      </c>
      <c r="C1449" t="n">
        <v>64</v>
      </c>
      <c r="D1449" t="n">
        <v>90</v>
      </c>
      <c r="E1449" t="n">
        <v>170</v>
      </c>
      <c r="F1449" t="n">
        <v>0</v>
      </c>
      <c r="G1449">
        <f>SUMIF(PRISPELO!B:B, A1449, PRISPELO!G:G)</f>
        <v/>
      </c>
      <c r="H1449">
        <f>SUMIF(ODPIS!B:B, A1449, ODPIS!G:G)</f>
        <v/>
      </c>
      <c r="I1449" s="2">
        <f>F1449 + G1449 - H1449</f>
        <v/>
      </c>
    </row>
    <row r="1450">
      <c r="A1450" t="n">
        <v>3446</v>
      </c>
      <c r="B1450" t="inlineStr">
        <is>
          <t>IMPACT NATURAL</t>
        </is>
      </c>
      <c r="C1450" t="n">
        <v>70</v>
      </c>
      <c r="D1450" t="n">
        <v>100</v>
      </c>
      <c r="E1450" t="n">
        <v>250</v>
      </c>
      <c r="F1450" t="n">
        <v>0</v>
      </c>
      <c r="G1450">
        <f>SUMIF(PRISPELO!B:B, A1450, PRISPELO!G:G)</f>
        <v/>
      </c>
      <c r="H1450">
        <f>SUMIF(ODPIS!B:B, A1450, ODPIS!G:G)</f>
        <v/>
      </c>
      <c r="I1450" s="2">
        <f>F1450 + G1450 - H1450</f>
        <v/>
      </c>
    </row>
    <row r="1451">
      <c r="A1451" t="n">
        <v>3447</v>
      </c>
      <c r="B1451" t="inlineStr">
        <is>
          <t>NIVIS NEXT MATT</t>
        </is>
      </c>
      <c r="C1451" t="n">
        <v>49.8</v>
      </c>
      <c r="D1451" t="n">
        <v>49.8</v>
      </c>
      <c r="E1451" t="n">
        <v>350</v>
      </c>
      <c r="F1451" t="n">
        <v>0</v>
      </c>
      <c r="G1451">
        <f>SUMIF(PRISPELO!B:B, A1451, PRISPELO!G:G)</f>
        <v/>
      </c>
      <c r="H1451">
        <f>SUMIF(ODPIS!B:B, A1451, ODPIS!G:G)</f>
        <v/>
      </c>
      <c r="I1451" s="2">
        <f>F1451 + G1451 - H1451</f>
        <v/>
      </c>
    </row>
    <row r="1452">
      <c r="A1452" t="n">
        <v>3448</v>
      </c>
      <c r="B1452" t="inlineStr">
        <is>
          <t>SYBOL F-SATIN PW</t>
        </is>
      </c>
      <c r="C1452" t="n">
        <v>50</v>
      </c>
      <c r="D1452" t="n">
        <v>70</v>
      </c>
      <c r="E1452" t="n">
        <v>130</v>
      </c>
      <c r="F1452" t="n">
        <v>0</v>
      </c>
      <c r="G1452">
        <f>SUMIF(PRISPELO!B:B, A1452, PRISPELO!G:G)</f>
        <v/>
      </c>
      <c r="H1452">
        <f>SUMIF(ODPIS!B:B, A1452, ODPIS!G:G)</f>
        <v/>
      </c>
      <c r="I1452" s="2">
        <f>F1452 + G1452 - H1452</f>
        <v/>
      </c>
    </row>
    <row r="1453">
      <c r="A1453" t="n">
        <v>3449</v>
      </c>
      <c r="B1453" t="inlineStr">
        <is>
          <t>AMBER PREPRINT</t>
        </is>
      </c>
      <c r="C1453" t="n">
        <v>90</v>
      </c>
      <c r="D1453" t="n">
        <v>64</v>
      </c>
      <c r="E1453" t="n">
        <v>160</v>
      </c>
      <c r="F1453" t="n">
        <v>0</v>
      </c>
      <c r="G1453">
        <f>SUMIF(PRISPELO!B:B, A1453, PRISPELO!G:G)</f>
        <v/>
      </c>
      <c r="H1453">
        <f>SUMIF(ODPIS!B:B, A1453, ODPIS!G:G)</f>
        <v/>
      </c>
      <c r="I1453" s="2">
        <f>F1453 + G1453 - H1453</f>
        <v/>
      </c>
    </row>
    <row r="1454">
      <c r="A1454" t="n">
        <v>3451</v>
      </c>
      <c r="B1454" t="inlineStr">
        <is>
          <t>PRINTA</t>
        </is>
      </c>
      <c r="C1454" t="n">
        <v>71</v>
      </c>
      <c r="D1454" t="n">
        <v>101</v>
      </c>
      <c r="E1454" t="n">
        <v>400</v>
      </c>
      <c r="F1454" t="n">
        <v>0</v>
      </c>
      <c r="G1454">
        <f>SUMIF(PRISPELO!B:B, A1454, PRISPELO!G:G)</f>
        <v/>
      </c>
      <c r="H1454">
        <f>SUMIF(ODPIS!B:B, A1454, ODPIS!G:G)</f>
        <v/>
      </c>
      <c r="I1454" s="2">
        <f>F1454 + G1454 - H1454</f>
        <v/>
      </c>
    </row>
    <row r="1455">
      <c r="A1455" t="n">
        <v>3452</v>
      </c>
      <c r="B1455" t="inlineStr">
        <is>
          <t>MASTER BOARD</t>
        </is>
      </c>
      <c r="C1455" t="n">
        <v>101</v>
      </c>
      <c r="D1455" t="n">
        <v>71</v>
      </c>
      <c r="E1455" t="n">
        <v>330</v>
      </c>
      <c r="F1455" t="n">
        <v>0</v>
      </c>
      <c r="G1455">
        <f>SUMIF(PRISPELO!B:B, A1455, PRISPELO!G:G)</f>
        <v/>
      </c>
      <c r="H1455">
        <f>SUMIF(ODPIS!B:B, A1455, ODPIS!G:G)</f>
        <v/>
      </c>
      <c r="I1455" s="2">
        <f>F1455 + G1455 - H1455</f>
        <v/>
      </c>
    </row>
    <row r="1456">
      <c r="A1456" t="n">
        <v>3453</v>
      </c>
      <c r="B1456" t="inlineStr">
        <is>
          <t>MAGNO VOLUME</t>
        </is>
      </c>
      <c r="C1456" t="n">
        <v>45</v>
      </c>
      <c r="D1456" t="n">
        <v>64</v>
      </c>
      <c r="E1456" t="n">
        <v>100</v>
      </c>
      <c r="F1456" t="n">
        <v>0</v>
      </c>
      <c r="G1456">
        <f>SUMIF(PRISPELO!B:B, A1456, PRISPELO!G:G)</f>
        <v/>
      </c>
      <c r="H1456">
        <f>SUMIF(ODPIS!B:B, A1456, ODPIS!G:G)</f>
        <v/>
      </c>
      <c r="I1456" s="2">
        <f>F1456 + G1456 - H1456</f>
        <v/>
      </c>
    </row>
    <row r="1457">
      <c r="A1457" t="n">
        <v>3454</v>
      </c>
      <c r="B1457" t="inlineStr">
        <is>
          <t>ROYAL COAT PREMIUM GLOSS</t>
        </is>
      </c>
      <c r="C1457" t="n">
        <v>45</v>
      </c>
      <c r="D1457" t="n">
        <v>64</v>
      </c>
      <c r="E1457" t="n">
        <v>130</v>
      </c>
      <c r="F1457" t="n">
        <v>0</v>
      </c>
      <c r="G1457">
        <f>SUMIF(PRISPELO!B:B, A1457, PRISPELO!G:G)</f>
        <v/>
      </c>
      <c r="H1457">
        <f>SUMIF(ODPIS!B:B, A1457, ODPIS!G:G)</f>
        <v/>
      </c>
      <c r="I1457" s="2">
        <f>F1457 + G1457 - H1457</f>
        <v/>
      </c>
    </row>
    <row r="1458">
      <c r="A1458" t="n">
        <v>3455</v>
      </c>
      <c r="B1458" t="inlineStr">
        <is>
          <t>SIRIO VERMIGLIONE</t>
        </is>
      </c>
      <c r="C1458" t="n">
        <v>70</v>
      </c>
      <c r="D1458" t="n">
        <v>100</v>
      </c>
      <c r="E1458" t="n">
        <v>290</v>
      </c>
      <c r="F1458" t="n">
        <v>0</v>
      </c>
      <c r="G1458">
        <f>SUMIF(PRISPELO!B:B, A1458, PRISPELO!G:G)</f>
        <v/>
      </c>
      <c r="H1458">
        <f>SUMIF(ODPIS!B:B, A1458, ODPIS!G:G)</f>
        <v/>
      </c>
      <c r="I1458" s="2">
        <f>F1458 + G1458 - H1458</f>
        <v/>
      </c>
    </row>
    <row r="1459">
      <c r="A1459" t="n">
        <v>3456</v>
      </c>
      <c r="B1459" t="inlineStr">
        <is>
          <t>SIRIO limone</t>
        </is>
      </c>
      <c r="C1459" t="n">
        <v>70</v>
      </c>
      <c r="D1459" t="n">
        <v>100</v>
      </c>
      <c r="E1459" t="n">
        <v>290</v>
      </c>
      <c r="F1459" t="n">
        <v>0</v>
      </c>
      <c r="G1459">
        <f>SUMIF(PRISPELO!B:B, A1459, PRISPELO!G:G)</f>
        <v/>
      </c>
      <c r="H1459">
        <f>SUMIF(ODPIS!B:B, A1459, ODPIS!G:G)</f>
        <v/>
      </c>
      <c r="I1459" s="2">
        <f>F1459 + G1459 - H1459</f>
        <v/>
      </c>
    </row>
    <row r="1460">
      <c r="A1460" t="n">
        <v>3457</v>
      </c>
      <c r="B1460" t="inlineStr">
        <is>
          <t>IMPACT NATURAL</t>
        </is>
      </c>
      <c r="C1460" t="n">
        <v>90</v>
      </c>
      <c r="D1460" t="n">
        <v>64</v>
      </c>
      <c r="E1460" t="n">
        <v>100</v>
      </c>
      <c r="F1460" t="n">
        <v>0</v>
      </c>
      <c r="G1460">
        <f>SUMIF(PRISPELO!B:B, A1460, PRISPELO!G:G)</f>
        <v/>
      </c>
      <c r="H1460">
        <f>SUMIF(ODPIS!B:B, A1460, ODPIS!G:G)</f>
        <v/>
      </c>
      <c r="I1460" s="2">
        <f>F1460 + G1460 - H1460</f>
        <v/>
      </c>
    </row>
    <row r="1461">
      <c r="A1461" t="n">
        <v>3458</v>
      </c>
      <c r="B1461" t="inlineStr">
        <is>
          <t>OFFSET PREPRINT</t>
        </is>
      </c>
      <c r="C1461" t="n">
        <v>46</v>
      </c>
      <c r="D1461" t="n">
        <v>64</v>
      </c>
      <c r="E1461" t="n">
        <v>100</v>
      </c>
      <c r="F1461" t="n">
        <v>0</v>
      </c>
      <c r="G1461">
        <f>SUMIF(PRISPELO!B:B, A1461, PRISPELO!G:G)</f>
        <v/>
      </c>
      <c r="H1461">
        <f>SUMIF(ODPIS!B:B, A1461, ODPIS!G:G)</f>
        <v/>
      </c>
      <c r="I1461" s="2">
        <f>F1461 + G1461 - H1461</f>
        <v/>
      </c>
    </row>
    <row r="1462">
      <c r="A1462" t="n">
        <v>3459</v>
      </c>
      <c r="B1462" t="inlineStr">
        <is>
          <t>PERMANENT PLAIN</t>
        </is>
      </c>
      <c r="C1462" t="n">
        <v>50</v>
      </c>
      <c r="D1462" t="n">
        <v>70</v>
      </c>
      <c r="E1462" t="n">
        <v>85</v>
      </c>
      <c r="F1462" t="n">
        <v>0</v>
      </c>
      <c r="G1462">
        <f>SUMIF(PRISPELO!B:B, A1462, PRISPELO!G:G)</f>
        <v/>
      </c>
      <c r="H1462">
        <f>SUMIF(ODPIS!B:B, A1462, ODPIS!G:G)</f>
        <v/>
      </c>
      <c r="I1462" s="2">
        <f>F1462 + G1462 - H1462</f>
        <v/>
      </c>
    </row>
    <row r="1463">
      <c r="A1463" t="n">
        <v>3460</v>
      </c>
      <c r="B1463" t="inlineStr">
        <is>
          <t>METSABOARD PRIME SATIN</t>
        </is>
      </c>
      <c r="C1463" t="n">
        <v>70</v>
      </c>
      <c r="D1463" t="n">
        <v>100</v>
      </c>
      <c r="E1463" t="n">
        <v>355</v>
      </c>
      <c r="F1463" t="n">
        <v>0</v>
      </c>
      <c r="G1463">
        <f>SUMIF(PRISPELO!B:B, A1463, PRISPELO!G:G)</f>
        <v/>
      </c>
      <c r="H1463">
        <f>SUMIF(ODPIS!B:B, A1463, ODPIS!G:G)</f>
        <v/>
      </c>
      <c r="I1463" s="2">
        <f>F1463 + G1463 - H1463</f>
        <v/>
      </c>
    </row>
    <row r="1464">
      <c r="A1464" t="n">
        <v>3999</v>
      </c>
      <c r="B1464" t="inlineStr">
        <is>
          <t>Gardagloss</t>
        </is>
      </c>
      <c r="C1464" t="n">
        <v>51.8</v>
      </c>
      <c r="D1464" t="n">
        <v>22.8</v>
      </c>
      <c r="E1464" t="n">
        <v>130</v>
      </c>
      <c r="F1464" t="n">
        <v>0</v>
      </c>
      <c r="G1464">
        <f>SUMIF(PRISPELO!B:B, A1464, PRISPELO!G:G)</f>
        <v/>
      </c>
      <c r="H1464">
        <f>SUMIF(ODPIS!B:B, A1464, ODPIS!G:G)</f>
        <v/>
      </c>
      <c r="I1464" s="2">
        <f>F1464 + G1464 - H1464</f>
        <v/>
      </c>
    </row>
    <row r="1465">
      <c r="A1465" t="n">
        <v>3461</v>
      </c>
      <c r="B1465" t="inlineStr">
        <is>
          <t>RIVES TRADITION</t>
        </is>
      </c>
      <c r="C1465" t="n">
        <v>70</v>
      </c>
      <c r="D1465" t="n">
        <v>100</v>
      </c>
      <c r="E1465" t="n">
        <v>250</v>
      </c>
      <c r="F1465" t="n">
        <v>0</v>
      </c>
      <c r="G1465">
        <f>SUMIF(PRISPELO!B:B, A1465, PRISPELO!G:G)</f>
        <v/>
      </c>
      <c r="H1465">
        <f>SUMIF(ODPIS!B:B, A1465, ODPIS!G:G)</f>
        <v/>
      </c>
      <c r="I1465" s="2">
        <f>F1465 + G1465 - H1465</f>
        <v/>
      </c>
    </row>
    <row r="1466">
      <c r="A1466" t="n">
        <v>3462</v>
      </c>
      <c r="B1466" t="inlineStr">
        <is>
          <t>RIVES TRADITION</t>
        </is>
      </c>
      <c r="C1466" t="n">
        <v>70</v>
      </c>
      <c r="D1466" t="n">
        <v>100</v>
      </c>
      <c r="E1466" t="n">
        <v>170</v>
      </c>
      <c r="F1466" t="n">
        <v>0</v>
      </c>
      <c r="G1466">
        <f>SUMIF(PRISPELO!B:B, A1466, PRISPELO!G:G)</f>
        <v/>
      </c>
      <c r="H1466">
        <f>SUMIF(ODPIS!B:B, A1466, ODPIS!G:G)</f>
        <v/>
      </c>
      <c r="I1466" s="2">
        <f>F1466 + G1466 - H1466</f>
        <v/>
      </c>
    </row>
    <row r="1467">
      <c r="A1467" t="n">
        <v>3464</v>
      </c>
      <c r="B1467" t="inlineStr">
        <is>
          <t>IMPACT NATURAL</t>
        </is>
      </c>
      <c r="C1467" t="n">
        <v>70</v>
      </c>
      <c r="D1467" t="n">
        <v>100</v>
      </c>
      <c r="E1467" t="n">
        <v>80</v>
      </c>
      <c r="F1467" t="n">
        <v>0</v>
      </c>
      <c r="G1467">
        <f>SUMIF(PRISPELO!B:B, A1467, PRISPELO!G:G)</f>
        <v/>
      </c>
      <c r="H1467">
        <f>SUMIF(ODPIS!B:B, A1467, ODPIS!G:G)</f>
        <v/>
      </c>
      <c r="I1467" s="2">
        <f>F1467 + G1467 - H1467</f>
        <v/>
      </c>
    </row>
    <row r="1468">
      <c r="A1468" t="n">
        <v>3465</v>
      </c>
      <c r="B1468" t="inlineStr">
        <is>
          <t>Garda gloss</t>
        </is>
      </c>
      <c r="C1468" t="n">
        <v>65</v>
      </c>
      <c r="D1468" t="n">
        <v>52</v>
      </c>
      <c r="E1468" t="n">
        <v>135</v>
      </c>
      <c r="F1468" t="n">
        <v>0</v>
      </c>
      <c r="G1468">
        <f>SUMIF(PRISPELO!B:B, A1468, PRISPELO!G:G)</f>
        <v/>
      </c>
      <c r="H1468">
        <f>SUMIF(ODPIS!B:B, A1468, ODPIS!G:G)</f>
        <v/>
      </c>
      <c r="I1468" s="2">
        <f>F1468 + G1468 - H1468</f>
        <v/>
      </c>
    </row>
    <row r="1469">
      <c r="A1469" t="n">
        <v>3466</v>
      </c>
      <c r="B1469" t="inlineStr">
        <is>
          <t>IQ COLOR CORAL RED</t>
        </is>
      </c>
      <c r="C1469" t="n">
        <v>70</v>
      </c>
      <c r="D1469" t="n">
        <v>100</v>
      </c>
      <c r="E1469" t="n">
        <v>160</v>
      </c>
      <c r="F1469" t="n">
        <v>0</v>
      </c>
      <c r="G1469">
        <f>SUMIF(PRISPELO!B:B, A1469, PRISPELO!G:G)</f>
        <v/>
      </c>
      <c r="H1469">
        <f>SUMIF(ODPIS!B:B, A1469, ODPIS!G:G)</f>
        <v/>
      </c>
      <c r="I1469" s="2">
        <f>F1469 + G1469 - H1469</f>
        <v/>
      </c>
    </row>
    <row r="1470">
      <c r="A1470" t="n">
        <v>3468</v>
      </c>
      <c r="B1470" t="inlineStr">
        <is>
          <t>NIVEUS COLOR CREAM</t>
        </is>
      </c>
      <c r="C1470" t="n">
        <v>92</v>
      </c>
      <c r="D1470" t="n">
        <v>65</v>
      </c>
      <c r="E1470" t="n">
        <v>160</v>
      </c>
      <c r="F1470" t="n">
        <v>0</v>
      </c>
      <c r="G1470">
        <f>SUMIF(PRISPELO!B:B, A1470, PRISPELO!G:G)</f>
        <v/>
      </c>
      <c r="H1470">
        <f>SUMIF(ODPIS!B:B, A1470, ODPIS!G:G)</f>
        <v/>
      </c>
      <c r="I1470" s="2">
        <f>F1470 + G1470 - H1470</f>
        <v/>
      </c>
    </row>
    <row r="1471">
      <c r="A1471" t="n">
        <v>3469</v>
      </c>
      <c r="B1471" t="inlineStr">
        <is>
          <t>MAGNO NATURAL</t>
        </is>
      </c>
      <c r="C1471" t="n">
        <v>46</v>
      </c>
      <c r="D1471" t="n">
        <v>66</v>
      </c>
      <c r="E1471" t="n">
        <v>170</v>
      </c>
      <c r="F1471" t="n">
        <v>0</v>
      </c>
      <c r="G1471">
        <f>SUMIF(PRISPELO!B:B, A1471, PRISPELO!G:G)</f>
        <v/>
      </c>
      <c r="H1471">
        <f>SUMIF(ODPIS!B:B, A1471, ODPIS!G:G)</f>
        <v/>
      </c>
      <c r="I1471" s="2">
        <f>F1471 + G1471 - H1471</f>
        <v/>
      </c>
    </row>
    <row r="1472">
      <c r="A1472" t="n">
        <v>3471</v>
      </c>
      <c r="B1472" t="inlineStr">
        <is>
          <t>MAGNO NATURAL</t>
        </is>
      </c>
      <c r="C1472" t="n">
        <v>65</v>
      </c>
      <c r="D1472" t="n">
        <v>42</v>
      </c>
      <c r="E1472" t="n">
        <v>90</v>
      </c>
      <c r="F1472" t="n">
        <v>0</v>
      </c>
      <c r="G1472">
        <f>SUMIF(PRISPELO!B:B, A1472, PRISPELO!G:G)</f>
        <v/>
      </c>
      <c r="H1472">
        <f>SUMIF(ODPIS!B:B, A1472, ODPIS!G:G)</f>
        <v/>
      </c>
      <c r="I1472" s="2">
        <f>F1472 + G1472 - H1472</f>
        <v/>
      </c>
    </row>
    <row r="1473">
      <c r="A1473" t="n">
        <v>3472</v>
      </c>
      <c r="B1473" t="inlineStr">
        <is>
          <t>MAGNO SATIN</t>
        </is>
      </c>
      <c r="C1473" t="n">
        <v>72</v>
      </c>
      <c r="D1473" t="n">
        <v>102</v>
      </c>
      <c r="E1473" t="n">
        <v>115</v>
      </c>
      <c r="F1473" t="n">
        <v>0</v>
      </c>
      <c r="G1473">
        <f>SUMIF(PRISPELO!B:B, A1473, PRISPELO!G:G)</f>
        <v/>
      </c>
      <c r="H1473">
        <f>SUMIF(ODPIS!B:B, A1473, ODPIS!G:G)</f>
        <v/>
      </c>
      <c r="I1473" s="2">
        <f>F1473 + G1473 - H1473</f>
        <v/>
      </c>
    </row>
    <row r="1474">
      <c r="A1474" t="n">
        <v>3473</v>
      </c>
      <c r="B1474" t="inlineStr">
        <is>
          <t>SYBOL F-SATIN PW</t>
        </is>
      </c>
      <c r="C1474" t="n">
        <v>70</v>
      </c>
      <c r="D1474" t="n">
        <v>100</v>
      </c>
      <c r="E1474" t="n">
        <v>115</v>
      </c>
      <c r="F1474" t="n">
        <v>0</v>
      </c>
      <c r="G1474">
        <f>SUMIF(PRISPELO!B:B, A1474, PRISPELO!G:G)</f>
        <v/>
      </c>
      <c r="H1474">
        <f>SUMIF(ODPIS!B:B, A1474, ODPIS!G:G)</f>
        <v/>
      </c>
      <c r="I1474" s="2">
        <f>F1474 + G1474 - H1474</f>
        <v/>
      </c>
    </row>
    <row r="1475">
      <c r="A1475" t="n">
        <v>3477</v>
      </c>
      <c r="B1475" t="inlineStr">
        <is>
          <t>AMBER GRAPHIC</t>
        </is>
      </c>
      <c r="C1475" t="n">
        <v>100</v>
      </c>
      <c r="D1475" t="n">
        <v>70</v>
      </c>
      <c r="E1475" t="n">
        <v>120</v>
      </c>
      <c r="F1475" t="n">
        <v>0</v>
      </c>
      <c r="G1475">
        <f>SUMIF(PRISPELO!B:B, A1475, PRISPELO!G:G)</f>
        <v/>
      </c>
      <c r="H1475">
        <f>SUMIF(ODPIS!B:B, A1475, ODPIS!G:G)</f>
        <v/>
      </c>
      <c r="I1475" s="2">
        <f>F1475 + G1475 - H1475</f>
        <v/>
      </c>
    </row>
    <row r="1476">
      <c r="A1476" t="n">
        <v>3478</v>
      </c>
      <c r="B1476" t="inlineStr">
        <is>
          <t>ROYALCOAT PREMIUM GLOSS</t>
        </is>
      </c>
      <c r="C1476" t="n">
        <v>70</v>
      </c>
      <c r="D1476" t="n">
        <v>100</v>
      </c>
      <c r="E1476" t="n">
        <v>115</v>
      </c>
      <c r="F1476" t="n">
        <v>0</v>
      </c>
      <c r="G1476">
        <f>SUMIF(PRISPELO!B:B, A1476, PRISPELO!G:G)</f>
        <v/>
      </c>
      <c r="H1476">
        <f>SUMIF(ODPIS!B:B, A1476, ODPIS!G:G)</f>
        <v/>
      </c>
      <c r="I1476" s="2">
        <f>F1476 + G1476 - H1476</f>
        <v/>
      </c>
    </row>
    <row r="1477">
      <c r="A1477" t="n">
        <v>3479</v>
      </c>
      <c r="B1477" t="inlineStr">
        <is>
          <t>SYMBOL F-GLOSS</t>
        </is>
      </c>
      <c r="C1477" t="n">
        <v>50</v>
      </c>
      <c r="D1477" t="n">
        <v>70</v>
      </c>
      <c r="E1477" t="n">
        <v>200</v>
      </c>
      <c r="F1477" t="n">
        <v>0</v>
      </c>
      <c r="G1477">
        <f>SUMIF(PRISPELO!B:B, A1477, PRISPELO!G:G)</f>
        <v/>
      </c>
      <c r="H1477">
        <f>SUMIF(ODPIS!B:B, A1477, ODPIS!G:G)</f>
        <v/>
      </c>
      <c r="I1477" s="2">
        <f>F1477 + G1477 - H1477</f>
        <v/>
      </c>
    </row>
    <row r="1478">
      <c r="A1478" t="n">
        <v>3480</v>
      </c>
      <c r="B1478" t="inlineStr">
        <is>
          <t>RAFLACOAT BOARD (GLOSS)</t>
        </is>
      </c>
      <c r="C1478" t="n">
        <v>50</v>
      </c>
      <c r="D1478" t="n">
        <v>70</v>
      </c>
      <c r="E1478" t="n">
        <v>170</v>
      </c>
      <c r="F1478" t="n">
        <v>0</v>
      </c>
      <c r="G1478">
        <f>SUMIF(PRISPELO!B:B, A1478, PRISPELO!G:G)</f>
        <v/>
      </c>
      <c r="H1478">
        <f>SUMIF(ODPIS!B:B, A1478, ODPIS!G:G)</f>
        <v/>
      </c>
      <c r="I1478" s="2">
        <f>F1478 + G1478 - H1478</f>
        <v/>
      </c>
    </row>
    <row r="1479">
      <c r="A1479" t="n">
        <v>3482</v>
      </c>
      <c r="B1479" t="inlineStr">
        <is>
          <t>PERIGORD MATT 1.1</t>
        </is>
      </c>
      <c r="C1479" t="n">
        <v>90</v>
      </c>
      <c r="D1479" t="n">
        <v>64</v>
      </c>
      <c r="E1479" t="n">
        <v>150</v>
      </c>
      <c r="F1479" t="n">
        <v>0</v>
      </c>
      <c r="G1479">
        <f>SUMIF(PRISPELO!B:B, A1479, PRISPELO!G:G)</f>
        <v/>
      </c>
      <c r="H1479">
        <f>SUMIF(ODPIS!B:B, A1479, ODPIS!G:G)</f>
        <v/>
      </c>
      <c r="I1479" s="2">
        <f>F1479 + G1479 - H1479</f>
        <v/>
      </c>
    </row>
    <row r="1480">
      <c r="A1480" t="n">
        <v>3483</v>
      </c>
      <c r="B1480" t="inlineStr">
        <is>
          <t>ROYALCOAT PREMIUM GLOSS</t>
        </is>
      </c>
      <c r="C1480" t="n">
        <v>90</v>
      </c>
      <c r="D1480" t="n">
        <v>64</v>
      </c>
      <c r="E1480" t="n">
        <v>200</v>
      </c>
      <c r="F1480" t="n">
        <v>0</v>
      </c>
      <c r="G1480">
        <f>SUMIF(PRISPELO!B:B, A1480, PRISPELO!G:G)</f>
        <v/>
      </c>
      <c r="H1480">
        <f>SUMIF(ODPIS!B:B, A1480, ODPIS!G:G)</f>
        <v/>
      </c>
      <c r="I1480" s="2">
        <f>F1480 + G1480 - H1480</f>
        <v/>
      </c>
    </row>
    <row r="1481">
      <c r="A1481" t="n">
        <v>3484</v>
      </c>
      <c r="B1481" t="inlineStr">
        <is>
          <t>ROYALCOAT PREMIUM SILK</t>
        </is>
      </c>
      <c r="C1481" t="n">
        <v>72</v>
      </c>
      <c r="D1481" t="n">
        <v>102</v>
      </c>
      <c r="E1481" t="n">
        <v>130</v>
      </c>
      <c r="F1481" t="n">
        <v>0</v>
      </c>
      <c r="G1481">
        <f>SUMIF(PRISPELO!B:B, A1481, PRISPELO!G:G)</f>
        <v/>
      </c>
      <c r="H1481">
        <f>SUMIF(ODPIS!B:B, A1481, ODPIS!G:G)</f>
        <v/>
      </c>
      <c r="I1481" s="2">
        <f>F1481 + G1481 - H1481</f>
        <v/>
      </c>
    </row>
    <row r="1482">
      <c r="A1482" t="n">
        <v>3485</v>
      </c>
      <c r="B1482" t="inlineStr">
        <is>
          <t>METSABOARD PRIME</t>
        </is>
      </c>
      <c r="C1482" t="n">
        <v>71</v>
      </c>
      <c r="D1482" t="n">
        <v>101</v>
      </c>
      <c r="E1482" t="n">
        <v>255</v>
      </c>
      <c r="F1482" t="n">
        <v>0</v>
      </c>
      <c r="G1482">
        <f>SUMIF(PRISPELO!B:B, A1482, PRISPELO!G:G)</f>
        <v/>
      </c>
      <c r="H1482">
        <f>SUMIF(ODPIS!B:B, A1482, ODPIS!G:G)</f>
        <v/>
      </c>
      <c r="I1482" s="2">
        <f>F1482 + G1482 - H1482</f>
        <v/>
      </c>
    </row>
    <row r="1483">
      <c r="A1483" t="n">
        <v>3486</v>
      </c>
      <c r="B1483" t="inlineStr">
        <is>
          <t>LUMIART GLOSS</t>
        </is>
      </c>
      <c r="C1483" t="n">
        <v>100</v>
      </c>
      <c r="D1483" t="n">
        <v>70</v>
      </c>
      <c r="E1483" t="n">
        <v>300</v>
      </c>
      <c r="F1483" t="n">
        <v>0</v>
      </c>
      <c r="G1483">
        <f>SUMIF(PRISPELO!B:B, A1483, PRISPELO!G:G)</f>
        <v/>
      </c>
      <c r="H1483">
        <f>SUMIF(ODPIS!B:B, A1483, ODPIS!G:G)</f>
        <v/>
      </c>
      <c r="I1483" s="2">
        <f>F1483 + G1483 - H1483</f>
        <v/>
      </c>
    </row>
    <row r="1484">
      <c r="A1484" t="n">
        <v>3488</v>
      </c>
      <c r="B1484" t="inlineStr">
        <is>
          <t>NIVIS NEXT MATT</t>
        </is>
      </c>
      <c r="C1484" t="n">
        <v>64</v>
      </c>
      <c r="D1484" t="n">
        <v>48</v>
      </c>
      <c r="E1484" t="n">
        <v>200</v>
      </c>
      <c r="F1484" t="n">
        <v>0</v>
      </c>
      <c r="G1484">
        <f>SUMIF(PRISPELO!B:B, A1484, PRISPELO!G:G)</f>
        <v/>
      </c>
      <c r="H1484">
        <f>SUMIF(ODPIS!B:B, A1484, ODPIS!G:G)</f>
        <v/>
      </c>
      <c r="I1484" s="2">
        <f>F1484 + G1484 - H1484</f>
        <v/>
      </c>
    </row>
    <row r="1485">
      <c r="A1485" t="n">
        <v>3489</v>
      </c>
      <c r="B1485" t="inlineStr">
        <is>
          <t>Magno Natural</t>
        </is>
      </c>
      <c r="C1485" t="n">
        <v>45</v>
      </c>
      <c r="D1485" t="n">
        <v>64</v>
      </c>
      <c r="E1485" t="n">
        <v>80</v>
      </c>
      <c r="F1485" t="n">
        <v>0</v>
      </c>
      <c r="G1485">
        <f>SUMIF(PRISPELO!B:B, A1485, PRISPELO!G:G)</f>
        <v/>
      </c>
      <c r="H1485">
        <f>SUMIF(ODPIS!B:B, A1485, ODPIS!G:G)</f>
        <v/>
      </c>
      <c r="I1485" s="2">
        <f>F1485 + G1485 - H1485</f>
        <v/>
      </c>
    </row>
    <row r="1486">
      <c r="A1486" t="n">
        <v>3490</v>
      </c>
      <c r="B1486" t="inlineStr">
        <is>
          <t>NIVIS NEXT MATT</t>
        </is>
      </c>
      <c r="C1486" t="n">
        <v>45</v>
      </c>
      <c r="D1486" t="n">
        <v>64</v>
      </c>
      <c r="E1486" t="n">
        <v>100</v>
      </c>
      <c r="F1486" t="n">
        <v>0</v>
      </c>
      <c r="G1486">
        <f>SUMIF(PRISPELO!B:B, A1486, PRISPELO!G:G)</f>
        <v/>
      </c>
      <c r="H1486">
        <f>SUMIF(ODPIS!B:B, A1486, ODPIS!G:G)</f>
        <v/>
      </c>
      <c r="I1486" s="2">
        <f>F1486 + G1486 - H1486</f>
        <v/>
      </c>
    </row>
    <row r="1487">
      <c r="A1487" t="n">
        <v>4118</v>
      </c>
      <c r="B1487" t="inlineStr">
        <is>
          <t>KUVERTA A23 BD SI</t>
        </is>
      </c>
      <c r="C1487" t="n">
        <v>11</v>
      </c>
      <c r="D1487" t="n">
        <v>23</v>
      </c>
      <c r="E1487" t="n">
        <v>80</v>
      </c>
      <c r="F1487" t="n">
        <v>0</v>
      </c>
      <c r="G1487">
        <f>SUMIF(PRISPELO!B:B, A1487, PRISPELO!G:G)</f>
        <v/>
      </c>
      <c r="H1487">
        <f>SUMIF(ODPIS!B:B, A1487, ODPIS!G:G)</f>
        <v/>
      </c>
      <c r="I1487" s="2">
        <f>F1487 + G1487 - H1487</f>
        <v/>
      </c>
    </row>
    <row r="1488">
      <c r="A1488" t="n">
        <v>3491</v>
      </c>
      <c r="B1488" t="inlineStr">
        <is>
          <t>NOVATECH SATIN</t>
        </is>
      </c>
      <c r="C1488" t="n">
        <v>45</v>
      </c>
      <c r="D1488" t="n">
        <v>64</v>
      </c>
      <c r="E1488" t="n">
        <v>100</v>
      </c>
      <c r="F1488" t="n">
        <v>0</v>
      </c>
      <c r="G1488">
        <f>SUMIF(PRISPELO!B:B, A1488, PRISPELO!G:G)</f>
        <v/>
      </c>
      <c r="H1488">
        <f>SUMIF(ODPIS!B:B, A1488, ODPIS!G:G)</f>
        <v/>
      </c>
      <c r="I1488" s="2">
        <f>F1488 + G1488 - H1488</f>
        <v/>
      </c>
    </row>
    <row r="1489">
      <c r="A1489" t="n">
        <v>3492</v>
      </c>
      <c r="B1489" t="inlineStr">
        <is>
          <t>SYMBLO Freelife Satin</t>
        </is>
      </c>
      <c r="C1489" t="n">
        <v>50</v>
      </c>
      <c r="D1489" t="n">
        <v>70</v>
      </c>
      <c r="E1489" t="n">
        <v>115</v>
      </c>
      <c r="F1489" t="n">
        <v>0</v>
      </c>
      <c r="G1489">
        <f>SUMIF(PRISPELO!B:B, A1489, PRISPELO!G:G)</f>
        <v/>
      </c>
      <c r="H1489">
        <f>SUMIF(ODPIS!B:B, A1489, ODPIS!G:G)</f>
        <v/>
      </c>
      <c r="I1489" s="2">
        <f>F1489 + G1489 - H1489</f>
        <v/>
      </c>
    </row>
    <row r="1490">
      <c r="A1490" t="n">
        <v>3493</v>
      </c>
      <c r="B1490" t="inlineStr">
        <is>
          <t>ROYAL Coat Silk</t>
        </is>
      </c>
      <c r="C1490" t="n">
        <v>63.8</v>
      </c>
      <c r="D1490" t="n">
        <v>44.8</v>
      </c>
      <c r="E1490" t="n">
        <v>350</v>
      </c>
      <c r="F1490" t="n">
        <v>0</v>
      </c>
      <c r="G1490">
        <f>SUMIF(PRISPELO!B:B, A1490, PRISPELO!G:G)</f>
        <v/>
      </c>
      <c r="H1490">
        <f>SUMIF(ODPIS!B:B, A1490, ODPIS!G:G)</f>
        <v/>
      </c>
      <c r="I1490" s="2">
        <f>F1490 + G1490 - H1490</f>
        <v/>
      </c>
    </row>
    <row r="1491">
      <c r="A1491" t="n">
        <v>3494</v>
      </c>
      <c r="B1491" t="inlineStr">
        <is>
          <t>GARDA PATT</t>
        </is>
      </c>
      <c r="C1491" t="n">
        <v>69.8</v>
      </c>
      <c r="D1491" t="n">
        <v>49.8</v>
      </c>
      <c r="E1491" t="n">
        <v>115</v>
      </c>
      <c r="F1491" t="n">
        <v>0</v>
      </c>
      <c r="G1491">
        <f>SUMIF(PRISPELO!B:B, A1491, PRISPELO!G:G)</f>
        <v/>
      </c>
      <c r="H1491">
        <f>SUMIF(ODPIS!B:B, A1491, ODPIS!G:G)</f>
        <v/>
      </c>
      <c r="I1491" s="2">
        <f>F1491 + G1491 - H1491</f>
        <v/>
      </c>
    </row>
    <row r="1492">
      <c r="A1492" t="n">
        <v>3495</v>
      </c>
      <c r="B1492" t="inlineStr">
        <is>
          <t>GARDA MATT</t>
        </is>
      </c>
      <c r="C1492" t="n">
        <v>69.8</v>
      </c>
      <c r="D1492" t="n">
        <v>47.8</v>
      </c>
      <c r="E1492" t="n">
        <v>200</v>
      </c>
      <c r="F1492" t="n">
        <v>0</v>
      </c>
      <c r="G1492">
        <f>SUMIF(PRISPELO!B:B, A1492, PRISPELO!G:G)</f>
        <v/>
      </c>
      <c r="H1492">
        <f>SUMIF(ODPIS!B:B, A1492, ODPIS!G:G)</f>
        <v/>
      </c>
      <c r="I1492" s="2">
        <f>F1492 + G1492 - H1492</f>
        <v/>
      </c>
    </row>
    <row r="1493">
      <c r="A1493" t="n">
        <v>3496</v>
      </c>
      <c r="B1493" t="inlineStr">
        <is>
          <t>PRINTA</t>
        </is>
      </c>
      <c r="C1493" t="n">
        <v>69.8</v>
      </c>
      <c r="D1493" t="n">
        <v>49.8</v>
      </c>
      <c r="E1493" t="n">
        <v>250</v>
      </c>
      <c r="F1493" t="n">
        <v>0</v>
      </c>
      <c r="G1493">
        <f>SUMIF(PRISPELO!B:B, A1493, PRISPELO!G:G)</f>
        <v/>
      </c>
      <c r="H1493">
        <f>SUMIF(ODPIS!B:B, A1493, ODPIS!G:G)</f>
        <v/>
      </c>
      <c r="I1493" s="2">
        <f>F1493 + G1493 - H1493</f>
        <v/>
      </c>
    </row>
    <row r="1494">
      <c r="A1494" t="n">
        <v>3497</v>
      </c>
      <c r="B1494" t="inlineStr">
        <is>
          <t>IQ PRINT</t>
        </is>
      </c>
      <c r="C1494" t="n">
        <v>43</v>
      </c>
      <c r="D1494" t="n">
        <v>73</v>
      </c>
      <c r="E1494" t="n">
        <v>80</v>
      </c>
      <c r="F1494" t="n">
        <v>0</v>
      </c>
      <c r="G1494">
        <f>SUMIF(PRISPELO!B:B, A1494, PRISPELO!G:G)</f>
        <v/>
      </c>
      <c r="H1494">
        <f>SUMIF(ODPIS!B:B, A1494, ODPIS!G:G)</f>
        <v/>
      </c>
      <c r="I1494" s="2">
        <f>F1494 + G1494 - H1494</f>
        <v/>
      </c>
    </row>
    <row r="1495">
      <c r="A1495" t="n">
        <v>3498</v>
      </c>
      <c r="B1495" t="inlineStr">
        <is>
          <t>AMBER GRAPHIC</t>
        </is>
      </c>
      <c r="C1495" t="n">
        <v>70</v>
      </c>
      <c r="D1495" t="n">
        <v>100</v>
      </c>
      <c r="E1495" t="n">
        <v>120</v>
      </c>
      <c r="F1495" t="n">
        <v>0</v>
      </c>
      <c r="G1495">
        <f>SUMIF(PRISPELO!B:B, A1495, PRISPELO!G:G)</f>
        <v/>
      </c>
      <c r="H1495">
        <f>SUMIF(ODPIS!B:B, A1495, ODPIS!G:G)</f>
        <v/>
      </c>
      <c r="I1495" s="2">
        <f>F1495 + G1495 - H1495</f>
        <v/>
      </c>
    </row>
    <row r="1496">
      <c r="A1496" t="n">
        <v>3499</v>
      </c>
      <c r="B1496" t="inlineStr">
        <is>
          <t>MULTICOLOR</t>
        </is>
      </c>
      <c r="C1496" t="n">
        <v>71</v>
      </c>
      <c r="D1496" t="n">
        <v>101</v>
      </c>
      <c r="E1496" t="n">
        <v>550</v>
      </c>
      <c r="F1496" t="n">
        <v>0</v>
      </c>
      <c r="G1496">
        <f>SUMIF(PRISPELO!B:B, A1496, PRISPELO!G:G)</f>
        <v/>
      </c>
      <c r="H1496">
        <f>SUMIF(ODPIS!B:B, A1496, ODPIS!G:G)</f>
        <v/>
      </c>
      <c r="I1496" s="2">
        <f>F1496 + G1496 - H1496</f>
        <v/>
      </c>
    </row>
    <row r="1497">
      <c r="A1497" t="n">
        <v>3500</v>
      </c>
      <c r="B1497" t="inlineStr">
        <is>
          <t>SAMOLEPILNI VELLUM 135 PODLAGA</t>
        </is>
      </c>
      <c r="C1497" t="n">
        <v>50</v>
      </c>
      <c r="D1497" t="n">
        <v>70</v>
      </c>
      <c r="E1497" t="n">
        <v>0</v>
      </c>
      <c r="F1497" t="n">
        <v>0</v>
      </c>
      <c r="G1497">
        <f>SUMIF(PRISPELO!B:B, A1497, PRISPELO!G:G)</f>
        <v/>
      </c>
      <c r="H1497">
        <f>SUMIF(ODPIS!B:B, A1497, ODPIS!G:G)</f>
        <v/>
      </c>
      <c r="I1497" s="2">
        <f>F1497 + G1497 - H1497</f>
        <v/>
      </c>
    </row>
    <row r="1498">
      <c r="A1498" t="n">
        <v>3501</v>
      </c>
      <c r="B1498" t="inlineStr">
        <is>
          <t>SAMOLEPILNI FASSON GLOS</t>
        </is>
      </c>
      <c r="C1498" t="n">
        <v>50</v>
      </c>
      <c r="D1498" t="n">
        <v>70</v>
      </c>
      <c r="E1498" t="n">
        <v>0</v>
      </c>
      <c r="F1498" t="n">
        <v>0</v>
      </c>
      <c r="G1498">
        <f>SUMIF(PRISPELO!B:B, A1498, PRISPELO!G:G)</f>
        <v/>
      </c>
      <c r="H1498">
        <f>SUMIF(ODPIS!B:B, A1498, ODPIS!G:G)</f>
        <v/>
      </c>
      <c r="I1498" s="2">
        <f>F1498 + G1498 - H1498</f>
        <v/>
      </c>
    </row>
    <row r="1499">
      <c r="A1499" t="n">
        <v>3502</v>
      </c>
      <c r="B1499" t="inlineStr">
        <is>
          <t>SAMO.LEP.VELLUX FSC PERMANENT</t>
        </is>
      </c>
      <c r="C1499" t="n">
        <v>50</v>
      </c>
      <c r="D1499" t="n">
        <v>70</v>
      </c>
      <c r="E1499" t="n">
        <v>0</v>
      </c>
      <c r="F1499" t="n">
        <v>0</v>
      </c>
      <c r="G1499">
        <f>SUMIF(PRISPELO!B:B, A1499, PRISPELO!G:G)</f>
        <v/>
      </c>
      <c r="H1499">
        <f>SUMIF(ODPIS!B:B, A1499, ODPIS!G:G)</f>
        <v/>
      </c>
      <c r="I1499" s="2">
        <f>F1499 + G1499 - H1499</f>
        <v/>
      </c>
    </row>
    <row r="1500">
      <c r="A1500" t="n">
        <v>3503</v>
      </c>
      <c r="B1500" t="inlineStr">
        <is>
          <t>SAMOLEP. VELUMEXTRA PLU 135g PODL.</t>
        </is>
      </c>
      <c r="C1500" t="n">
        <v>50</v>
      </c>
      <c r="D1500" t="n">
        <v>70</v>
      </c>
      <c r="E1500" t="n">
        <v>135</v>
      </c>
      <c r="F1500" t="n">
        <v>0</v>
      </c>
      <c r="G1500">
        <f>SUMIF(PRISPELO!B:B, A1500, PRISPELO!G:G)</f>
        <v/>
      </c>
      <c r="H1500">
        <f>SUMIF(ODPIS!B:B, A1500, ODPIS!G:G)</f>
        <v/>
      </c>
      <c r="I1500" s="2">
        <f>F1500 + G1500 - H1500</f>
        <v/>
      </c>
    </row>
    <row r="1501">
      <c r="A1501" t="n">
        <v>3504</v>
      </c>
      <c r="B1501" t="inlineStr">
        <is>
          <t>Garda gloss</t>
        </is>
      </c>
      <c r="C1501" t="n">
        <v>100</v>
      </c>
      <c r="D1501" t="n">
        <v>70</v>
      </c>
      <c r="E1501" t="n">
        <v>115</v>
      </c>
      <c r="F1501" t="n">
        <v>0</v>
      </c>
      <c r="G1501">
        <f>SUMIF(PRISPELO!B:B, A1501, PRISPELO!G:G)</f>
        <v/>
      </c>
      <c r="H1501">
        <f>SUMIF(ODPIS!B:B, A1501, ODPIS!G:G)</f>
        <v/>
      </c>
      <c r="I1501" s="2">
        <f>F1501 + G1501 - H1501</f>
        <v/>
      </c>
    </row>
    <row r="1502">
      <c r="A1502" t="n">
        <v>3505</v>
      </c>
      <c r="B1502" t="inlineStr">
        <is>
          <t>EOS BLAUWEISS  VOL 2,0</t>
        </is>
      </c>
      <c r="C1502" t="n">
        <v>64</v>
      </c>
      <c r="D1502" t="n">
        <v>90</v>
      </c>
      <c r="E1502" t="n">
        <v>90</v>
      </c>
      <c r="F1502" t="n">
        <v>0</v>
      </c>
      <c r="G1502">
        <f>SUMIF(PRISPELO!B:B, A1502, PRISPELO!G:G)</f>
        <v/>
      </c>
      <c r="H1502">
        <f>SUMIF(ODPIS!B:B, A1502, ODPIS!G:G)</f>
        <v/>
      </c>
      <c r="I1502" s="2">
        <f>F1502 + G1502 - H1502</f>
        <v/>
      </c>
    </row>
    <row r="1503">
      <c r="A1503" t="n">
        <v>3507</v>
      </c>
      <c r="B1503" t="inlineStr">
        <is>
          <t>KUVERTA C5 B.O (TRIKOTNA)</t>
        </is>
      </c>
      <c r="C1503" t="n">
        <v>162</v>
      </c>
      <c r="D1503" t="n">
        <v>229</v>
      </c>
      <c r="E1503" t="n">
        <v>120</v>
      </c>
      <c r="F1503" t="n">
        <v>0</v>
      </c>
      <c r="G1503">
        <f>SUMIF(PRISPELO!B:B, A1503, PRISPELO!G:G)</f>
        <v/>
      </c>
      <c r="H1503">
        <f>SUMIF(ODPIS!B:B, A1503, ODPIS!G:G)</f>
        <v/>
      </c>
      <c r="I1503" s="2">
        <f>F1503 + G1503 - H1503</f>
        <v/>
      </c>
    </row>
    <row r="1504">
      <c r="A1504" t="n">
        <v>3508</v>
      </c>
      <c r="B1504" t="inlineStr">
        <is>
          <t>IQ COLOR YELLOW (RUMEN)</t>
        </is>
      </c>
      <c r="C1504" t="n">
        <v>92</v>
      </c>
      <c r="D1504" t="n">
        <v>65</v>
      </c>
      <c r="E1504" t="n">
        <v>80</v>
      </c>
      <c r="F1504" t="n">
        <v>0</v>
      </c>
      <c r="G1504">
        <f>SUMIF(PRISPELO!B:B, A1504, PRISPELO!G:G)</f>
        <v/>
      </c>
      <c r="H1504">
        <f>SUMIF(ODPIS!B:B, A1504, ODPIS!G:G)</f>
        <v/>
      </c>
      <c r="I1504" s="2">
        <f>F1504 + G1504 - H1504</f>
        <v/>
      </c>
    </row>
    <row r="1505">
      <c r="A1505" t="n">
        <v>3510</v>
      </c>
      <c r="B1505" t="inlineStr">
        <is>
          <t>ROYALCOAT PREMIUM GLOSS</t>
        </is>
      </c>
      <c r="C1505" t="n">
        <v>99.8</v>
      </c>
      <c r="D1505" t="n">
        <v>69.59999999999999</v>
      </c>
      <c r="E1505" t="n">
        <v>200</v>
      </c>
      <c r="F1505" t="n">
        <v>0</v>
      </c>
      <c r="G1505">
        <f>SUMIF(PRISPELO!B:B, A1505, PRISPELO!G:G)</f>
        <v/>
      </c>
      <c r="H1505">
        <f>SUMIF(ODPIS!B:B, A1505, ODPIS!G:G)</f>
        <v/>
      </c>
      <c r="I1505" s="2">
        <f>F1505 + G1505 - H1505</f>
        <v/>
      </c>
    </row>
    <row r="1506">
      <c r="A1506" t="n">
        <v>3511</v>
      </c>
      <c r="B1506" t="inlineStr">
        <is>
          <t>ROYALCOAT PREM. GLOSS</t>
        </is>
      </c>
      <c r="C1506" t="n">
        <v>100</v>
      </c>
      <c r="D1506" t="n">
        <v>70</v>
      </c>
      <c r="E1506" t="n">
        <v>170</v>
      </c>
      <c r="F1506" t="n">
        <v>0</v>
      </c>
      <c r="G1506">
        <f>SUMIF(PRISPELO!B:B, A1506, PRISPELO!G:G)</f>
        <v/>
      </c>
      <c r="H1506">
        <f>SUMIF(ODPIS!B:B, A1506, ODPIS!G:G)</f>
        <v/>
      </c>
      <c r="I1506" s="2">
        <f>F1506 + G1506 - H1506</f>
        <v/>
      </c>
    </row>
    <row r="1507">
      <c r="A1507" t="n">
        <v>3512</v>
      </c>
      <c r="B1507" t="inlineStr">
        <is>
          <t>ROYALCOAT PREMIUM GLOSS</t>
        </is>
      </c>
      <c r="C1507" t="n">
        <v>70</v>
      </c>
      <c r="D1507" t="n">
        <v>100</v>
      </c>
      <c r="E1507" t="n">
        <v>200</v>
      </c>
      <c r="F1507" t="n">
        <v>0</v>
      </c>
      <c r="G1507">
        <f>SUMIF(PRISPELO!B:B, A1507, PRISPELO!G:G)</f>
        <v/>
      </c>
      <c r="H1507">
        <f>SUMIF(ODPIS!B:B, A1507, ODPIS!G:G)</f>
        <v/>
      </c>
      <c r="I1507" s="2">
        <f>F1507 + G1507 - H1507</f>
        <v/>
      </c>
    </row>
    <row r="1508">
      <c r="A1508" t="n">
        <v>3516</v>
      </c>
      <c r="B1508" t="inlineStr">
        <is>
          <t>IQ PRINT</t>
        </is>
      </c>
      <c r="C1508" t="n">
        <v>48</v>
      </c>
      <c r="D1508" t="n">
        <v>65</v>
      </c>
      <c r="E1508" t="n">
        <v>170</v>
      </c>
      <c r="F1508" t="n">
        <v>0</v>
      </c>
      <c r="G1508">
        <f>SUMIF(PRISPELO!B:B, A1508, PRISPELO!G:G)</f>
        <v/>
      </c>
      <c r="H1508">
        <f>SUMIF(ODPIS!B:B, A1508, ODPIS!G:G)</f>
        <v/>
      </c>
      <c r="I1508" s="2">
        <f>F1508 + G1508 - H1508</f>
        <v/>
      </c>
    </row>
    <row r="1509">
      <c r="A1509" t="n">
        <v>3517</v>
      </c>
      <c r="B1509" t="inlineStr">
        <is>
          <t>ROYALCOAT PREM. SILK</t>
        </is>
      </c>
      <c r="C1509" t="n">
        <v>100</v>
      </c>
      <c r="D1509" t="n">
        <v>70</v>
      </c>
      <c r="E1509" t="n">
        <v>350</v>
      </c>
      <c r="F1509" t="n">
        <v>0</v>
      </c>
      <c r="G1509">
        <f>SUMIF(PRISPELO!B:B, A1509, PRISPELO!G:G)</f>
        <v/>
      </c>
      <c r="H1509">
        <f>SUMIF(ODPIS!B:B, A1509, ODPIS!G:G)</f>
        <v/>
      </c>
      <c r="I1509" s="2">
        <f>F1509 + G1509 - H1509</f>
        <v/>
      </c>
    </row>
    <row r="1510">
      <c r="A1510" t="n">
        <v>3518</v>
      </c>
      <c r="B1510" t="inlineStr">
        <is>
          <t>ARCOSET Offset</t>
        </is>
      </c>
      <c r="C1510" t="n">
        <v>70</v>
      </c>
      <c r="D1510" t="n">
        <v>100</v>
      </c>
      <c r="E1510" t="n">
        <v>190</v>
      </c>
      <c r="F1510" t="n">
        <v>0</v>
      </c>
      <c r="G1510">
        <f>SUMIF(PRISPELO!B:B, A1510, PRISPELO!G:G)</f>
        <v/>
      </c>
      <c r="H1510">
        <f>SUMIF(ODPIS!B:B, A1510, ODPIS!G:G)</f>
        <v/>
      </c>
      <c r="I1510" s="2">
        <f>F1510 + G1510 - H1510</f>
        <v/>
      </c>
    </row>
    <row r="1511">
      <c r="A1511" t="n">
        <v>3519</v>
      </c>
      <c r="B1511" t="inlineStr">
        <is>
          <t>QATRO GLOSS</t>
        </is>
      </c>
      <c r="C1511" t="n">
        <v>100</v>
      </c>
      <c r="D1511" t="n">
        <v>70</v>
      </c>
      <c r="E1511" t="n">
        <v>150</v>
      </c>
      <c r="F1511" t="n">
        <v>0</v>
      </c>
      <c r="G1511">
        <f>SUMIF(PRISPELO!B:B, A1511, PRISPELO!G:G)</f>
        <v/>
      </c>
      <c r="H1511">
        <f>SUMIF(ODPIS!B:B, A1511, ODPIS!G:G)</f>
        <v/>
      </c>
      <c r="I1511" s="2">
        <f>F1511 + G1511 - H1511</f>
        <v/>
      </c>
    </row>
    <row r="1512">
      <c r="A1512" t="n">
        <v>3520</v>
      </c>
      <c r="B1512" t="inlineStr">
        <is>
          <t>G-PRINT</t>
        </is>
      </c>
      <c r="C1512" t="n">
        <v>90</v>
      </c>
      <c r="D1512" t="n">
        <v>64</v>
      </c>
      <c r="E1512" t="n">
        <v>250</v>
      </c>
      <c r="F1512" t="n">
        <v>0</v>
      </c>
      <c r="G1512">
        <f>SUMIF(PRISPELO!B:B, A1512, PRISPELO!G:G)</f>
        <v/>
      </c>
      <c r="H1512">
        <f>SUMIF(ODPIS!B:B, A1512, ODPIS!G:G)</f>
        <v/>
      </c>
      <c r="I1512" s="2">
        <f>F1512 + G1512 - H1512</f>
        <v/>
      </c>
    </row>
    <row r="1513">
      <c r="A1513" t="n">
        <v>3521</v>
      </c>
      <c r="B1513" t="inlineStr">
        <is>
          <t>SIRIO WHITE WHITE</t>
        </is>
      </c>
      <c r="C1513" t="n">
        <v>71</v>
      </c>
      <c r="D1513" t="n">
        <v>101</v>
      </c>
      <c r="E1513" t="n">
        <v>280</v>
      </c>
      <c r="F1513" t="n">
        <v>0</v>
      </c>
      <c r="G1513">
        <f>SUMIF(PRISPELO!B:B, A1513, PRISPELO!G:G)</f>
        <v/>
      </c>
      <c r="H1513">
        <f>SUMIF(ODPIS!B:B, A1513, ODPIS!G:G)</f>
        <v/>
      </c>
      <c r="I1513" s="2">
        <f>F1513 + G1513 - H1513</f>
        <v/>
      </c>
    </row>
    <row r="1514">
      <c r="A1514" t="n">
        <v>3522</v>
      </c>
      <c r="B1514" t="inlineStr">
        <is>
          <t>SIRIO WHITE WHITE</t>
        </is>
      </c>
      <c r="C1514" t="n">
        <v>71</v>
      </c>
      <c r="D1514" t="n">
        <v>101</v>
      </c>
      <c r="E1514" t="n">
        <v>170</v>
      </c>
      <c r="F1514" t="n">
        <v>0</v>
      </c>
      <c r="G1514">
        <f>SUMIF(PRISPELO!B:B, A1514, PRISPELO!G:G)</f>
        <v/>
      </c>
      <c r="H1514">
        <f>SUMIF(ODPIS!B:B, A1514, ODPIS!G:G)</f>
        <v/>
      </c>
      <c r="I1514" s="2">
        <f>F1514 + G1514 - H1514</f>
        <v/>
      </c>
    </row>
    <row r="1515">
      <c r="A1515" t="n">
        <v>3523</v>
      </c>
      <c r="B1515" t="inlineStr">
        <is>
          <t>SYMBOL FREELIFE SATIN PW</t>
        </is>
      </c>
      <c r="C1515" t="n">
        <v>70</v>
      </c>
      <c r="D1515" t="n">
        <v>51</v>
      </c>
      <c r="E1515" t="n">
        <v>115</v>
      </c>
      <c r="F1515" t="n">
        <v>0</v>
      </c>
      <c r="G1515">
        <f>SUMIF(PRISPELO!B:B, A1515, PRISPELO!G:G)</f>
        <v/>
      </c>
      <c r="H1515">
        <f>SUMIF(ODPIS!B:B, A1515, ODPIS!G:G)</f>
        <v/>
      </c>
      <c r="I1515" s="2">
        <f>F1515 + G1515 - H1515</f>
        <v/>
      </c>
    </row>
    <row r="1516">
      <c r="A1516" t="n">
        <v>3524</v>
      </c>
      <c r="B1516" t="inlineStr">
        <is>
          <t>IQ SELECTION BOARD</t>
        </is>
      </c>
      <c r="C1516" t="n">
        <v>102</v>
      </c>
      <c r="D1516" t="n">
        <v>72</v>
      </c>
      <c r="E1516" t="n">
        <v>250</v>
      </c>
      <c r="F1516" t="n">
        <v>0</v>
      </c>
      <c r="G1516">
        <f>SUMIF(PRISPELO!B:B, A1516, PRISPELO!G:G)</f>
        <v/>
      </c>
      <c r="H1516">
        <f>SUMIF(ODPIS!B:B, A1516, ODPIS!G:G)</f>
        <v/>
      </c>
      <c r="I1516" s="2">
        <f>F1516 + G1516 - H1516</f>
        <v/>
      </c>
    </row>
    <row r="1517">
      <c r="A1517" t="n">
        <v>3525</v>
      </c>
      <c r="B1517" t="inlineStr">
        <is>
          <t>PRINTA</t>
        </is>
      </c>
      <c r="C1517" t="n">
        <v>101</v>
      </c>
      <c r="D1517" t="n">
        <v>71</v>
      </c>
      <c r="E1517" t="n">
        <v>400</v>
      </c>
      <c r="F1517" t="n">
        <v>0</v>
      </c>
      <c r="G1517">
        <f>SUMIF(PRISPELO!B:B, A1517, PRISPELO!G:G)</f>
        <v/>
      </c>
      <c r="H1517">
        <f>SUMIF(ODPIS!B:B, A1517, ODPIS!G:G)</f>
        <v/>
      </c>
      <c r="I1517" s="2">
        <f>F1517 + G1517 - H1517</f>
        <v/>
      </c>
    </row>
    <row r="1518">
      <c r="A1518" t="n">
        <v>3526</v>
      </c>
      <c r="B1518" t="inlineStr">
        <is>
          <t>LEPENKA 1.0 mm</t>
        </is>
      </c>
      <c r="C1518" t="n">
        <v>70</v>
      </c>
      <c r="D1518" t="n">
        <v>102</v>
      </c>
      <c r="E1518" t="n">
        <v>0</v>
      </c>
      <c r="F1518" t="n">
        <v>0</v>
      </c>
      <c r="G1518">
        <f>SUMIF(PRISPELO!B:B, A1518, PRISPELO!G:G)</f>
        <v/>
      </c>
      <c r="H1518">
        <f>SUMIF(ODPIS!B:B, A1518, ODPIS!G:G)</f>
        <v/>
      </c>
      <c r="I1518" s="2">
        <f>F1518 + G1518 - H1518</f>
        <v/>
      </c>
    </row>
    <row r="1519">
      <c r="A1519" t="n">
        <v>3528</v>
      </c>
      <c r="B1519" t="inlineStr">
        <is>
          <t>TARGET PLUS</t>
        </is>
      </c>
      <c r="C1519" t="n">
        <v>45</v>
      </c>
      <c r="D1519" t="n">
        <v>64</v>
      </c>
      <c r="E1519" t="n">
        <v>90</v>
      </c>
      <c r="F1519" t="n">
        <v>0</v>
      </c>
      <c r="G1519">
        <f>SUMIF(PRISPELO!B:B, A1519, PRISPELO!G:G)</f>
        <v/>
      </c>
      <c r="H1519">
        <f>SUMIF(ODPIS!B:B, A1519, ODPIS!G:G)</f>
        <v/>
      </c>
      <c r="I1519" s="2">
        <f>F1519 + G1519 - H1519</f>
        <v/>
      </c>
    </row>
    <row r="1520">
      <c r="A1520" t="n">
        <v>3529</v>
      </c>
      <c r="B1520" t="inlineStr">
        <is>
          <t>AMBER GRAPHIC</t>
        </is>
      </c>
      <c r="C1520" t="n">
        <v>70</v>
      </c>
      <c r="D1520" t="n">
        <v>100</v>
      </c>
      <c r="E1520" t="n">
        <v>240</v>
      </c>
      <c r="F1520" t="n">
        <v>0</v>
      </c>
      <c r="G1520">
        <f>SUMIF(PRISPELO!B:B, A1520, PRISPELO!G:G)</f>
        <v/>
      </c>
      <c r="H1520">
        <f>SUMIF(ODPIS!B:B, A1520, ODPIS!G:G)</f>
        <v/>
      </c>
      <c r="I1520" s="2">
        <f>F1520 + G1520 - H1520</f>
        <v/>
      </c>
    </row>
    <row r="1521">
      <c r="A1521" t="n">
        <v>3530</v>
      </c>
      <c r="B1521" t="inlineStr">
        <is>
          <t>MATT COATED</t>
        </is>
      </c>
      <c r="C1521" t="n">
        <v>45</v>
      </c>
      <c r="D1521" t="n">
        <v>64</v>
      </c>
      <c r="E1521" t="n">
        <v>90</v>
      </c>
      <c r="F1521" t="n">
        <v>0</v>
      </c>
      <c r="G1521">
        <f>SUMIF(PRISPELO!B:B, A1521, PRISPELO!G:G)</f>
        <v/>
      </c>
      <c r="H1521">
        <f>SUMIF(ODPIS!B:B, A1521, ODPIS!G:G)</f>
        <v/>
      </c>
      <c r="I1521" s="2">
        <f>F1521 + G1521 - H1521</f>
        <v/>
      </c>
    </row>
    <row r="1522">
      <c r="A1522" t="n">
        <v>3531</v>
      </c>
      <c r="B1522" t="inlineStr">
        <is>
          <t>CONDAT MAT PERIGORD</t>
        </is>
      </c>
      <c r="C1522" t="n">
        <v>72</v>
      </c>
      <c r="D1522" t="n">
        <v>102</v>
      </c>
      <c r="E1522" t="n">
        <v>150</v>
      </c>
      <c r="F1522" t="n">
        <v>0</v>
      </c>
      <c r="G1522">
        <f>SUMIF(PRISPELO!B:B, A1522, PRISPELO!G:G)</f>
        <v/>
      </c>
      <c r="H1522">
        <f>SUMIF(ODPIS!B:B, A1522, ODPIS!G:G)</f>
        <v/>
      </c>
      <c r="I1522" s="2">
        <f>F1522 + G1522 - H1522</f>
        <v/>
      </c>
    </row>
    <row r="1523">
      <c r="A1523" t="n">
        <v>3532</v>
      </c>
      <c r="B1523" t="inlineStr">
        <is>
          <t>SYMBOL F- GLOSS PW</t>
        </is>
      </c>
      <c r="C1523" t="n">
        <v>45</v>
      </c>
      <c r="D1523" t="n">
        <v>64</v>
      </c>
      <c r="E1523" t="n">
        <v>115</v>
      </c>
      <c r="F1523" t="n">
        <v>0</v>
      </c>
      <c r="G1523">
        <f>SUMIF(PRISPELO!B:B, A1523, PRISPELO!G:G)</f>
        <v/>
      </c>
      <c r="H1523">
        <f>SUMIF(ODPIS!B:B, A1523, ODPIS!G:G)</f>
        <v/>
      </c>
      <c r="I1523" s="2">
        <f>F1523 + G1523 - H1523</f>
        <v/>
      </c>
    </row>
    <row r="1524">
      <c r="A1524" t="n">
        <v>3533</v>
      </c>
      <c r="B1524" t="inlineStr">
        <is>
          <t>POP SET VIRGIN PULP STORM</t>
        </is>
      </c>
      <c r="C1524" t="n">
        <v>70</v>
      </c>
      <c r="D1524" t="n">
        <v>100</v>
      </c>
      <c r="E1524" t="n">
        <v>170</v>
      </c>
      <c r="F1524" t="n">
        <v>0</v>
      </c>
      <c r="G1524">
        <f>SUMIF(PRISPELO!B:B, A1524, PRISPELO!G:G)</f>
        <v/>
      </c>
      <c r="H1524">
        <f>SUMIF(ODPIS!B:B, A1524, ODPIS!G:G)</f>
        <v/>
      </c>
      <c r="I1524" s="2">
        <f>F1524 + G1524 - H1524</f>
        <v/>
      </c>
    </row>
    <row r="1525">
      <c r="A1525" t="n">
        <v>3534</v>
      </c>
      <c r="B1525" t="inlineStr">
        <is>
          <t>SYMBOL CARD PW</t>
        </is>
      </c>
      <c r="C1525" t="n">
        <v>72</v>
      </c>
      <c r="D1525" t="n">
        <v>102</v>
      </c>
      <c r="E1525" t="n">
        <v>330</v>
      </c>
      <c r="F1525" t="n">
        <v>0</v>
      </c>
      <c r="G1525">
        <f>SUMIF(PRISPELO!B:B, A1525, PRISPELO!G:G)</f>
        <v/>
      </c>
      <c r="H1525">
        <f>SUMIF(ODPIS!B:B, A1525, ODPIS!G:G)</f>
        <v/>
      </c>
      <c r="I1525" s="2">
        <f>F1525 + G1525 - H1525</f>
        <v/>
      </c>
    </row>
    <row r="1526">
      <c r="A1526" t="n">
        <v>3536</v>
      </c>
      <c r="B1526" t="inlineStr">
        <is>
          <t>RAFLACOAT PLUS REMOWABLE GLOSS</t>
        </is>
      </c>
      <c r="C1526" t="n">
        <v>50</v>
      </c>
      <c r="D1526" t="n">
        <v>700</v>
      </c>
      <c r="E1526" t="n">
        <v>80</v>
      </c>
      <c r="F1526" t="n">
        <v>0</v>
      </c>
      <c r="G1526">
        <f>SUMIF(PRISPELO!B:B, A1526, PRISPELO!G:G)</f>
        <v/>
      </c>
      <c r="H1526">
        <f>SUMIF(ODPIS!B:B, A1526, ODPIS!G:G)</f>
        <v/>
      </c>
      <c r="I1526" s="2">
        <f>F1526 + G1526 - H1526</f>
        <v/>
      </c>
    </row>
    <row r="1527">
      <c r="A1527" t="n">
        <v>3537</v>
      </c>
      <c r="B1527" t="inlineStr">
        <is>
          <t>OFFSET ROYAL</t>
        </is>
      </c>
      <c r="C1527" t="n">
        <v>100</v>
      </c>
      <c r="D1527" t="n">
        <v>70</v>
      </c>
      <c r="E1527" t="n">
        <v>80</v>
      </c>
      <c r="F1527" t="n">
        <v>0</v>
      </c>
      <c r="G1527">
        <f>SUMIF(PRISPELO!B:B, A1527, PRISPELO!G:G)</f>
        <v/>
      </c>
      <c r="H1527">
        <f>SUMIF(ODPIS!B:B, A1527, ODPIS!G:G)</f>
        <v/>
      </c>
      <c r="I1527" s="2">
        <f>F1527 + G1527 - H1527</f>
        <v/>
      </c>
    </row>
    <row r="1528">
      <c r="A1528" t="n">
        <v>3538</v>
      </c>
      <c r="B1528" t="inlineStr">
        <is>
          <t>TARGET PLUS</t>
        </is>
      </c>
      <c r="C1528" t="n">
        <v>90</v>
      </c>
      <c r="D1528" t="n">
        <v>64</v>
      </c>
      <c r="E1528" t="n">
        <v>90</v>
      </c>
      <c r="F1528" t="n">
        <v>0</v>
      </c>
      <c r="G1528">
        <f>SUMIF(PRISPELO!B:B, A1528, PRISPELO!G:G)</f>
        <v/>
      </c>
      <c r="H1528">
        <f>SUMIF(ODPIS!B:B, A1528, ODPIS!G:G)</f>
        <v/>
      </c>
      <c r="I1528" s="2">
        <f>F1528 + G1528 - H1528</f>
        <v/>
      </c>
    </row>
    <row r="1529">
      <c r="A1529" t="n">
        <v>3540</v>
      </c>
      <c r="B1529" t="inlineStr">
        <is>
          <t>IQ SELCTION SMOOTH</t>
        </is>
      </c>
      <c r="C1529" t="n">
        <v>45</v>
      </c>
      <c r="D1529" t="n">
        <v>64</v>
      </c>
      <c r="E1529" t="n">
        <v>300</v>
      </c>
      <c r="F1529" t="n">
        <v>0</v>
      </c>
      <c r="G1529">
        <f>SUMIF(PRISPELO!B:B, A1529, PRISPELO!G:G)</f>
        <v/>
      </c>
      <c r="H1529">
        <f>SUMIF(ODPIS!B:B, A1529, ODPIS!G:G)</f>
        <v/>
      </c>
      <c r="I1529" s="2">
        <f>F1529 + G1529 - H1529</f>
        <v/>
      </c>
    </row>
    <row r="1530">
      <c r="A1530" t="n">
        <v>4142</v>
      </c>
      <c r="B1530" t="inlineStr">
        <is>
          <t>KUVERTA C6/5 BD SI         (E019)</t>
        </is>
      </c>
      <c r="C1530" t="n">
        <v>11.4</v>
      </c>
      <c r="D1530" t="n">
        <v>22.9</v>
      </c>
      <c r="E1530" t="n">
        <v>100</v>
      </c>
      <c r="F1530" t="n">
        <v>0</v>
      </c>
      <c r="G1530">
        <f>SUMIF(PRISPELO!B:B, A1530, PRISPELO!G:G)</f>
        <v/>
      </c>
      <c r="H1530">
        <f>SUMIF(ODPIS!B:B, A1530, ODPIS!G:G)</f>
        <v/>
      </c>
      <c r="I1530" s="2">
        <f>F1530 + G1530 - H1530</f>
        <v/>
      </c>
    </row>
    <row r="1531">
      <c r="A1531" t="n">
        <v>3541</v>
      </c>
      <c r="B1531" t="inlineStr">
        <is>
          <t>ZENITH</t>
        </is>
      </c>
      <c r="C1531" t="n">
        <v>100</v>
      </c>
      <c r="D1531" t="n">
        <v>70</v>
      </c>
      <c r="E1531" t="n">
        <v>380</v>
      </c>
      <c r="F1531" t="n">
        <v>0</v>
      </c>
      <c r="G1531">
        <f>SUMIF(PRISPELO!B:B, A1531, PRISPELO!G:G)</f>
        <v/>
      </c>
      <c r="H1531">
        <f>SUMIF(ODPIS!B:B, A1531, ODPIS!G:G)</f>
        <v/>
      </c>
      <c r="I1531" s="2">
        <f>F1531 + G1531 - H1531</f>
        <v/>
      </c>
    </row>
    <row r="1532">
      <c r="A1532" t="n">
        <v>3542</v>
      </c>
      <c r="B1532" t="inlineStr">
        <is>
          <t>NIVIS NEXT GLOSS</t>
        </is>
      </c>
      <c r="C1532" t="n">
        <v>70</v>
      </c>
      <c r="D1532" t="n">
        <v>100</v>
      </c>
      <c r="E1532" t="n">
        <v>150</v>
      </c>
      <c r="F1532" t="n">
        <v>0</v>
      </c>
      <c r="G1532">
        <f>SUMIF(PRISPELO!B:B, A1532, PRISPELO!G:G)</f>
        <v/>
      </c>
      <c r="H1532">
        <f>SUMIF(ODPIS!B:B, A1532, ODPIS!G:G)</f>
        <v/>
      </c>
      <c r="I1532" s="2">
        <f>F1532 + G1532 - H1532</f>
        <v/>
      </c>
    </row>
    <row r="1533">
      <c r="A1533" t="n">
        <v>3543</v>
      </c>
      <c r="B1533" t="inlineStr">
        <is>
          <t>ROYALCOAT PREMIUM SILK</t>
        </is>
      </c>
      <c r="C1533" t="n">
        <v>70</v>
      </c>
      <c r="D1533" t="n">
        <v>100</v>
      </c>
      <c r="E1533" t="n">
        <v>300</v>
      </c>
      <c r="F1533" t="n">
        <v>0</v>
      </c>
      <c r="G1533">
        <f>SUMIF(PRISPELO!B:B, A1533, PRISPELO!G:G)</f>
        <v/>
      </c>
      <c r="H1533">
        <f>SUMIF(ODPIS!B:B, A1533, ODPIS!G:G)</f>
        <v/>
      </c>
      <c r="I1533" s="2">
        <f>F1533 + G1533 - H1533</f>
        <v/>
      </c>
    </row>
    <row r="1534">
      <c r="A1534" t="n">
        <v>4153</v>
      </c>
      <c r="B1534" t="inlineStr">
        <is>
          <t>ENVELOPE WHITE PEEL SEAL</t>
        </is>
      </c>
      <c r="C1534" t="n">
        <v>11</v>
      </c>
      <c r="D1534" t="n">
        <v>23</v>
      </c>
      <c r="E1534" t="n">
        <v>90</v>
      </c>
      <c r="F1534" t="n">
        <v>0</v>
      </c>
      <c r="G1534">
        <f>SUMIF(PRISPELO!B:B, A1534, PRISPELO!G:G)</f>
        <v/>
      </c>
      <c r="H1534">
        <f>SUMIF(ODPIS!B:B, A1534, ODPIS!G:G)</f>
        <v/>
      </c>
      <c r="I1534" s="2">
        <f>F1534 + G1534 - H1534</f>
        <v/>
      </c>
    </row>
    <row r="1535">
      <c r="A1535" t="n">
        <v>3544</v>
      </c>
      <c r="B1535" t="inlineStr">
        <is>
          <t>MAGNO NATURAL OFFSET</t>
        </is>
      </c>
      <c r="C1535" t="n">
        <v>100</v>
      </c>
      <c r="D1535" t="n">
        <v>70</v>
      </c>
      <c r="E1535" t="n">
        <v>300</v>
      </c>
      <c r="F1535" t="n">
        <v>0</v>
      </c>
      <c r="G1535">
        <f>SUMIF(PRISPELO!B:B, A1535, PRISPELO!G:G)</f>
        <v/>
      </c>
      <c r="H1535">
        <f>SUMIF(ODPIS!B:B, A1535, ODPIS!G:G)</f>
        <v/>
      </c>
      <c r="I1535" s="2">
        <f>F1535 + G1535 - H1535</f>
        <v/>
      </c>
    </row>
    <row r="1536">
      <c r="A1536" t="n">
        <v>3545</v>
      </c>
      <c r="B1536" t="inlineStr">
        <is>
          <t>PERIGORD MATT CONDAT</t>
        </is>
      </c>
      <c r="C1536" t="n">
        <v>70</v>
      </c>
      <c r="D1536" t="n">
        <v>100</v>
      </c>
      <c r="E1536" t="n">
        <v>90</v>
      </c>
      <c r="F1536" t="n">
        <v>0</v>
      </c>
      <c r="G1536">
        <f>SUMIF(PRISPELO!B:B, A1536, PRISPELO!G:G)</f>
        <v/>
      </c>
      <c r="H1536">
        <f>SUMIF(ODPIS!B:B, A1536, ODPIS!G:G)</f>
        <v/>
      </c>
      <c r="I1536" s="2">
        <f>F1536 + G1536 - H1536</f>
        <v/>
      </c>
    </row>
    <row r="1537">
      <c r="A1537" t="n">
        <v>3546</v>
      </c>
      <c r="B1537" t="inlineStr">
        <is>
          <t>PREMIUM GLOSS</t>
        </is>
      </c>
      <c r="C1537" t="n">
        <v>100</v>
      </c>
      <c r="D1537" t="n">
        <v>70</v>
      </c>
      <c r="E1537" t="n">
        <v>350</v>
      </c>
      <c r="F1537" t="n">
        <v>0</v>
      </c>
      <c r="G1537">
        <f>SUMIF(PRISPELO!B:B, A1537, PRISPELO!G:G)</f>
        <v/>
      </c>
      <c r="H1537">
        <f>SUMIF(ODPIS!B:B, A1537, ODPIS!G:G)</f>
        <v/>
      </c>
      <c r="I1537" s="2">
        <f>F1537 + G1537 - H1537</f>
        <v/>
      </c>
    </row>
    <row r="1538">
      <c r="A1538" t="n">
        <v>3547</v>
      </c>
      <c r="B1538" t="inlineStr">
        <is>
          <t>PREMIUM SILK</t>
        </is>
      </c>
      <c r="C1538" t="n">
        <v>102</v>
      </c>
      <c r="D1538" t="n">
        <v>72</v>
      </c>
      <c r="E1538" t="n">
        <v>100</v>
      </c>
      <c r="F1538" t="n">
        <v>0</v>
      </c>
      <c r="G1538">
        <f>SUMIF(PRISPELO!B:B, A1538, PRISPELO!G:G)</f>
        <v/>
      </c>
      <c r="H1538">
        <f>SUMIF(ODPIS!B:B, A1538, ODPIS!G:G)</f>
        <v/>
      </c>
      <c r="I1538" s="2">
        <f>F1538 + G1538 - H1538</f>
        <v/>
      </c>
    </row>
    <row r="1539">
      <c r="A1539" t="n">
        <v>3548</v>
      </c>
      <c r="B1539" t="inlineStr">
        <is>
          <t>ROYALCOAT PREMIUM SILK</t>
        </is>
      </c>
      <c r="C1539" t="n">
        <v>100</v>
      </c>
      <c r="D1539" t="n">
        <v>70</v>
      </c>
      <c r="E1539" t="n">
        <v>135</v>
      </c>
      <c r="F1539" t="n">
        <v>0</v>
      </c>
      <c r="G1539">
        <f>SUMIF(PRISPELO!B:B, A1539, PRISPELO!G:G)</f>
        <v/>
      </c>
      <c r="H1539">
        <f>SUMIF(ODPIS!B:B, A1539, ODPIS!G:G)</f>
        <v/>
      </c>
      <c r="I1539" s="2">
        <f>F1539 + G1539 - H1539</f>
        <v/>
      </c>
    </row>
    <row r="1540">
      <c r="A1540" t="n">
        <v>3549</v>
      </c>
      <c r="B1540" t="inlineStr">
        <is>
          <t>ROYALSET OFFSET</t>
        </is>
      </c>
      <c r="C1540" t="n">
        <v>90</v>
      </c>
      <c r="D1540" t="n">
        <v>64</v>
      </c>
      <c r="E1540" t="n">
        <v>140</v>
      </c>
      <c r="F1540" t="n">
        <v>0</v>
      </c>
      <c r="G1540">
        <f>SUMIF(PRISPELO!B:B, A1540, PRISPELO!G:G)</f>
        <v/>
      </c>
      <c r="H1540">
        <f>SUMIF(ODPIS!B:B, A1540, ODPIS!G:G)</f>
        <v/>
      </c>
      <c r="I1540" s="2">
        <f>F1540 + G1540 - H1540</f>
        <v/>
      </c>
    </row>
    <row r="1541">
      <c r="A1541" t="n">
        <v>3550</v>
      </c>
      <c r="B1541" t="inlineStr">
        <is>
          <t>Fedrigoni Woodstock Azzurro</t>
        </is>
      </c>
      <c r="C1541" t="n">
        <v>70</v>
      </c>
      <c r="D1541" t="n">
        <v>100</v>
      </c>
      <c r="E1541" t="n">
        <v>140</v>
      </c>
      <c r="F1541" t="n">
        <v>0</v>
      </c>
      <c r="G1541">
        <f>SUMIF(PRISPELO!B:B, A1541, PRISPELO!G:G)</f>
        <v/>
      </c>
      <c r="H1541">
        <f>SUMIF(ODPIS!B:B, A1541, ODPIS!G:G)</f>
        <v/>
      </c>
      <c r="I1541" s="2">
        <f>F1541 + G1541 - H1541</f>
        <v/>
      </c>
    </row>
    <row r="1542">
      <c r="A1542" t="n">
        <v>3551</v>
      </c>
      <c r="B1542" t="inlineStr">
        <is>
          <t>AMBER GRAPHIC</t>
        </is>
      </c>
      <c r="C1542" t="n">
        <v>46</v>
      </c>
      <c r="D1542" t="n">
        <v>64</v>
      </c>
      <c r="E1542" t="n">
        <v>120</v>
      </c>
      <c r="F1542" t="n">
        <v>0</v>
      </c>
      <c r="G1542">
        <f>SUMIF(PRISPELO!B:B, A1542, PRISPELO!G:G)</f>
        <v/>
      </c>
      <c r="H1542">
        <f>SUMIF(ODPIS!B:B, A1542, ODPIS!G:G)</f>
        <v/>
      </c>
      <c r="I1542" s="2">
        <f>F1542 + G1542 - H1542</f>
        <v/>
      </c>
    </row>
    <row r="1543">
      <c r="A1543" t="n">
        <v>3553</v>
      </c>
      <c r="B1543" t="inlineStr">
        <is>
          <t>MULTIOFFSET</t>
        </is>
      </c>
      <c r="C1543" t="n">
        <v>70</v>
      </c>
      <c r="D1543" t="n">
        <v>100</v>
      </c>
      <c r="E1543" t="n">
        <v>90</v>
      </c>
      <c r="F1543" t="n">
        <v>0</v>
      </c>
      <c r="G1543">
        <f>SUMIF(PRISPELO!B:B, A1543, PRISPELO!G:G)</f>
        <v/>
      </c>
      <c r="H1543">
        <f>SUMIF(ODPIS!B:B, A1543, ODPIS!G:G)</f>
        <v/>
      </c>
      <c r="I1543" s="2">
        <f>F1543 + G1543 - H1543</f>
        <v/>
      </c>
    </row>
    <row r="1544">
      <c r="A1544" t="n">
        <v>3554</v>
      </c>
      <c r="B1544" t="inlineStr">
        <is>
          <t>ROYALSET OFFSET</t>
        </is>
      </c>
      <c r="C1544" t="n">
        <v>70</v>
      </c>
      <c r="D1544" t="n">
        <v>100</v>
      </c>
      <c r="E1544" t="n">
        <v>300</v>
      </c>
      <c r="F1544" t="n">
        <v>0</v>
      </c>
      <c r="G1544">
        <f>SUMIF(PRISPELO!B:B, A1544, PRISPELO!G:G)</f>
        <v/>
      </c>
      <c r="H1544">
        <f>SUMIF(ODPIS!B:B, A1544, ODPIS!G:G)</f>
        <v/>
      </c>
      <c r="I1544" s="2">
        <f>F1544 + G1544 - H1544</f>
        <v/>
      </c>
    </row>
    <row r="1545">
      <c r="A1545" t="n">
        <v>3555</v>
      </c>
      <c r="B1545" t="inlineStr">
        <is>
          <t>AMBER GRAPHIC</t>
        </is>
      </c>
      <c r="C1545" t="n">
        <v>90</v>
      </c>
      <c r="D1545" t="n">
        <v>64</v>
      </c>
      <c r="E1545" t="n">
        <v>150</v>
      </c>
      <c r="F1545" t="n">
        <v>0</v>
      </c>
      <c r="G1545">
        <f>SUMIF(PRISPELO!B:B, A1545, PRISPELO!G:G)</f>
        <v/>
      </c>
      <c r="H1545">
        <f>SUMIF(ODPIS!B:B, A1545, ODPIS!G:G)</f>
        <v/>
      </c>
      <c r="I1545" s="2">
        <f>F1545 + G1545 - H1545</f>
        <v/>
      </c>
    </row>
    <row r="1546">
      <c r="A1546" t="n">
        <v>3556</v>
      </c>
      <c r="B1546" t="inlineStr">
        <is>
          <t>IMPACT NATURAL</t>
        </is>
      </c>
      <c r="C1546" t="n">
        <v>100</v>
      </c>
      <c r="D1546" t="n">
        <v>70</v>
      </c>
      <c r="E1546" t="n">
        <v>100</v>
      </c>
      <c r="F1546" t="n">
        <v>0</v>
      </c>
      <c r="G1546">
        <f>SUMIF(PRISPELO!B:B, A1546, PRISPELO!G:G)</f>
        <v/>
      </c>
      <c r="H1546">
        <f>SUMIF(ODPIS!B:B, A1546, ODPIS!G:G)</f>
        <v/>
      </c>
      <c r="I1546" s="2">
        <f>F1546 + G1546 - H1546</f>
        <v/>
      </c>
    </row>
    <row r="1547">
      <c r="A1547" t="n">
        <v>3558</v>
      </c>
      <c r="B1547" t="inlineStr">
        <is>
          <t>OFFSET PRINT</t>
        </is>
      </c>
      <c r="C1547" t="n">
        <v>70</v>
      </c>
      <c r="D1547" t="n">
        <v>100</v>
      </c>
      <c r="E1547" t="n">
        <v>80</v>
      </c>
      <c r="F1547" t="n">
        <v>0</v>
      </c>
      <c r="G1547">
        <f>SUMIF(PRISPELO!B:B, A1547, PRISPELO!G:G)</f>
        <v/>
      </c>
      <c r="H1547">
        <f>SUMIF(ODPIS!B:B, A1547, ODPIS!G:G)</f>
        <v/>
      </c>
      <c r="I1547" s="2">
        <f>F1547 + G1547 - H1547</f>
        <v/>
      </c>
    </row>
    <row r="1548">
      <c r="A1548" t="n">
        <v>3559</v>
      </c>
      <c r="B1548" t="inlineStr">
        <is>
          <t>ROYALCOAT PREMIUM SILK</t>
        </is>
      </c>
      <c r="C1548" t="n">
        <v>64</v>
      </c>
      <c r="D1548" t="n">
        <v>90</v>
      </c>
      <c r="E1548" t="n">
        <v>200</v>
      </c>
      <c r="F1548" t="n">
        <v>0</v>
      </c>
      <c r="G1548">
        <f>SUMIF(PRISPELO!B:B, A1548, PRISPELO!G:G)</f>
        <v/>
      </c>
      <c r="H1548">
        <f>SUMIF(ODPIS!B:B, A1548, ODPIS!G:G)</f>
        <v/>
      </c>
      <c r="I1548" s="2">
        <f>F1548 + G1548 - H1548</f>
        <v/>
      </c>
    </row>
    <row r="1549">
      <c r="A1549" t="n">
        <v>3560</v>
      </c>
      <c r="B1549" t="inlineStr">
        <is>
          <t>MULTI OFFSET</t>
        </is>
      </c>
      <c r="C1549" t="n">
        <v>90</v>
      </c>
      <c r="D1549" t="n">
        <v>64</v>
      </c>
      <c r="E1549" t="n">
        <v>120</v>
      </c>
      <c r="F1549" t="n">
        <v>0</v>
      </c>
      <c r="G1549">
        <f>SUMIF(PRISPELO!B:B, A1549, PRISPELO!G:G)</f>
        <v/>
      </c>
      <c r="H1549">
        <f>SUMIF(ODPIS!B:B, A1549, ODPIS!G:G)</f>
        <v/>
      </c>
      <c r="I1549" s="2">
        <f>F1549 + G1549 - H1549</f>
        <v/>
      </c>
    </row>
    <row r="1550">
      <c r="A1550" t="n">
        <v>3561</v>
      </c>
      <c r="B1550" t="inlineStr">
        <is>
          <t>PREMUIM SILK</t>
        </is>
      </c>
      <c r="C1550" t="n">
        <v>45</v>
      </c>
      <c r="D1550" t="n">
        <v>68</v>
      </c>
      <c r="E1550" t="n">
        <v>135</v>
      </c>
      <c r="F1550" t="n">
        <v>0</v>
      </c>
      <c r="G1550">
        <f>SUMIF(PRISPELO!B:B, A1550, PRISPELO!G:G)</f>
        <v/>
      </c>
      <c r="H1550">
        <f>SUMIF(ODPIS!B:B, A1550, ODPIS!G:G)</f>
        <v/>
      </c>
      <c r="I1550" s="2">
        <f>F1550 + G1550 - H1550</f>
        <v/>
      </c>
    </row>
    <row r="1551">
      <c r="A1551" t="n">
        <v>3562</v>
      </c>
      <c r="B1551" t="inlineStr">
        <is>
          <t>AMBER GRAPHIC</t>
        </is>
      </c>
      <c r="C1551" t="n">
        <v>64</v>
      </c>
      <c r="D1551" t="n">
        <v>90</v>
      </c>
      <c r="E1551" t="n">
        <v>170</v>
      </c>
      <c r="F1551" t="n">
        <v>0</v>
      </c>
      <c r="G1551">
        <f>SUMIF(PRISPELO!B:B, A1551, PRISPELO!G:G)</f>
        <v/>
      </c>
      <c r="H1551">
        <f>SUMIF(ODPIS!B:B, A1551, ODPIS!G:G)</f>
        <v/>
      </c>
      <c r="I1551" s="2">
        <f>F1551 + G1551 - H1551</f>
        <v/>
      </c>
    </row>
    <row r="1552">
      <c r="A1552" t="n">
        <v>3563</v>
      </c>
      <c r="B1552" t="inlineStr">
        <is>
          <t>ROYALCOAT PREMIUM GLOSS</t>
        </is>
      </c>
      <c r="C1552" t="n">
        <v>100</v>
      </c>
      <c r="D1552" t="n">
        <v>70</v>
      </c>
      <c r="E1552" t="n">
        <v>200</v>
      </c>
      <c r="F1552" t="n">
        <v>0</v>
      </c>
      <c r="G1552">
        <f>SUMIF(PRISPELO!B:B, A1552, PRISPELO!G:G)</f>
        <v/>
      </c>
      <c r="H1552">
        <f>SUMIF(ODPIS!B:B, A1552, ODPIS!G:G)</f>
        <v/>
      </c>
      <c r="I1552" s="2">
        <f>F1552 + G1552 - H1552</f>
        <v/>
      </c>
    </row>
    <row r="1553">
      <c r="A1553" t="n">
        <v>3564</v>
      </c>
      <c r="B1553" t="inlineStr">
        <is>
          <t>GARDA MATT</t>
        </is>
      </c>
      <c r="C1553" t="n">
        <v>100</v>
      </c>
      <c r="D1553" t="n">
        <v>70</v>
      </c>
      <c r="E1553" t="n">
        <v>135</v>
      </c>
      <c r="F1553" t="n">
        <v>0</v>
      </c>
      <c r="G1553">
        <f>SUMIF(PRISPELO!B:B, A1553, PRISPELO!G:G)</f>
        <v/>
      </c>
      <c r="H1553">
        <f>SUMIF(ODPIS!B:B, A1553, ODPIS!G:G)</f>
        <v/>
      </c>
      <c r="I1553" s="2">
        <f>F1553 + G1553 - H1553</f>
        <v/>
      </c>
    </row>
    <row r="1554">
      <c r="A1554" t="n">
        <v>3565</v>
      </c>
      <c r="B1554" t="inlineStr">
        <is>
          <t>PREMIUM SILK</t>
        </is>
      </c>
      <c r="C1554" t="n">
        <v>90</v>
      </c>
      <c r="D1554" t="n">
        <v>64</v>
      </c>
      <c r="E1554" t="n">
        <v>300</v>
      </c>
      <c r="F1554" t="n">
        <v>0</v>
      </c>
      <c r="G1554">
        <f>SUMIF(PRISPELO!B:B, A1554, PRISPELO!G:G)</f>
        <v/>
      </c>
      <c r="H1554">
        <f>SUMIF(ODPIS!B:B, A1554, ODPIS!G:G)</f>
        <v/>
      </c>
      <c r="I1554" s="2">
        <f>F1554 + G1554 - H1554</f>
        <v/>
      </c>
    </row>
    <row r="1555">
      <c r="A1555" t="n">
        <v>3566</v>
      </c>
      <c r="B1555" t="inlineStr">
        <is>
          <t>MUNKEN LYNX</t>
        </is>
      </c>
      <c r="C1555" t="n">
        <v>90</v>
      </c>
      <c r="D1555" t="n">
        <v>64</v>
      </c>
      <c r="E1555" t="n">
        <v>120</v>
      </c>
      <c r="F1555" t="n">
        <v>0</v>
      </c>
      <c r="G1555">
        <f>SUMIF(PRISPELO!B:B, A1555, PRISPELO!G:G)</f>
        <v/>
      </c>
      <c r="H1555">
        <f>SUMIF(ODPIS!B:B, A1555, ODPIS!G:G)</f>
        <v/>
      </c>
      <c r="I1555" s="2">
        <f>F1555 + G1555 - H1555</f>
        <v/>
      </c>
    </row>
    <row r="1556">
      <c r="A1556" t="n">
        <v>3567</v>
      </c>
      <c r="B1556" t="inlineStr">
        <is>
          <t>ROYALSET OFFSET</t>
        </is>
      </c>
      <c r="C1556" t="n">
        <v>90</v>
      </c>
      <c r="D1556" t="n">
        <v>64</v>
      </c>
      <c r="E1556" t="n">
        <v>120</v>
      </c>
      <c r="F1556" t="n">
        <v>0</v>
      </c>
      <c r="G1556">
        <f>SUMIF(PRISPELO!B:B, A1556, PRISPELO!G:G)</f>
        <v/>
      </c>
      <c r="H1556">
        <f>SUMIF(ODPIS!B:B, A1556, ODPIS!G:G)</f>
        <v/>
      </c>
      <c r="I1556" s="2">
        <f>F1556 + G1556 - H1556</f>
        <v/>
      </c>
    </row>
    <row r="1557">
      <c r="A1557" t="n">
        <v>3568</v>
      </c>
      <c r="B1557" t="inlineStr">
        <is>
          <t>UPM FINE</t>
        </is>
      </c>
      <c r="C1557" t="n">
        <v>70</v>
      </c>
      <c r="D1557" t="n">
        <v>100</v>
      </c>
      <c r="E1557" t="n">
        <v>120</v>
      </c>
      <c r="F1557" t="n">
        <v>0</v>
      </c>
      <c r="G1557">
        <f>SUMIF(PRISPELO!B:B, A1557, PRISPELO!G:G)</f>
        <v/>
      </c>
      <c r="H1557">
        <f>SUMIF(ODPIS!B:B, A1557, ODPIS!G:G)</f>
        <v/>
      </c>
      <c r="I1557" s="2">
        <f>F1557 + G1557 - H1557</f>
        <v/>
      </c>
    </row>
    <row r="1558">
      <c r="A1558" t="n">
        <v>2607</v>
      </c>
      <c r="B1558" t="inlineStr">
        <is>
          <t>kuverte ELCO sil. trak</t>
        </is>
      </c>
      <c r="C1558" t="n">
        <v>23</v>
      </c>
      <c r="D1558" t="n">
        <v>11</v>
      </c>
      <c r="E1558" t="n">
        <v>80</v>
      </c>
      <c r="F1558" t="n">
        <v>0</v>
      </c>
      <c r="G1558">
        <f>SUMIF(PRISPELO!B:B, A1558, PRISPELO!G:G)</f>
        <v/>
      </c>
      <c r="H1558">
        <f>SUMIF(ODPIS!B:B, A1558, ODPIS!G:G)</f>
        <v/>
      </c>
      <c r="I1558" s="2">
        <f>F1558 + G1558 - H1558</f>
        <v/>
      </c>
    </row>
    <row r="1559">
      <c r="A1559" t="n">
        <v>3569</v>
      </c>
      <c r="B1559" t="inlineStr">
        <is>
          <t>MAgno volume 1,08</t>
        </is>
      </c>
      <c r="C1559" t="n">
        <v>90</v>
      </c>
      <c r="D1559" t="n">
        <v>64</v>
      </c>
      <c r="E1559" t="n">
        <v>200</v>
      </c>
      <c r="F1559" t="n">
        <v>0</v>
      </c>
      <c r="G1559">
        <f>SUMIF(PRISPELO!B:B, A1559, PRISPELO!G:G)</f>
        <v/>
      </c>
      <c r="H1559">
        <f>SUMIF(ODPIS!B:B, A1559, ODPIS!G:G)</f>
        <v/>
      </c>
      <c r="I1559" s="2">
        <f>F1559 + G1559 - H1559</f>
        <v/>
      </c>
    </row>
    <row r="1560">
      <c r="A1560" t="n">
        <v>3570</v>
      </c>
      <c r="B1560" t="inlineStr">
        <is>
          <t>ROYALSET OFFSET</t>
        </is>
      </c>
      <c r="C1560" t="n">
        <v>64</v>
      </c>
      <c r="D1560" t="n">
        <v>90</v>
      </c>
      <c r="E1560" t="n">
        <v>250</v>
      </c>
      <c r="F1560" t="n">
        <v>0</v>
      </c>
      <c r="G1560">
        <f>SUMIF(PRISPELO!B:B, A1560, PRISPELO!G:G)</f>
        <v/>
      </c>
      <c r="H1560">
        <f>SUMIF(ODPIS!B:B, A1560, ODPIS!G:G)</f>
        <v/>
      </c>
      <c r="I1560" s="2">
        <f>F1560 + G1560 - H1560</f>
        <v/>
      </c>
    </row>
    <row r="1561">
      <c r="A1561" t="n">
        <v>3571</v>
      </c>
      <c r="B1561" t="inlineStr">
        <is>
          <t>ALGRO DESIGN DUO</t>
        </is>
      </c>
      <c r="C1561" t="n">
        <v>102</v>
      </c>
      <c r="D1561" t="n">
        <v>72</v>
      </c>
      <c r="E1561" t="n">
        <v>450</v>
      </c>
      <c r="F1561" t="n">
        <v>0</v>
      </c>
      <c r="G1561">
        <f>SUMIF(PRISPELO!B:B, A1561, PRISPELO!G:G)</f>
        <v/>
      </c>
      <c r="H1561">
        <f>SUMIF(ODPIS!B:B, A1561, ODPIS!G:G)</f>
        <v/>
      </c>
      <c r="I1561" s="2">
        <f>F1561 + G1561 - H1561</f>
        <v/>
      </c>
    </row>
    <row r="1562">
      <c r="A1562" t="n">
        <v>3572</v>
      </c>
      <c r="B1562" t="inlineStr">
        <is>
          <t>ROYALSET OFFSET</t>
        </is>
      </c>
      <c r="C1562" t="n">
        <v>100</v>
      </c>
      <c r="D1562" t="n">
        <v>70</v>
      </c>
      <c r="E1562" t="n">
        <v>100</v>
      </c>
      <c r="F1562" t="n">
        <v>0</v>
      </c>
      <c r="G1562">
        <f>SUMIF(PRISPELO!B:B, A1562, PRISPELO!G:G)</f>
        <v/>
      </c>
      <c r="H1562">
        <f>SUMIF(ODPIS!B:B, A1562, ODPIS!G:G)</f>
        <v/>
      </c>
      <c r="I1562" s="2">
        <f>F1562 + G1562 - H1562</f>
        <v/>
      </c>
    </row>
    <row r="1563">
      <c r="A1563" t="n">
        <v>3573</v>
      </c>
      <c r="B1563" t="inlineStr">
        <is>
          <t>IQ CORAL RED</t>
        </is>
      </c>
      <c r="C1563" t="n">
        <v>92</v>
      </c>
      <c r="D1563" t="n">
        <v>65</v>
      </c>
      <c r="E1563" t="n">
        <v>80</v>
      </c>
      <c r="F1563" t="n">
        <v>0</v>
      </c>
      <c r="G1563">
        <f>SUMIF(PRISPELO!B:B, A1563, PRISPELO!G:G)</f>
        <v/>
      </c>
      <c r="H1563">
        <f>SUMIF(ODPIS!B:B, A1563, ODPIS!G:G)</f>
        <v/>
      </c>
      <c r="I1563" s="2">
        <f>F1563 + G1563 - H1563</f>
        <v/>
      </c>
    </row>
    <row r="1564">
      <c r="A1564" t="n">
        <v>3200</v>
      </c>
      <c r="B1564" t="inlineStr">
        <is>
          <t>Kuverta 17B Nova kuverta BO SI</t>
        </is>
      </c>
      <c r="C1564" t="n">
        <v>17.5</v>
      </c>
      <c r="D1564" t="n">
        <v>17.5</v>
      </c>
      <c r="E1564" t="n">
        <v>80</v>
      </c>
      <c r="F1564" t="n">
        <v>0</v>
      </c>
      <c r="G1564">
        <f>SUMIF(PRISPELO!B:B, A1564, PRISPELO!G:G)</f>
        <v/>
      </c>
      <c r="H1564">
        <f>SUMIF(ODPIS!B:B, A1564, ODPIS!G:G)</f>
        <v/>
      </c>
      <c r="I1564" s="2">
        <f>F1564 + G1564 - H1564</f>
        <v/>
      </c>
    </row>
    <row r="1565">
      <c r="A1565" t="n">
        <v>3201</v>
      </c>
      <c r="B1565" t="inlineStr">
        <is>
          <t>kuverta amerikanka ELCO DO sil.trak</t>
        </is>
      </c>
      <c r="C1565" t="n">
        <v>11.4</v>
      </c>
      <c r="D1565" t="n">
        <v>22.9</v>
      </c>
      <c r="E1565" t="n">
        <v>100</v>
      </c>
      <c r="F1565" t="n">
        <v>0</v>
      </c>
      <c r="G1565">
        <f>SUMIF(PRISPELO!B:B, A1565, PRISPELO!G:G)</f>
        <v/>
      </c>
      <c r="H1565">
        <f>SUMIF(ODPIS!B:B, A1565, ODPIS!G:G)</f>
        <v/>
      </c>
      <c r="I1565" s="2">
        <f>F1565 + G1565 - H1565</f>
        <v/>
      </c>
    </row>
    <row r="1566">
      <c r="A1566" t="n">
        <v>3574</v>
      </c>
      <c r="B1566" t="inlineStr">
        <is>
          <t>IQ COLAR RED</t>
        </is>
      </c>
      <c r="C1566" t="n">
        <v>92</v>
      </c>
      <c r="D1566" t="n">
        <v>65</v>
      </c>
      <c r="E1566" t="n">
        <v>80</v>
      </c>
      <c r="F1566" t="n">
        <v>0</v>
      </c>
      <c r="G1566">
        <f>SUMIF(PRISPELO!B:B, A1566, PRISPELO!G:G)</f>
        <v/>
      </c>
      <c r="H1566">
        <f>SUMIF(ODPIS!B:B, A1566, ODPIS!G:G)</f>
        <v/>
      </c>
      <c r="I1566" s="2">
        <f>F1566 + G1566 - H1566</f>
        <v/>
      </c>
    </row>
    <row r="1567">
      <c r="A1567" t="n">
        <v>3254</v>
      </c>
      <c r="B1567" t="inlineStr">
        <is>
          <t>Kuverta C6/5 ASK levo okno</t>
        </is>
      </c>
      <c r="C1567" t="n">
        <v>22.9</v>
      </c>
      <c r="D1567" t="n">
        <v>11.4</v>
      </c>
      <c r="E1567" t="n">
        <v>80</v>
      </c>
      <c r="F1567" t="n">
        <v>0</v>
      </c>
      <c r="G1567">
        <f>SUMIF(PRISPELO!B:B, A1567, PRISPELO!G:G)</f>
        <v/>
      </c>
      <c r="H1567">
        <f>SUMIF(ODPIS!B:B, A1567, ODPIS!G:G)</f>
        <v/>
      </c>
      <c r="I1567" s="2">
        <f>F1567 + G1567 - H1567</f>
        <v/>
      </c>
    </row>
    <row r="1568">
      <c r="A1568" t="n">
        <v>3575</v>
      </c>
      <c r="B1568" t="inlineStr">
        <is>
          <t>IQ DARK BLUE</t>
        </is>
      </c>
      <c r="C1568" t="n">
        <v>92</v>
      </c>
      <c r="D1568" t="n">
        <v>65</v>
      </c>
      <c r="E1568" t="n">
        <v>80</v>
      </c>
      <c r="F1568" t="n">
        <v>0</v>
      </c>
      <c r="G1568">
        <f>SUMIF(PRISPELO!B:B, A1568, PRISPELO!G:G)</f>
        <v/>
      </c>
      <c r="H1568">
        <f>SUMIF(ODPIS!B:B, A1568, ODPIS!G:G)</f>
        <v/>
      </c>
      <c r="I1568" s="2">
        <f>F1568 + G1568 - H1568</f>
        <v/>
      </c>
    </row>
    <row r="1569">
      <c r="A1569" t="n">
        <v>3576</v>
      </c>
      <c r="B1569" t="inlineStr">
        <is>
          <t>IQ PINK</t>
        </is>
      </c>
      <c r="C1569" t="n">
        <v>92</v>
      </c>
      <c r="D1569" t="n">
        <v>65</v>
      </c>
      <c r="E1569" t="n">
        <v>80</v>
      </c>
      <c r="F1569" t="n">
        <v>0</v>
      </c>
      <c r="G1569">
        <f>SUMIF(PRISPELO!B:B, A1569, PRISPELO!G:G)</f>
        <v/>
      </c>
      <c r="H1569">
        <f>SUMIF(ODPIS!B:B, A1569, ODPIS!G:G)</f>
        <v/>
      </c>
      <c r="I1569" s="2">
        <f>F1569 + G1569 - H1569</f>
        <v/>
      </c>
    </row>
    <row r="1570">
      <c r="A1570" t="n">
        <v>3578</v>
      </c>
      <c r="B1570" t="inlineStr">
        <is>
          <t>PERIGORD MATT 1,1</t>
        </is>
      </c>
      <c r="C1570" t="n">
        <v>102</v>
      </c>
      <c r="D1570" t="n">
        <v>72</v>
      </c>
      <c r="E1570" t="n">
        <v>115</v>
      </c>
      <c r="F1570" t="n">
        <v>0</v>
      </c>
      <c r="G1570">
        <f>SUMIF(PRISPELO!B:B, A1570, PRISPELO!G:G)</f>
        <v/>
      </c>
      <c r="H1570">
        <f>SUMIF(ODPIS!B:B, A1570, ODPIS!G:G)</f>
        <v/>
      </c>
      <c r="I1570" s="2">
        <f>F1570 + G1570 - H1570</f>
        <v/>
      </c>
    </row>
    <row r="1571">
      <c r="A1571" t="n">
        <v>3579</v>
      </c>
      <c r="B1571" t="inlineStr">
        <is>
          <t>PREMIUM SILK</t>
        </is>
      </c>
      <c r="C1571" t="n">
        <v>64</v>
      </c>
      <c r="D1571" t="n">
        <v>45</v>
      </c>
      <c r="E1571" t="n">
        <v>300</v>
      </c>
      <c r="F1571" t="n">
        <v>0</v>
      </c>
      <c r="G1571">
        <f>SUMIF(PRISPELO!B:B, A1571, PRISPELO!G:G)</f>
        <v/>
      </c>
      <c r="H1571">
        <f>SUMIF(ODPIS!B:B, A1571, ODPIS!G:G)</f>
        <v/>
      </c>
      <c r="I1571" s="2">
        <f>F1571 + G1571 - H1571</f>
        <v/>
      </c>
    </row>
    <row r="1572">
      <c r="A1572" t="n">
        <v>3580</v>
      </c>
      <c r="B1572" t="inlineStr">
        <is>
          <t>IQ PREMIUM PREPRINT</t>
        </is>
      </c>
      <c r="C1572" t="n">
        <v>90</v>
      </c>
      <c r="D1572" t="n">
        <v>64</v>
      </c>
      <c r="E1572" t="n">
        <v>160</v>
      </c>
      <c r="F1572" t="n">
        <v>0</v>
      </c>
      <c r="G1572">
        <f>SUMIF(PRISPELO!B:B, A1572, PRISPELO!G:G)</f>
        <v/>
      </c>
      <c r="H1572">
        <f>SUMIF(ODPIS!B:B, A1572, ODPIS!G:G)</f>
        <v/>
      </c>
      <c r="I1572" s="2">
        <f>F1572 + G1572 - H1572</f>
        <v/>
      </c>
    </row>
    <row r="1573">
      <c r="A1573" t="n">
        <v>3581</v>
      </c>
      <c r="B1573" t="inlineStr">
        <is>
          <t>IQ PREMIUM PREPRINT</t>
        </is>
      </c>
      <c r="C1573" t="n">
        <v>70</v>
      </c>
      <c r="D1573" t="n">
        <v>100</v>
      </c>
      <c r="E1573" t="n">
        <v>300</v>
      </c>
      <c r="F1573" t="n">
        <v>0</v>
      </c>
      <c r="G1573">
        <f>SUMIF(PRISPELO!B:B, A1573, PRISPELO!G:G)</f>
        <v/>
      </c>
      <c r="H1573">
        <f>SUMIF(ODPIS!B:B, A1573, ODPIS!G:G)</f>
        <v/>
      </c>
      <c r="I1573" s="2">
        <f>F1573 + G1573 - H1573</f>
        <v/>
      </c>
    </row>
    <row r="1574">
      <c r="A1574" t="n">
        <v>3582</v>
      </c>
      <c r="B1574" t="inlineStr">
        <is>
          <t>FEDRIGONI SYMBOL F SATIN</t>
        </is>
      </c>
      <c r="C1574" t="n">
        <v>70</v>
      </c>
      <c r="D1574" t="n">
        <v>100</v>
      </c>
      <c r="E1574" t="n">
        <v>200</v>
      </c>
      <c r="F1574" t="n">
        <v>0</v>
      </c>
      <c r="G1574">
        <f>SUMIF(PRISPELO!B:B, A1574, PRISPELO!G:G)</f>
        <v/>
      </c>
      <c r="H1574">
        <f>SUMIF(ODPIS!B:B, A1574, ODPIS!G:G)</f>
        <v/>
      </c>
      <c r="I1574" s="2">
        <f>F1574 + G1574 - H1574</f>
        <v/>
      </c>
    </row>
    <row r="1575">
      <c r="A1575" t="n">
        <v>3583</v>
      </c>
      <c r="B1575" t="inlineStr">
        <is>
          <t>SYMBOL CARD PW</t>
        </is>
      </c>
      <c r="C1575" t="n">
        <v>102</v>
      </c>
      <c r="D1575" t="n">
        <v>72</v>
      </c>
      <c r="E1575" t="n">
        <v>330</v>
      </c>
      <c r="F1575" t="n">
        <v>0</v>
      </c>
      <c r="G1575">
        <f>SUMIF(PRISPELO!B:B, A1575, PRISPELO!G:G)</f>
        <v/>
      </c>
      <c r="H1575">
        <f>SUMIF(ODPIS!B:B, A1575, ODPIS!G:G)</f>
        <v/>
      </c>
      <c r="I1575" s="2">
        <f>F1575 + G1575 - H1575</f>
        <v/>
      </c>
    </row>
    <row r="1576">
      <c r="A1576" t="n">
        <v>3584</v>
      </c>
      <c r="B1576" t="inlineStr">
        <is>
          <t>MAGNO VOLUME</t>
        </is>
      </c>
      <c r="C1576" t="n">
        <v>45</v>
      </c>
      <c r="D1576" t="n">
        <v>64</v>
      </c>
      <c r="E1576" t="n">
        <v>170</v>
      </c>
      <c r="F1576" t="n">
        <v>0</v>
      </c>
      <c r="G1576">
        <f>SUMIF(PRISPELO!B:B, A1576, PRISPELO!G:G)</f>
        <v/>
      </c>
      <c r="H1576">
        <f>SUMIF(ODPIS!B:B, A1576, ODPIS!G:G)</f>
        <v/>
      </c>
      <c r="I1576" s="2">
        <f>F1576 + G1576 - H1576</f>
        <v/>
      </c>
    </row>
    <row r="1577">
      <c r="A1577" t="n">
        <v>3585</v>
      </c>
      <c r="B1577" t="inlineStr">
        <is>
          <t>MAGNO VOLUME</t>
        </is>
      </c>
      <c r="C1577" t="n">
        <v>64</v>
      </c>
      <c r="D1577" t="n">
        <v>90</v>
      </c>
      <c r="E1577" t="n">
        <v>170</v>
      </c>
      <c r="F1577" t="n">
        <v>0</v>
      </c>
      <c r="G1577">
        <f>SUMIF(PRISPELO!B:B, A1577, PRISPELO!G:G)</f>
        <v/>
      </c>
      <c r="H1577">
        <f>SUMIF(ODPIS!B:B, A1577, ODPIS!G:G)</f>
        <v/>
      </c>
      <c r="I1577" s="2">
        <f>F1577 + G1577 - H1577</f>
        <v/>
      </c>
    </row>
    <row r="1578">
      <c r="A1578" t="n">
        <v>3586</v>
      </c>
      <c r="B1578" t="inlineStr">
        <is>
          <t>ROYALCOAT PREMIUM GLOSS</t>
        </is>
      </c>
      <c r="C1578" t="n">
        <v>70</v>
      </c>
      <c r="D1578" t="n">
        <v>100</v>
      </c>
      <c r="E1578" t="n">
        <v>170</v>
      </c>
      <c r="F1578" t="n">
        <v>0</v>
      </c>
      <c r="G1578">
        <f>SUMIF(PRISPELO!B:B, A1578, PRISPELO!G:G)</f>
        <v/>
      </c>
      <c r="H1578">
        <f>SUMIF(ODPIS!B:B, A1578, ODPIS!G:G)</f>
        <v/>
      </c>
      <c r="I1578" s="2">
        <f>F1578 + G1578 - H1578</f>
        <v/>
      </c>
    </row>
    <row r="1579">
      <c r="A1579" t="n">
        <v>3587</v>
      </c>
      <c r="B1579" t="inlineStr">
        <is>
          <t>GARDA MATT</t>
        </is>
      </c>
      <c r="C1579" t="n">
        <v>45</v>
      </c>
      <c r="D1579" t="n">
        <v>64</v>
      </c>
      <c r="E1579" t="n">
        <v>250</v>
      </c>
      <c r="F1579" t="n">
        <v>0</v>
      </c>
      <c r="G1579">
        <f>SUMIF(PRISPELO!B:B, A1579, PRISPELO!G:G)</f>
        <v/>
      </c>
      <c r="H1579">
        <f>SUMIF(ODPIS!B:B, A1579, ODPIS!G:G)</f>
        <v/>
      </c>
      <c r="I1579" s="2">
        <f>F1579 + G1579 - H1579</f>
        <v/>
      </c>
    </row>
    <row r="1580">
      <c r="A1580" t="n">
        <v>3588</v>
      </c>
      <c r="B1580" t="inlineStr">
        <is>
          <t>GARDA MATT</t>
        </is>
      </c>
      <c r="C1580" t="n">
        <v>49.8</v>
      </c>
      <c r="D1580" t="n">
        <v>69.8</v>
      </c>
      <c r="E1580" t="n">
        <v>90</v>
      </c>
      <c r="F1580" t="n">
        <v>0</v>
      </c>
      <c r="G1580">
        <f>SUMIF(PRISPELO!B:B, A1580, PRISPELO!G:G)</f>
        <v/>
      </c>
      <c r="H1580">
        <f>SUMIF(ODPIS!B:B, A1580, ODPIS!G:G)</f>
        <v/>
      </c>
      <c r="I1580" s="2">
        <f>F1580 + G1580 - H1580</f>
        <v/>
      </c>
    </row>
    <row r="1581">
      <c r="A1581" t="n">
        <v>3589</v>
      </c>
      <c r="B1581" t="inlineStr">
        <is>
          <t>MAGNO VOLUME</t>
        </is>
      </c>
      <c r="C1581" t="n">
        <v>70</v>
      </c>
      <c r="D1581" t="n">
        <v>100</v>
      </c>
      <c r="E1581" t="n">
        <v>350</v>
      </c>
      <c r="F1581" t="n">
        <v>0</v>
      </c>
      <c r="G1581">
        <f>SUMIF(PRISPELO!B:B, A1581, PRISPELO!G:G)</f>
        <v/>
      </c>
      <c r="H1581">
        <f>SUMIF(ODPIS!B:B, A1581, ODPIS!G:G)</f>
        <v/>
      </c>
      <c r="I1581" s="2">
        <f>F1581 + G1581 - H1581</f>
        <v/>
      </c>
    </row>
    <row r="1582">
      <c r="A1582" t="n">
        <v>4051</v>
      </c>
      <c r="B1582" t="inlineStr">
        <is>
          <t>Kuverta amerikanka ELCO BO SI</t>
        </is>
      </c>
      <c r="C1582" t="n">
        <v>16.2</v>
      </c>
      <c r="D1582" t="n">
        <v>22.9</v>
      </c>
      <c r="E1582" t="n">
        <v>100</v>
      </c>
      <c r="F1582" t="n">
        <v>0</v>
      </c>
      <c r="G1582">
        <f>SUMIF(PRISPELO!B:B, A1582, PRISPELO!G:G)</f>
        <v/>
      </c>
      <c r="H1582">
        <f>SUMIF(ODPIS!B:B, A1582, ODPIS!G:G)</f>
        <v/>
      </c>
      <c r="I1582" s="2">
        <f>F1582 + G1582 - H1582</f>
        <v/>
      </c>
    </row>
    <row r="1583">
      <c r="A1583" t="n">
        <v>3590</v>
      </c>
      <c r="B1583" t="inlineStr">
        <is>
          <t>Garda matt</t>
        </is>
      </c>
      <c r="C1583" t="n">
        <v>90</v>
      </c>
      <c r="D1583" t="n">
        <v>64</v>
      </c>
      <c r="E1583" t="n">
        <v>350</v>
      </c>
      <c r="F1583" t="n">
        <v>0</v>
      </c>
      <c r="G1583">
        <f>SUMIF(PRISPELO!B:B, A1583, PRISPELO!G:G)</f>
        <v/>
      </c>
      <c r="H1583">
        <f>SUMIF(ODPIS!B:B, A1583, ODPIS!G:G)</f>
        <v/>
      </c>
      <c r="I1583" s="2">
        <f>F1583 + G1583 - H1583</f>
        <v/>
      </c>
    </row>
    <row r="1584">
      <c r="A1584" t="n">
        <v>3591</v>
      </c>
      <c r="B1584" t="inlineStr">
        <is>
          <t>SYMBOL CARD FEDRIGONI 2SC</t>
        </is>
      </c>
      <c r="C1584" t="n">
        <v>72</v>
      </c>
      <c r="D1584" t="n">
        <v>102</v>
      </c>
      <c r="E1584" t="n">
        <v>400</v>
      </c>
      <c r="F1584" t="n">
        <v>0</v>
      </c>
      <c r="G1584">
        <f>SUMIF(PRISPELO!B:B, A1584, PRISPELO!G:G)</f>
        <v/>
      </c>
      <c r="H1584">
        <f>SUMIF(ODPIS!B:B, A1584, ODPIS!G:G)</f>
        <v/>
      </c>
      <c r="I1584" s="2">
        <f>F1584 + G1584 - H1584</f>
        <v/>
      </c>
    </row>
    <row r="1585">
      <c r="A1585" t="n">
        <v>3592</v>
      </c>
      <c r="B1585" t="inlineStr">
        <is>
          <t>MAGNO SATIN</t>
        </is>
      </c>
      <c r="C1585" t="n">
        <v>45</v>
      </c>
      <c r="D1585" t="n">
        <v>64</v>
      </c>
      <c r="E1585" t="n">
        <v>250</v>
      </c>
      <c r="F1585" t="n">
        <v>0</v>
      </c>
      <c r="G1585">
        <f>SUMIF(PRISPELO!B:B, A1585, PRISPELO!G:G)</f>
        <v/>
      </c>
      <c r="H1585">
        <f>SUMIF(ODPIS!B:B, A1585, ODPIS!G:G)</f>
        <v/>
      </c>
      <c r="I1585" s="2">
        <f>F1585 + G1585 - H1585</f>
        <v/>
      </c>
    </row>
    <row r="1586">
      <c r="A1586" t="n">
        <v>3593</v>
      </c>
      <c r="B1586" t="inlineStr">
        <is>
          <t>MAGNO SATIN</t>
        </is>
      </c>
      <c r="C1586" t="n">
        <v>45</v>
      </c>
      <c r="D1586" t="n">
        <v>64</v>
      </c>
      <c r="E1586" t="n">
        <v>135</v>
      </c>
      <c r="F1586" t="n">
        <v>0</v>
      </c>
      <c r="G1586">
        <f>SUMIF(PRISPELO!B:B, A1586, PRISPELO!G:G)</f>
        <v/>
      </c>
      <c r="H1586">
        <f>SUMIF(ODPIS!B:B, A1586, ODPIS!G:G)</f>
        <v/>
      </c>
      <c r="I1586" s="2">
        <f>F1586 + G1586 - H1586</f>
        <v/>
      </c>
    </row>
    <row r="1587">
      <c r="A1587" t="n">
        <v>4176</v>
      </c>
      <c r="B1587" t="inlineStr">
        <is>
          <t>SPLENDBERGEL EXTRA WHITE</t>
        </is>
      </c>
      <c r="C1587" t="n">
        <v>17</v>
      </c>
      <c r="D1587" t="n">
        <v>17</v>
      </c>
      <c r="E1587" t="n">
        <v>115</v>
      </c>
      <c r="F1587" t="n">
        <v>0</v>
      </c>
      <c r="G1587">
        <f>SUMIF(PRISPELO!B:B, A1587, PRISPELO!G:G)</f>
        <v/>
      </c>
      <c r="H1587">
        <f>SUMIF(ODPIS!B:B, A1587, ODPIS!G:G)</f>
        <v/>
      </c>
      <c r="I1587" s="2">
        <f>F1587 + G1587 - H1587</f>
        <v/>
      </c>
    </row>
    <row r="1588">
      <c r="A1588" t="n">
        <v>3594</v>
      </c>
      <c r="B1588" t="inlineStr">
        <is>
          <t>IQ Selection smooth</t>
        </is>
      </c>
      <c r="C1588" t="n">
        <v>45</v>
      </c>
      <c r="D1588" t="n">
        <v>32</v>
      </c>
      <c r="E1588" t="n">
        <v>120</v>
      </c>
      <c r="F1588" t="n">
        <v>0</v>
      </c>
      <c r="G1588">
        <f>SUMIF(PRISPELO!B:B, A1588, PRISPELO!G:G)</f>
        <v/>
      </c>
      <c r="H1588">
        <f>SUMIF(ODPIS!B:B, A1588, ODPIS!G:G)</f>
        <v/>
      </c>
      <c r="I1588" s="2">
        <f>F1588 + G1588 - H1588</f>
        <v/>
      </c>
    </row>
    <row r="1589">
      <c r="A1589" t="n">
        <v>3595</v>
      </c>
      <c r="B1589" t="inlineStr">
        <is>
          <t>IQ Selection smooth</t>
        </is>
      </c>
      <c r="C1589" t="n">
        <v>45</v>
      </c>
      <c r="D1589" t="n">
        <v>32</v>
      </c>
      <c r="E1589" t="n">
        <v>100</v>
      </c>
      <c r="F1589" t="n">
        <v>0</v>
      </c>
      <c r="G1589">
        <f>SUMIF(PRISPELO!B:B, A1589, PRISPELO!G:G)</f>
        <v/>
      </c>
      <c r="H1589">
        <f>SUMIF(ODPIS!B:B, A1589, ODPIS!G:G)</f>
        <v/>
      </c>
      <c r="I1589" s="2">
        <f>F1589 + G1589 - H1589</f>
        <v/>
      </c>
    </row>
    <row r="1590">
      <c r="A1590" t="n">
        <v>3596</v>
      </c>
      <c r="B1590" t="inlineStr">
        <is>
          <t>IQ SELECTION WHITE BOARD</t>
        </is>
      </c>
      <c r="C1590" t="n">
        <v>72</v>
      </c>
      <c r="D1590" t="n">
        <v>102</v>
      </c>
      <c r="E1590" t="n">
        <v>250</v>
      </c>
      <c r="F1590" t="n">
        <v>0</v>
      </c>
      <c r="G1590">
        <f>SUMIF(PRISPELO!B:B, A1590, PRISPELO!G:G)</f>
        <v/>
      </c>
      <c r="H1590">
        <f>SUMIF(ODPIS!B:B, A1590, ODPIS!G:G)</f>
        <v/>
      </c>
      <c r="I1590" s="2">
        <f>F1590 + G1590 - H1590</f>
        <v/>
      </c>
    </row>
    <row r="1591">
      <c r="A1591" t="n">
        <v>3597</v>
      </c>
      <c r="B1591" t="inlineStr">
        <is>
          <t>CLARO BULK</t>
        </is>
      </c>
      <c r="C1591" t="n">
        <v>64</v>
      </c>
      <c r="D1591" t="n">
        <v>90</v>
      </c>
      <c r="E1591" t="n">
        <v>170</v>
      </c>
      <c r="F1591" t="n">
        <v>0</v>
      </c>
      <c r="G1591">
        <f>SUMIF(PRISPELO!B:B, A1591, PRISPELO!G:G)</f>
        <v/>
      </c>
      <c r="H1591">
        <f>SUMIF(ODPIS!B:B, A1591, ODPIS!G:G)</f>
        <v/>
      </c>
      <c r="I1591" s="2">
        <f>F1591 + G1591 - H1591</f>
        <v/>
      </c>
    </row>
    <row r="1592">
      <c r="A1592" t="n">
        <v>3598</v>
      </c>
      <c r="B1592" t="inlineStr">
        <is>
          <t>Offset Preprint</t>
        </is>
      </c>
      <c r="C1592" t="n">
        <v>46</v>
      </c>
      <c r="D1592" t="n">
        <v>64</v>
      </c>
      <c r="E1592" t="n">
        <v>100</v>
      </c>
      <c r="F1592" t="n">
        <v>0</v>
      </c>
      <c r="G1592">
        <f>SUMIF(PRISPELO!B:B, A1592, PRISPELO!G:G)</f>
        <v/>
      </c>
      <c r="H1592">
        <f>SUMIF(ODPIS!B:B, A1592, ODPIS!G:G)</f>
        <v/>
      </c>
      <c r="I1592" s="2">
        <f>F1592 + G1592 - H1592</f>
        <v/>
      </c>
    </row>
    <row r="1593">
      <c r="A1593" t="n">
        <v>3599</v>
      </c>
      <c r="B1593" t="inlineStr">
        <is>
          <t>IMPACT NATURAL</t>
        </is>
      </c>
      <c r="C1593" t="n">
        <v>90</v>
      </c>
      <c r="D1593" t="n">
        <v>64</v>
      </c>
      <c r="E1593" t="n">
        <v>80</v>
      </c>
      <c r="F1593" t="n">
        <v>0</v>
      </c>
      <c r="G1593">
        <f>SUMIF(PRISPELO!B:B, A1593, PRISPELO!G:G)</f>
        <v/>
      </c>
      <c r="H1593">
        <f>SUMIF(ODPIS!B:B, A1593, ODPIS!G:G)</f>
        <v/>
      </c>
      <c r="I1593" s="2">
        <f>F1593 + G1593 - H1593</f>
        <v/>
      </c>
    </row>
    <row r="1594">
      <c r="A1594" t="n">
        <v>3600</v>
      </c>
      <c r="B1594" t="inlineStr">
        <is>
          <t>IMPACT NATURAL</t>
        </is>
      </c>
      <c r="C1594" t="n">
        <v>64</v>
      </c>
      <c r="D1594" t="n">
        <v>90</v>
      </c>
      <c r="E1594" t="n">
        <v>115</v>
      </c>
      <c r="F1594" t="n">
        <v>0</v>
      </c>
      <c r="G1594">
        <f>SUMIF(PRISPELO!B:B, A1594, PRISPELO!G:G)</f>
        <v/>
      </c>
      <c r="H1594">
        <f>SUMIF(ODPIS!B:B, A1594, ODPIS!G:G)</f>
        <v/>
      </c>
      <c r="I1594" s="2">
        <f>F1594 + G1594 - H1594</f>
        <v/>
      </c>
    </row>
    <row r="1595">
      <c r="A1595" t="n">
        <v>3602</v>
      </c>
      <c r="B1595" t="inlineStr">
        <is>
          <t>UPM SOL SILK</t>
        </is>
      </c>
      <c r="C1595" t="n">
        <v>64</v>
      </c>
      <c r="D1595" t="n">
        <v>90</v>
      </c>
      <c r="E1595" t="n">
        <v>80</v>
      </c>
      <c r="F1595" t="n">
        <v>0</v>
      </c>
      <c r="G1595">
        <f>SUMIF(PRISPELO!B:B, A1595, PRISPELO!G:G)</f>
        <v/>
      </c>
      <c r="H1595">
        <f>SUMIF(ODPIS!B:B, A1595, ODPIS!G:G)</f>
        <v/>
      </c>
      <c r="I1595" s="2">
        <f>F1595 + G1595 - H1595</f>
        <v/>
      </c>
    </row>
    <row r="1596">
      <c r="A1596" t="n">
        <v>3603</v>
      </c>
      <c r="B1596" t="inlineStr">
        <is>
          <t>NIVIS NEXT MATT</t>
        </is>
      </c>
      <c r="C1596" t="n">
        <v>100</v>
      </c>
      <c r="D1596" t="n">
        <v>70</v>
      </c>
      <c r="E1596" t="n">
        <v>115</v>
      </c>
      <c r="F1596" t="n">
        <v>0</v>
      </c>
      <c r="G1596">
        <f>SUMIF(PRISPELO!B:B, A1596, PRISPELO!G:G)</f>
        <v/>
      </c>
      <c r="H1596">
        <f>SUMIF(ODPIS!B:B, A1596, ODPIS!G:G)</f>
        <v/>
      </c>
      <c r="I1596" s="2">
        <f>F1596 + G1596 - H1596</f>
        <v/>
      </c>
    </row>
    <row r="1597">
      <c r="A1597" t="n">
        <v>3604</v>
      </c>
      <c r="B1597" t="inlineStr">
        <is>
          <t>IQ PREMIUM PREPRINT</t>
        </is>
      </c>
      <c r="C1597" t="n">
        <v>100</v>
      </c>
      <c r="D1597" t="n">
        <v>70</v>
      </c>
      <c r="E1597" t="n">
        <v>250</v>
      </c>
      <c r="F1597" t="n">
        <v>0</v>
      </c>
      <c r="G1597">
        <f>SUMIF(PRISPELO!B:B, A1597, PRISPELO!G:G)</f>
        <v/>
      </c>
      <c r="H1597">
        <f>SUMIF(ODPIS!B:B, A1597, ODPIS!G:G)</f>
        <v/>
      </c>
      <c r="I1597" s="2">
        <f>F1597 + G1597 - H1597</f>
        <v/>
      </c>
    </row>
    <row r="1598">
      <c r="A1598" t="n">
        <v>3605</v>
      </c>
      <c r="B1598" t="inlineStr">
        <is>
          <t>GRAFOPAK</t>
        </is>
      </c>
      <c r="C1598" t="n">
        <v>101</v>
      </c>
      <c r="D1598" t="n">
        <v>71</v>
      </c>
      <c r="E1598" t="n">
        <v>350</v>
      </c>
      <c r="F1598" t="n">
        <v>0</v>
      </c>
      <c r="G1598">
        <f>SUMIF(PRISPELO!B:B, A1598, PRISPELO!G:G)</f>
        <v/>
      </c>
      <c r="H1598">
        <f>SUMIF(ODPIS!B:B, A1598, ODPIS!G:G)</f>
        <v/>
      </c>
      <c r="I1598" s="2">
        <f>F1598 + G1598 - H1598</f>
        <v/>
      </c>
    </row>
    <row r="1599">
      <c r="A1599" t="n">
        <v>3606</v>
      </c>
      <c r="B1599" t="inlineStr">
        <is>
          <t>GALERIEART SILK</t>
        </is>
      </c>
      <c r="C1599" t="n">
        <v>74</v>
      </c>
      <c r="D1599" t="n">
        <v>104</v>
      </c>
      <c r="E1599" t="n">
        <v>150</v>
      </c>
      <c r="F1599" t="n">
        <v>0</v>
      </c>
      <c r="G1599">
        <f>SUMIF(PRISPELO!B:B, A1599, PRISPELO!G:G)</f>
        <v/>
      </c>
      <c r="H1599">
        <f>SUMIF(ODPIS!B:B, A1599, ODPIS!G:G)</f>
        <v/>
      </c>
      <c r="I1599" s="2">
        <f>F1599 + G1599 - H1599</f>
        <v/>
      </c>
    </row>
    <row r="1600">
      <c r="A1600" t="n">
        <v>3607</v>
      </c>
      <c r="B1600" t="inlineStr">
        <is>
          <t>ARCOSET Extra White</t>
        </is>
      </c>
      <c r="C1600" t="n">
        <v>70</v>
      </c>
      <c r="D1600" t="n">
        <v>100</v>
      </c>
      <c r="E1600" t="n">
        <v>70</v>
      </c>
      <c r="F1600" t="n">
        <v>0</v>
      </c>
      <c r="G1600">
        <f>SUMIF(PRISPELO!B:B, A1600, PRISPELO!G:G)</f>
        <v/>
      </c>
      <c r="H1600">
        <f>SUMIF(ODPIS!B:B, A1600, ODPIS!G:G)</f>
        <v/>
      </c>
      <c r="I1600" s="2">
        <f>F1600 + G1600 - H1600</f>
        <v/>
      </c>
    </row>
    <row r="1601">
      <c r="A1601" t="n">
        <v>3608</v>
      </c>
      <c r="B1601" t="inlineStr">
        <is>
          <t>ARCOSET Extra White</t>
        </is>
      </c>
      <c r="C1601" t="n">
        <v>100</v>
      </c>
      <c r="D1601" t="n">
        <v>70</v>
      </c>
      <c r="E1601" t="n">
        <v>250</v>
      </c>
      <c r="F1601" t="n">
        <v>0</v>
      </c>
      <c r="G1601">
        <f>SUMIF(PRISPELO!B:B, A1601, PRISPELO!G:G)</f>
        <v/>
      </c>
      <c r="H1601">
        <f>SUMIF(ODPIS!B:B, A1601, ODPIS!G:G)</f>
        <v/>
      </c>
      <c r="I1601" s="2">
        <f>F1601 + G1601 - H1601</f>
        <v/>
      </c>
    </row>
    <row r="1602">
      <c r="A1602" t="n">
        <v>3609</v>
      </c>
      <c r="B1602" t="inlineStr">
        <is>
          <t>METSABOARD PRIME</t>
        </is>
      </c>
      <c r="C1602" t="n">
        <v>102</v>
      </c>
      <c r="D1602" t="n">
        <v>72</v>
      </c>
      <c r="E1602" t="n">
        <v>330</v>
      </c>
      <c r="F1602" t="n">
        <v>0</v>
      </c>
      <c r="G1602">
        <f>SUMIF(PRISPELO!B:B, A1602, PRISPELO!G:G)</f>
        <v/>
      </c>
      <c r="H1602">
        <f>SUMIF(ODPIS!B:B, A1602, ODPIS!G:G)</f>
        <v/>
      </c>
      <c r="I1602" s="2">
        <f>F1602 + G1602 - H1602</f>
        <v/>
      </c>
    </row>
    <row r="1603">
      <c r="A1603" t="n">
        <v>3610</v>
      </c>
      <c r="B1603" t="inlineStr">
        <is>
          <t>MP STANDARD</t>
        </is>
      </c>
      <c r="C1603" t="n">
        <v>50</v>
      </c>
      <c r="D1603" t="n">
        <v>70</v>
      </c>
      <c r="E1603" t="n">
        <v>80</v>
      </c>
      <c r="F1603" t="n">
        <v>0</v>
      </c>
      <c r="G1603">
        <f>SUMIF(PRISPELO!B:B, A1603, PRISPELO!G:G)</f>
        <v/>
      </c>
      <c r="H1603">
        <f>SUMIF(ODPIS!B:B, A1603, ODPIS!G:G)</f>
        <v/>
      </c>
      <c r="I1603" s="2">
        <f>F1603 + G1603 - H1603</f>
        <v/>
      </c>
    </row>
    <row r="1604">
      <c r="A1604" t="n">
        <v>3611</v>
      </c>
      <c r="B1604" t="inlineStr">
        <is>
          <t>SAMOL. FASSON REMOVABLE</t>
        </is>
      </c>
      <c r="C1604" t="n">
        <v>50</v>
      </c>
      <c r="D1604" t="n">
        <v>70</v>
      </c>
      <c r="E1604" t="n">
        <v>0</v>
      </c>
      <c r="F1604" t="n">
        <v>0</v>
      </c>
      <c r="G1604">
        <f>SUMIF(PRISPELO!B:B, A1604, PRISPELO!G:G)</f>
        <v/>
      </c>
      <c r="H1604">
        <f>SUMIF(ODPIS!B:B, A1604, ODPIS!G:G)</f>
        <v/>
      </c>
      <c r="I1604" s="2">
        <f>F1604 + G1604 - H1604</f>
        <v/>
      </c>
    </row>
    <row r="1605">
      <c r="A1605" t="n">
        <v>3612</v>
      </c>
      <c r="B1605" t="inlineStr">
        <is>
          <t>SAMOL. WHITE REMOVABLE</t>
        </is>
      </c>
      <c r="C1605" t="n">
        <v>100</v>
      </c>
      <c r="D1605" t="n">
        <v>70</v>
      </c>
      <c r="E1605" t="n">
        <v>0</v>
      </c>
      <c r="F1605" t="n">
        <v>0</v>
      </c>
      <c r="G1605">
        <f>SUMIF(PRISPELO!B:B, A1605, PRISPELO!G:G)</f>
        <v/>
      </c>
      <c r="H1605">
        <f>SUMIF(ODPIS!B:B, A1605, ODPIS!G:G)</f>
        <v/>
      </c>
      <c r="I1605" s="2">
        <f>F1605 + G1605 - H1605</f>
        <v/>
      </c>
    </row>
    <row r="1606">
      <c r="A1606" t="n">
        <v>3613</v>
      </c>
      <c r="B1606" t="inlineStr">
        <is>
          <t>PREMIUM SILK</t>
        </is>
      </c>
      <c r="C1606" t="n">
        <v>90</v>
      </c>
      <c r="D1606" t="n">
        <v>64</v>
      </c>
      <c r="E1606" t="n">
        <v>170</v>
      </c>
      <c r="F1606" t="n">
        <v>0</v>
      </c>
      <c r="G1606">
        <f>SUMIF(PRISPELO!B:B, A1606, PRISPELO!G:G)</f>
        <v/>
      </c>
      <c r="H1606">
        <f>SUMIF(ODPIS!B:B, A1606, ODPIS!G:G)</f>
        <v/>
      </c>
      <c r="I1606" s="2">
        <f>F1606 + G1606 - H1606</f>
        <v/>
      </c>
    </row>
    <row r="1607">
      <c r="A1607" t="n">
        <v>3614</v>
      </c>
      <c r="B1607" t="inlineStr">
        <is>
          <t>PREMIUM SILK</t>
        </is>
      </c>
      <c r="C1607" t="n">
        <v>90</v>
      </c>
      <c r="D1607" t="n">
        <v>64</v>
      </c>
      <c r="E1607" t="n">
        <v>300</v>
      </c>
      <c r="F1607" t="n">
        <v>0</v>
      </c>
      <c r="G1607">
        <f>SUMIF(PRISPELO!B:B, A1607, PRISPELO!G:G)</f>
        <v/>
      </c>
      <c r="H1607">
        <f>SUMIF(ODPIS!B:B, A1607, ODPIS!G:G)</f>
        <v/>
      </c>
      <c r="I1607" s="2">
        <f>F1607 + G1607 - H1607</f>
        <v/>
      </c>
    </row>
    <row r="1608">
      <c r="A1608" t="n">
        <v>3615</v>
      </c>
      <c r="B1608" t="inlineStr">
        <is>
          <t>PREMIUM SILK</t>
        </is>
      </c>
      <c r="C1608" t="n">
        <v>64</v>
      </c>
      <c r="D1608" t="n">
        <v>90</v>
      </c>
      <c r="E1608" t="n">
        <v>170</v>
      </c>
      <c r="F1608" t="n">
        <v>0</v>
      </c>
      <c r="G1608">
        <f>SUMIF(PRISPELO!B:B, A1608, PRISPELO!G:G)</f>
        <v/>
      </c>
      <c r="H1608">
        <f>SUMIF(ODPIS!B:B, A1608, ODPIS!G:G)</f>
        <v/>
      </c>
      <c r="I1608" s="2">
        <f>F1608 + G1608 - H1608</f>
        <v/>
      </c>
    </row>
    <row r="1609">
      <c r="A1609" t="n">
        <v>3616</v>
      </c>
      <c r="B1609" t="inlineStr">
        <is>
          <t>PREMIUM SILK</t>
        </is>
      </c>
      <c r="C1609" t="n">
        <v>102</v>
      </c>
      <c r="D1609" t="n">
        <v>72</v>
      </c>
      <c r="E1609" t="n">
        <v>250</v>
      </c>
      <c r="F1609" t="n">
        <v>0</v>
      </c>
      <c r="G1609">
        <f>SUMIF(PRISPELO!B:B, A1609, PRISPELO!G:G)</f>
        <v/>
      </c>
      <c r="H1609">
        <f>SUMIF(ODPIS!B:B, A1609, ODPIS!G:G)</f>
        <v/>
      </c>
      <c r="I1609" s="2">
        <f>F1609 + G1609 - H1609</f>
        <v/>
      </c>
    </row>
    <row r="1610">
      <c r="A1610" t="n">
        <v>3617</v>
      </c>
      <c r="B1610" t="inlineStr">
        <is>
          <t>Magno natural offset</t>
        </is>
      </c>
      <c r="C1610" t="n">
        <v>100</v>
      </c>
      <c r="D1610" t="n">
        <v>70</v>
      </c>
      <c r="E1610" t="n">
        <v>190</v>
      </c>
      <c r="F1610" t="n">
        <v>0</v>
      </c>
      <c r="G1610">
        <f>SUMIF(PRISPELO!B:B, A1610, PRISPELO!G:G)</f>
        <v/>
      </c>
      <c r="H1610">
        <f>SUMIF(ODPIS!B:B, A1610, ODPIS!G:G)</f>
        <v/>
      </c>
      <c r="I1610" s="2">
        <f>F1610 + G1610 - H1610</f>
        <v/>
      </c>
    </row>
    <row r="1611">
      <c r="A1611" t="n">
        <v>3619</v>
      </c>
      <c r="B1611" t="inlineStr">
        <is>
          <t>ZENITH</t>
        </is>
      </c>
      <c r="C1611" t="n">
        <v>102</v>
      </c>
      <c r="D1611" t="n">
        <v>72</v>
      </c>
      <c r="E1611" t="n">
        <v>270</v>
      </c>
      <c r="F1611" t="n">
        <v>0</v>
      </c>
      <c r="G1611">
        <f>SUMIF(PRISPELO!B:B, A1611, PRISPELO!G:G)</f>
        <v/>
      </c>
      <c r="H1611">
        <f>SUMIF(ODPIS!B:B, A1611, ODPIS!G:G)</f>
        <v/>
      </c>
      <c r="I1611" s="2">
        <f>F1611 + G1611 - H1611</f>
        <v/>
      </c>
    </row>
    <row r="1612">
      <c r="A1612" t="n">
        <v>3620</v>
      </c>
      <c r="B1612" t="inlineStr">
        <is>
          <t>ZENITH</t>
        </is>
      </c>
      <c r="C1612" t="n">
        <v>72</v>
      </c>
      <c r="D1612" t="n">
        <v>102</v>
      </c>
      <c r="E1612" t="n">
        <v>270</v>
      </c>
      <c r="F1612" t="n">
        <v>0</v>
      </c>
      <c r="G1612">
        <f>SUMIF(PRISPELO!B:B, A1612, PRISPELO!G:G)</f>
        <v/>
      </c>
      <c r="H1612">
        <f>SUMIF(ODPIS!B:B, A1612, ODPIS!G:G)</f>
        <v/>
      </c>
      <c r="I1612" s="2">
        <f>F1612 + G1612 - H1612</f>
        <v/>
      </c>
    </row>
    <row r="1613">
      <c r="A1613" t="n">
        <v>3621</v>
      </c>
      <c r="B1613" t="inlineStr">
        <is>
          <t>ZENITH</t>
        </is>
      </c>
      <c r="C1613" t="n">
        <v>71</v>
      </c>
      <c r="D1613" t="n">
        <v>101</v>
      </c>
      <c r="E1613" t="n">
        <v>250</v>
      </c>
      <c r="F1613" t="n">
        <v>0</v>
      </c>
      <c r="G1613">
        <f>SUMIF(PRISPELO!B:B, A1613, PRISPELO!G:G)</f>
        <v/>
      </c>
      <c r="H1613">
        <f>SUMIF(ODPIS!B:B, A1613, ODPIS!G:G)</f>
        <v/>
      </c>
      <c r="I1613" s="2">
        <f>F1613 + G1613 - H1613</f>
        <v/>
      </c>
    </row>
    <row r="1614">
      <c r="A1614" t="n">
        <v>3622</v>
      </c>
      <c r="B1614" t="inlineStr">
        <is>
          <t>IQ COLOR PINK</t>
        </is>
      </c>
      <c r="C1614" t="n">
        <v>70</v>
      </c>
      <c r="D1614" t="n">
        <v>100</v>
      </c>
      <c r="E1614" t="n">
        <v>230</v>
      </c>
      <c r="F1614" t="n">
        <v>0</v>
      </c>
      <c r="G1614">
        <f>SUMIF(PRISPELO!B:B, A1614, PRISPELO!G:G)</f>
        <v/>
      </c>
      <c r="H1614">
        <f>SUMIF(ODPIS!B:B, A1614, ODPIS!G:G)</f>
        <v/>
      </c>
      <c r="I1614" s="2">
        <f>F1614 + G1614 - H1614</f>
        <v/>
      </c>
    </row>
    <row r="1615">
      <c r="A1615" t="n">
        <v>3623</v>
      </c>
      <c r="B1615" t="inlineStr">
        <is>
          <t>IQ PRINT</t>
        </is>
      </c>
      <c r="C1615" t="n">
        <v>65</v>
      </c>
      <c r="D1615" t="n">
        <v>42</v>
      </c>
      <c r="E1615" t="n">
        <v>90</v>
      </c>
      <c r="F1615" t="n">
        <v>0</v>
      </c>
      <c r="G1615">
        <f>SUMIF(PRISPELO!B:B, A1615, PRISPELO!G:G)</f>
        <v/>
      </c>
      <c r="H1615">
        <f>SUMIF(ODPIS!B:B, A1615, ODPIS!G:G)</f>
        <v/>
      </c>
      <c r="I1615" s="2">
        <f>F1615 + G1615 - H1615</f>
        <v/>
      </c>
    </row>
    <row r="1616">
      <c r="A1616" t="n">
        <v>3624</v>
      </c>
      <c r="B1616" t="inlineStr">
        <is>
          <t>PREMIUM VOLUME</t>
        </is>
      </c>
      <c r="C1616" t="n">
        <v>45</v>
      </c>
      <c r="D1616" t="n">
        <v>64</v>
      </c>
      <c r="E1616" t="n">
        <v>100</v>
      </c>
      <c r="F1616" t="n">
        <v>0</v>
      </c>
      <c r="G1616">
        <f>SUMIF(PRISPELO!B:B, A1616, PRISPELO!G:G)</f>
        <v/>
      </c>
      <c r="H1616">
        <f>SUMIF(ODPIS!B:B, A1616, ODPIS!G:G)</f>
        <v/>
      </c>
      <c r="I1616" s="2">
        <f>F1616 + G1616 - H1616</f>
        <v/>
      </c>
    </row>
    <row r="1617">
      <c r="A1617" t="n">
        <v>3625</v>
      </c>
      <c r="B1617" t="inlineStr">
        <is>
          <t>ZENITH BULK</t>
        </is>
      </c>
      <c r="C1617" t="n">
        <v>102</v>
      </c>
      <c r="D1617" t="n">
        <v>72</v>
      </c>
      <c r="E1617" t="n">
        <v>295</v>
      </c>
      <c r="F1617" t="n">
        <v>0</v>
      </c>
      <c r="G1617">
        <f>SUMIF(PRISPELO!B:B, A1617, PRISPELO!G:G)</f>
        <v/>
      </c>
      <c r="H1617">
        <f>SUMIF(ODPIS!B:B, A1617, ODPIS!G:G)</f>
        <v/>
      </c>
      <c r="I1617" s="2">
        <f>F1617 + G1617 - H1617</f>
        <v/>
      </c>
    </row>
    <row r="1618">
      <c r="A1618" t="n">
        <v>3626</v>
      </c>
      <c r="B1618" t="inlineStr">
        <is>
          <t>PREMIUM VOLUME</t>
        </is>
      </c>
      <c r="C1618" t="n">
        <v>100</v>
      </c>
      <c r="D1618" t="n">
        <v>70</v>
      </c>
      <c r="E1618" t="n">
        <v>250</v>
      </c>
      <c r="F1618" t="n">
        <v>0</v>
      </c>
      <c r="G1618">
        <f>SUMIF(PRISPELO!B:B, A1618, PRISPELO!G:G)</f>
        <v/>
      </c>
      <c r="H1618">
        <f>SUMIF(ODPIS!B:B, A1618, ODPIS!G:G)</f>
        <v/>
      </c>
      <c r="I1618" s="2">
        <f>F1618 + G1618 - H1618</f>
        <v/>
      </c>
    </row>
    <row r="1619">
      <c r="A1619" t="n">
        <v>3627</v>
      </c>
      <c r="B1619" t="inlineStr">
        <is>
          <t>IMPACT NATURAL</t>
        </is>
      </c>
      <c r="C1619" t="n">
        <v>70</v>
      </c>
      <c r="D1619" t="n">
        <v>100</v>
      </c>
      <c r="E1619" t="n">
        <v>190</v>
      </c>
      <c r="F1619" t="n">
        <v>0</v>
      </c>
      <c r="G1619">
        <f>SUMIF(PRISPELO!B:B, A1619, PRISPELO!G:G)</f>
        <v/>
      </c>
      <c r="H1619">
        <f>SUMIF(ODPIS!B:B, A1619, ODPIS!G:G)</f>
        <v/>
      </c>
      <c r="I1619" s="2">
        <f>F1619 + G1619 - H1619</f>
        <v/>
      </c>
    </row>
    <row r="1620">
      <c r="A1620" t="n">
        <v>3628</v>
      </c>
      <c r="B1620" t="inlineStr">
        <is>
          <t>ARCOSET EXTRA WHITE</t>
        </is>
      </c>
      <c r="C1620" t="n">
        <v>70</v>
      </c>
      <c r="D1620" t="n">
        <v>100</v>
      </c>
      <c r="E1620" t="n">
        <v>300</v>
      </c>
      <c r="F1620" t="n">
        <v>0</v>
      </c>
      <c r="G1620">
        <f>SUMIF(PRISPELO!B:B, A1620, PRISPELO!G:G)</f>
        <v/>
      </c>
      <c r="H1620">
        <f>SUMIF(ODPIS!B:B, A1620, ODPIS!G:G)</f>
        <v/>
      </c>
      <c r="I1620" s="2">
        <f>F1620 + G1620 - H1620</f>
        <v/>
      </c>
    </row>
    <row r="1621">
      <c r="A1621" t="n">
        <v>3629</v>
      </c>
      <c r="B1621" t="inlineStr">
        <is>
          <t>ROYALSET OFFSET</t>
        </is>
      </c>
      <c r="C1621" t="n">
        <v>64</v>
      </c>
      <c r="D1621" t="n">
        <v>90</v>
      </c>
      <c r="E1621" t="n">
        <v>120</v>
      </c>
      <c r="F1621" t="n">
        <v>0</v>
      </c>
      <c r="G1621">
        <f>SUMIF(PRISPELO!B:B, A1621, PRISPELO!G:G)</f>
        <v/>
      </c>
      <c r="H1621">
        <f>SUMIF(ODPIS!B:B, A1621, ODPIS!G:G)</f>
        <v/>
      </c>
      <c r="I1621" s="2">
        <f>F1621 + G1621 - H1621</f>
        <v/>
      </c>
    </row>
    <row r="1622">
      <c r="A1622" t="n">
        <v>3630</v>
      </c>
      <c r="B1622" t="inlineStr">
        <is>
          <t>ROYALCOAT ULTRA MATT</t>
        </is>
      </c>
      <c r="C1622" t="n">
        <v>74</v>
      </c>
      <c r="D1622" t="n">
        <v>50</v>
      </c>
      <c r="E1622" t="n">
        <v>200</v>
      </c>
      <c r="F1622" t="n">
        <v>0</v>
      </c>
      <c r="G1622">
        <f>SUMIF(PRISPELO!B:B, A1622, PRISPELO!G:G)</f>
        <v/>
      </c>
      <c r="H1622">
        <f>SUMIF(ODPIS!B:B, A1622, ODPIS!G:G)</f>
        <v/>
      </c>
      <c r="I1622" s="2">
        <f>F1622 + G1622 - H1622</f>
        <v/>
      </c>
    </row>
    <row r="1623">
      <c r="A1623" t="n">
        <v>3632</v>
      </c>
      <c r="B1623" t="inlineStr">
        <is>
          <t>UMKA COLOR</t>
        </is>
      </c>
      <c r="C1623" t="n">
        <v>71</v>
      </c>
      <c r="D1623" t="n">
        <v>101</v>
      </c>
      <c r="E1623" t="n">
        <v>400</v>
      </c>
      <c r="F1623" t="n">
        <v>0</v>
      </c>
      <c r="G1623">
        <f>SUMIF(PRISPELO!B:B, A1623, PRISPELO!G:G)</f>
        <v/>
      </c>
      <c r="H1623">
        <f>SUMIF(ODPIS!B:B, A1623, ODPIS!G:G)</f>
        <v/>
      </c>
      <c r="I1623" s="2">
        <f>F1623 + G1623 - H1623</f>
        <v/>
      </c>
    </row>
    <row r="1624">
      <c r="A1624" t="n">
        <v>3633</v>
      </c>
      <c r="B1624" t="inlineStr">
        <is>
          <t>AMBER GRAPHIC FSC-VENDO</t>
        </is>
      </c>
      <c r="C1624" t="n">
        <v>70</v>
      </c>
      <c r="D1624" t="n">
        <v>100</v>
      </c>
      <c r="E1624" t="n">
        <v>200</v>
      </c>
      <c r="F1624" t="n">
        <v>0</v>
      </c>
      <c r="G1624">
        <f>SUMIF(PRISPELO!B:B, A1624, PRISPELO!G:G)</f>
        <v/>
      </c>
      <c r="H1624">
        <f>SUMIF(ODPIS!B:B, A1624, ODPIS!G:G)</f>
        <v/>
      </c>
      <c r="I1624" s="2">
        <f>F1624 + G1624 - H1624</f>
        <v/>
      </c>
    </row>
    <row r="1625">
      <c r="A1625" t="n">
        <v>3634</v>
      </c>
      <c r="B1625" t="inlineStr">
        <is>
          <t>OFFSET AMBER</t>
        </is>
      </c>
      <c r="C1625" t="n">
        <v>50</v>
      </c>
      <c r="D1625" t="n">
        <v>70</v>
      </c>
      <c r="E1625" t="n">
        <v>80</v>
      </c>
      <c r="F1625" t="n">
        <v>0</v>
      </c>
      <c r="G1625">
        <f>SUMIF(PRISPELO!B:B, A1625, PRISPELO!G:G)</f>
        <v/>
      </c>
      <c r="H1625">
        <f>SUMIF(ODPIS!B:B, A1625, ODPIS!G:G)</f>
        <v/>
      </c>
      <c r="I1625" s="2">
        <f>F1625 + G1625 - H1625</f>
        <v/>
      </c>
    </row>
    <row r="1626">
      <c r="A1626" t="n">
        <v>4204</v>
      </c>
      <c r="B1626" t="inlineStr">
        <is>
          <t>CENT.SPLEDOGEL EW</t>
        </is>
      </c>
      <c r="C1626" t="n">
        <v>22.9</v>
      </c>
      <c r="D1626" t="n">
        <v>32.4</v>
      </c>
      <c r="E1626" t="n">
        <v>115</v>
      </c>
      <c r="F1626" t="n">
        <v>0</v>
      </c>
      <c r="G1626">
        <f>SUMIF(PRISPELO!B:B, A1626, PRISPELO!G:G)</f>
        <v/>
      </c>
      <c r="H1626">
        <f>SUMIF(ODPIS!B:B, A1626, ODPIS!G:G)</f>
        <v/>
      </c>
      <c r="I1626" s="2">
        <f>F1626 + G1626 - H1626</f>
        <v/>
      </c>
    </row>
    <row r="1627">
      <c r="A1627" t="n">
        <v>3635</v>
      </c>
      <c r="B1627" t="inlineStr">
        <is>
          <t>AMBER PREPRINT</t>
        </is>
      </c>
      <c r="C1627" t="n">
        <v>46</v>
      </c>
      <c r="D1627" t="n">
        <v>64</v>
      </c>
      <c r="E1627" t="n">
        <v>100</v>
      </c>
      <c r="F1627" t="n">
        <v>0</v>
      </c>
      <c r="G1627">
        <f>SUMIF(PRISPELO!B:B, A1627, PRISPELO!G:G)</f>
        <v/>
      </c>
      <c r="H1627">
        <f>SUMIF(ODPIS!B:B, A1627, ODPIS!G:G)</f>
        <v/>
      </c>
      <c r="I1627" s="2">
        <f>F1627 + G1627 - H1627</f>
        <v/>
      </c>
    </row>
    <row r="1628">
      <c r="A1628" t="n">
        <v>3636</v>
      </c>
      <c r="B1628" t="inlineStr">
        <is>
          <t>ZENITH BULK</t>
        </is>
      </c>
      <c r="C1628" t="n">
        <v>72</v>
      </c>
      <c r="D1628" t="n">
        <v>102</v>
      </c>
      <c r="E1628" t="n">
        <v>250</v>
      </c>
      <c r="F1628" t="n">
        <v>0</v>
      </c>
      <c r="G1628">
        <f>SUMIF(PRISPELO!B:B, A1628, PRISPELO!G:G)</f>
        <v/>
      </c>
      <c r="H1628">
        <f>SUMIF(ODPIS!B:B, A1628, ODPIS!G:G)</f>
        <v/>
      </c>
      <c r="I1628" s="2">
        <f>F1628 + G1628 - H1628</f>
        <v/>
      </c>
    </row>
    <row r="1629">
      <c r="A1629" t="n">
        <v>3637</v>
      </c>
      <c r="B1629" t="inlineStr">
        <is>
          <t>NIVIS NEXT MATT</t>
        </is>
      </c>
      <c r="C1629" t="n">
        <v>45</v>
      </c>
      <c r="D1629" t="n">
        <v>64</v>
      </c>
      <c r="E1629" t="n">
        <v>250</v>
      </c>
      <c r="F1629" t="n">
        <v>0</v>
      </c>
      <c r="G1629">
        <f>SUMIF(PRISPELO!B:B, A1629, PRISPELO!G:G)</f>
        <v/>
      </c>
      <c r="H1629">
        <f>SUMIF(ODPIS!B:B, A1629, ODPIS!G:G)</f>
        <v/>
      </c>
      <c r="I1629" s="2">
        <f>F1629 + G1629 - H1629</f>
        <v/>
      </c>
    </row>
    <row r="1630">
      <c r="A1630" t="n">
        <v>3638</v>
      </c>
      <c r="B1630" t="inlineStr">
        <is>
          <t>AMBER GRAPHIC</t>
        </is>
      </c>
      <c r="C1630" t="n">
        <v>90</v>
      </c>
      <c r="D1630" t="n">
        <v>64</v>
      </c>
      <c r="E1630" t="n">
        <v>90</v>
      </c>
      <c r="F1630" t="n">
        <v>0</v>
      </c>
      <c r="G1630">
        <f>SUMIF(PRISPELO!B:B, A1630, PRISPELO!G:G)</f>
        <v/>
      </c>
      <c r="H1630">
        <f>SUMIF(ODPIS!B:B, A1630, ODPIS!G:G)</f>
        <v/>
      </c>
      <c r="I1630" s="2">
        <f>F1630 + G1630 - H1630</f>
        <v/>
      </c>
    </row>
    <row r="1631">
      <c r="A1631" t="n">
        <v>3640</v>
      </c>
      <c r="B1631" t="inlineStr">
        <is>
          <t>Munken POLAR</t>
        </is>
      </c>
      <c r="C1631" t="n">
        <v>72</v>
      </c>
      <c r="D1631" t="n">
        <v>102</v>
      </c>
      <c r="E1631" t="n">
        <v>600</v>
      </c>
      <c r="F1631" t="n">
        <v>0</v>
      </c>
      <c r="G1631">
        <f>SUMIF(PRISPELO!B:B, A1631, PRISPELO!G:G)</f>
        <v/>
      </c>
      <c r="H1631">
        <f>SUMIF(ODPIS!B:B, A1631, ODPIS!G:G)</f>
        <v/>
      </c>
      <c r="I1631" s="2">
        <f>F1631 + G1631 - H1631</f>
        <v/>
      </c>
    </row>
    <row r="1632">
      <c r="A1632" t="n">
        <v>3641</v>
      </c>
      <c r="B1632" t="inlineStr">
        <is>
          <t>IQ COLOR CORAL RED</t>
        </is>
      </c>
      <c r="C1632" t="n">
        <v>70</v>
      </c>
      <c r="D1632" t="n">
        <v>100</v>
      </c>
      <c r="E1632" t="n">
        <v>230</v>
      </c>
      <c r="F1632" t="n">
        <v>0</v>
      </c>
      <c r="G1632">
        <f>SUMIF(PRISPELO!B:B, A1632, PRISPELO!G:G)</f>
        <v/>
      </c>
      <c r="H1632">
        <f>SUMIF(ODPIS!B:B, A1632, ODPIS!G:G)</f>
        <v/>
      </c>
      <c r="I1632" s="2">
        <f>F1632 + G1632 - H1632</f>
        <v/>
      </c>
    </row>
    <row r="1633">
      <c r="A1633" t="n">
        <v>3643</v>
      </c>
      <c r="B1633" t="inlineStr">
        <is>
          <t>IMPACT NATURAL</t>
        </is>
      </c>
      <c r="C1633" t="n">
        <v>70</v>
      </c>
      <c r="D1633" t="n">
        <v>100</v>
      </c>
      <c r="E1633" t="n">
        <v>115</v>
      </c>
      <c r="F1633" t="n">
        <v>0</v>
      </c>
      <c r="G1633">
        <f>SUMIF(PRISPELO!B:B, A1633, PRISPELO!G:G)</f>
        <v/>
      </c>
      <c r="H1633">
        <f>SUMIF(ODPIS!B:B, A1633, ODPIS!G:G)</f>
        <v/>
      </c>
      <c r="I1633" s="2">
        <f>F1633 + G1633 - H1633</f>
        <v/>
      </c>
    </row>
    <row r="1634">
      <c r="A1634" t="n">
        <v>3644</v>
      </c>
      <c r="B1634" t="inlineStr">
        <is>
          <t>IMPACT NATURAL</t>
        </is>
      </c>
      <c r="C1634" t="n">
        <v>56</v>
      </c>
      <c r="D1634" t="n">
        <v>70</v>
      </c>
      <c r="E1634" t="n">
        <v>190</v>
      </c>
      <c r="F1634" t="n">
        <v>0</v>
      </c>
      <c r="G1634">
        <f>SUMIF(PRISPELO!B:B, A1634, PRISPELO!G:G)</f>
        <v/>
      </c>
      <c r="H1634">
        <f>SUMIF(ODPIS!B:B, A1634, ODPIS!G:G)</f>
        <v/>
      </c>
      <c r="I1634" s="2">
        <f>F1634 + G1634 - H1634</f>
        <v/>
      </c>
    </row>
    <row r="1635">
      <c r="A1635" t="n">
        <v>3645</v>
      </c>
      <c r="B1635" t="inlineStr">
        <is>
          <t>MUNKEN LYNX</t>
        </is>
      </c>
      <c r="C1635" t="n">
        <v>72</v>
      </c>
      <c r="D1635" t="n">
        <v>102</v>
      </c>
      <c r="E1635" t="n">
        <v>400</v>
      </c>
      <c r="F1635" t="n">
        <v>0</v>
      </c>
      <c r="G1635">
        <f>SUMIF(PRISPELO!B:B, A1635, PRISPELO!G:G)</f>
        <v/>
      </c>
      <c r="H1635">
        <f>SUMIF(ODPIS!B:B, A1635, ODPIS!G:G)</f>
        <v/>
      </c>
      <c r="I1635" s="2">
        <f>F1635 + G1635 - H1635</f>
        <v/>
      </c>
    </row>
    <row r="1636">
      <c r="A1636" t="n">
        <v>3646</v>
      </c>
      <c r="B1636" t="inlineStr">
        <is>
          <t>GARDAPAT 11</t>
        </is>
      </c>
      <c r="C1636" t="n">
        <v>100</v>
      </c>
      <c r="D1636" t="n">
        <v>70</v>
      </c>
      <c r="E1636" t="n">
        <v>200</v>
      </c>
      <c r="F1636" t="n">
        <v>0</v>
      </c>
      <c r="G1636">
        <f>SUMIF(PRISPELO!B:B, A1636, PRISPELO!G:G)</f>
        <v/>
      </c>
      <c r="H1636">
        <f>SUMIF(ODPIS!B:B, A1636, ODPIS!G:G)</f>
        <v/>
      </c>
      <c r="I1636" s="2">
        <f>F1636 + G1636 - H1636</f>
        <v/>
      </c>
    </row>
    <row r="1637">
      <c r="A1637" t="n">
        <v>3648</v>
      </c>
      <c r="B1637" t="inlineStr">
        <is>
          <t>ROYALSET OFFSET</t>
        </is>
      </c>
      <c r="C1637" t="n">
        <v>100</v>
      </c>
      <c r="D1637" t="n">
        <v>70</v>
      </c>
      <c r="E1637" t="n">
        <v>120</v>
      </c>
      <c r="F1637" t="n">
        <v>0</v>
      </c>
      <c r="G1637">
        <f>SUMIF(PRISPELO!B:B, A1637, PRISPELO!G:G)</f>
        <v/>
      </c>
      <c r="H1637">
        <f>SUMIF(ODPIS!B:B, A1637, ODPIS!G:G)</f>
        <v/>
      </c>
      <c r="I1637" s="2">
        <f>F1637 + G1637 - H1637</f>
        <v/>
      </c>
    </row>
    <row r="1638">
      <c r="A1638" t="n">
        <v>3649</v>
      </c>
      <c r="B1638" t="inlineStr">
        <is>
          <t>SYBOL F-SATIN PW</t>
        </is>
      </c>
      <c r="C1638" t="n">
        <v>45</v>
      </c>
      <c r="D1638" t="n">
        <v>64</v>
      </c>
      <c r="E1638" t="n">
        <v>170</v>
      </c>
      <c r="F1638" t="n">
        <v>0</v>
      </c>
      <c r="G1638">
        <f>SUMIF(PRISPELO!B:B, A1638, PRISPELO!G:G)</f>
        <v/>
      </c>
      <c r="H1638">
        <f>SUMIF(ODPIS!B:B, A1638, ODPIS!G:G)</f>
        <v/>
      </c>
      <c r="I1638" s="2">
        <f>F1638 + G1638 - H1638</f>
        <v/>
      </c>
    </row>
    <row r="1639">
      <c r="A1639" t="n">
        <v>3650</v>
      </c>
      <c r="B1639" t="inlineStr">
        <is>
          <t>SYBOL F-SATIN PW</t>
        </is>
      </c>
      <c r="C1639" t="n">
        <v>45</v>
      </c>
      <c r="D1639" t="n">
        <v>64</v>
      </c>
      <c r="E1639" t="n">
        <v>130</v>
      </c>
      <c r="F1639" t="n">
        <v>0</v>
      </c>
      <c r="G1639">
        <f>SUMIF(PRISPELO!B:B, A1639, PRISPELO!G:G)</f>
        <v/>
      </c>
      <c r="H1639">
        <f>SUMIF(ODPIS!B:B, A1639, ODPIS!G:G)</f>
        <v/>
      </c>
      <c r="I1639" s="2">
        <f>F1639 + G1639 - H1639</f>
        <v/>
      </c>
    </row>
    <row r="1640">
      <c r="A1640" t="n">
        <v>3651</v>
      </c>
      <c r="B1640" t="inlineStr">
        <is>
          <t>PREMIUM SILK</t>
        </is>
      </c>
      <c r="C1640" t="n">
        <v>50</v>
      </c>
      <c r="D1640" t="n">
        <v>70</v>
      </c>
      <c r="E1640" t="n">
        <v>350</v>
      </c>
      <c r="F1640" t="n">
        <v>0</v>
      </c>
      <c r="G1640">
        <f>SUMIF(PRISPELO!B:B, A1640, PRISPELO!G:G)</f>
        <v/>
      </c>
      <c r="H1640">
        <f>SUMIF(ODPIS!B:B, A1640, ODPIS!G:G)</f>
        <v/>
      </c>
      <c r="I1640" s="2">
        <f>F1640 + G1640 - H1640</f>
        <v/>
      </c>
    </row>
    <row r="1641">
      <c r="A1641" t="n">
        <v>3653</v>
      </c>
      <c r="B1641" t="inlineStr">
        <is>
          <t>ROYALCOAT PREMIUM SILK</t>
        </is>
      </c>
      <c r="C1641" t="n">
        <v>45</v>
      </c>
      <c r="D1641" t="n">
        <v>64</v>
      </c>
      <c r="E1641" t="n">
        <v>100</v>
      </c>
      <c r="F1641" t="n">
        <v>0</v>
      </c>
      <c r="G1641">
        <f>SUMIF(PRISPELO!B:B, A1641, PRISPELO!G:G)</f>
        <v/>
      </c>
      <c r="H1641">
        <f>SUMIF(ODPIS!B:B, A1641, ODPIS!G:G)</f>
        <v/>
      </c>
      <c r="I1641" s="2">
        <f>F1641 + G1641 - H1641</f>
        <v/>
      </c>
    </row>
    <row r="1642">
      <c r="A1642" t="n">
        <v>3654</v>
      </c>
      <c r="B1642" t="inlineStr">
        <is>
          <t>ARTIC VOLUME</t>
        </is>
      </c>
      <c r="C1642" t="n">
        <v>102</v>
      </c>
      <c r="D1642" t="n">
        <v>72</v>
      </c>
      <c r="E1642" t="n">
        <v>250</v>
      </c>
      <c r="F1642" t="n">
        <v>0</v>
      </c>
      <c r="G1642">
        <f>SUMIF(PRISPELO!B:B, A1642, PRISPELO!G:G)</f>
        <v/>
      </c>
      <c r="H1642">
        <f>SUMIF(ODPIS!B:B, A1642, ODPIS!G:G)</f>
        <v/>
      </c>
      <c r="I1642" s="2">
        <f>F1642 + G1642 - H1642</f>
        <v/>
      </c>
    </row>
    <row r="1643">
      <c r="A1643" t="n">
        <v>3655</v>
      </c>
      <c r="B1643" t="inlineStr">
        <is>
          <t>NIVIS NEXT MATT</t>
        </is>
      </c>
      <c r="C1643" t="n">
        <v>70</v>
      </c>
      <c r="D1643" t="n">
        <v>100</v>
      </c>
      <c r="E1643" t="n">
        <v>115</v>
      </c>
      <c r="F1643" t="n">
        <v>0</v>
      </c>
      <c r="G1643">
        <f>SUMIF(PRISPELO!B:B, A1643, PRISPELO!G:G)</f>
        <v/>
      </c>
      <c r="H1643">
        <f>SUMIF(ODPIS!B:B, A1643, ODPIS!G:G)</f>
        <v/>
      </c>
      <c r="I1643" s="2">
        <f>F1643 + G1643 - H1643</f>
        <v/>
      </c>
    </row>
    <row r="1644">
      <c r="A1644" t="n">
        <v>3656</v>
      </c>
      <c r="B1644" t="inlineStr">
        <is>
          <t>IMPACT NATURAL</t>
        </is>
      </c>
      <c r="C1644" t="n">
        <v>102</v>
      </c>
      <c r="D1644" t="n">
        <v>72</v>
      </c>
      <c r="E1644" t="n">
        <v>300</v>
      </c>
      <c r="F1644" t="n">
        <v>0</v>
      </c>
      <c r="G1644">
        <f>SUMIF(PRISPELO!B:B, A1644, PRISPELO!G:G)</f>
        <v/>
      </c>
      <c r="H1644">
        <f>SUMIF(ODPIS!B:B, A1644, ODPIS!G:G)</f>
        <v/>
      </c>
      <c r="I1644" s="2">
        <f>F1644 + G1644 - H1644</f>
        <v/>
      </c>
    </row>
    <row r="1645">
      <c r="A1645" t="n">
        <v>3657</v>
      </c>
      <c r="B1645" t="inlineStr">
        <is>
          <t>IQ PRINT</t>
        </is>
      </c>
      <c r="C1645" t="n">
        <v>45</v>
      </c>
      <c r="D1645" t="n">
        <v>64</v>
      </c>
      <c r="E1645" t="n">
        <v>170</v>
      </c>
      <c r="F1645" t="n">
        <v>0</v>
      </c>
      <c r="G1645">
        <f>SUMIF(PRISPELO!B:B, A1645, PRISPELO!G:G)</f>
        <v/>
      </c>
      <c r="H1645">
        <f>SUMIF(ODPIS!B:B, A1645, ODPIS!G:G)</f>
        <v/>
      </c>
      <c r="I1645" s="2">
        <f>F1645 + G1645 - H1645</f>
        <v/>
      </c>
    </row>
    <row r="1646">
      <c r="A1646" t="n">
        <v>3658</v>
      </c>
      <c r="B1646" t="inlineStr">
        <is>
          <t>Royalcoat premium silk</t>
        </is>
      </c>
      <c r="C1646" t="n">
        <v>70</v>
      </c>
      <c r="D1646" t="n">
        <v>100</v>
      </c>
      <c r="E1646" t="n">
        <v>250</v>
      </c>
      <c r="F1646" t="n">
        <v>0</v>
      </c>
      <c r="G1646">
        <f>SUMIF(PRISPELO!B:B, A1646, PRISPELO!G:G)</f>
        <v/>
      </c>
      <c r="H1646">
        <f>SUMIF(ODPIS!B:B, A1646, ODPIS!G:G)</f>
        <v/>
      </c>
      <c r="I1646" s="2">
        <f>F1646 + G1646 - H1646</f>
        <v/>
      </c>
    </row>
    <row r="1647">
      <c r="A1647" t="n">
        <v>3659</v>
      </c>
      <c r="B1647" t="inlineStr">
        <is>
          <t>Royalcoat premium silk</t>
        </is>
      </c>
      <c r="C1647" t="n">
        <v>90</v>
      </c>
      <c r="D1647" t="n">
        <v>64</v>
      </c>
      <c r="E1647" t="n">
        <v>250</v>
      </c>
      <c r="F1647" t="n">
        <v>0</v>
      </c>
      <c r="G1647">
        <f>SUMIF(PRISPELO!B:B, A1647, PRISPELO!G:G)</f>
        <v/>
      </c>
      <c r="H1647">
        <f>SUMIF(ODPIS!B:B, A1647, ODPIS!G:G)</f>
        <v/>
      </c>
      <c r="I1647" s="2">
        <f>F1647 + G1647 - H1647</f>
        <v/>
      </c>
    </row>
    <row r="1648">
      <c r="A1648" t="n">
        <v>3660</v>
      </c>
      <c r="B1648" t="inlineStr">
        <is>
          <t>Royalcoat premium silk</t>
        </is>
      </c>
      <c r="C1648" t="n">
        <v>70</v>
      </c>
      <c r="D1648" t="n">
        <v>100</v>
      </c>
      <c r="E1648" t="n">
        <v>170</v>
      </c>
      <c r="F1648" t="n">
        <v>0</v>
      </c>
      <c r="G1648">
        <f>SUMIF(PRISPELO!B:B, A1648, PRISPELO!G:G)</f>
        <v/>
      </c>
      <c r="H1648">
        <f>SUMIF(ODPIS!B:B, A1648, ODPIS!G:G)</f>
        <v/>
      </c>
      <c r="I1648" s="2">
        <f>F1648 + G1648 - H1648</f>
        <v/>
      </c>
    </row>
    <row r="1649">
      <c r="A1649" t="n">
        <v>4141</v>
      </c>
      <c r="B1649" t="inlineStr">
        <is>
          <t>KUVERTA A23 BD OL SI</t>
        </is>
      </c>
      <c r="C1649" t="n">
        <v>11</v>
      </c>
      <c r="D1649" t="n">
        <v>23</v>
      </c>
      <c r="E1649" t="n">
        <v>90</v>
      </c>
      <c r="F1649" t="n">
        <v>0</v>
      </c>
      <c r="G1649">
        <f>SUMIF(PRISPELO!B:B, A1649, PRISPELO!G:G)</f>
        <v/>
      </c>
      <c r="H1649">
        <f>SUMIF(ODPIS!B:B, A1649, ODPIS!G:G)</f>
        <v/>
      </c>
      <c r="I1649" s="2">
        <f>F1649 + G1649 - H1649</f>
        <v/>
      </c>
    </row>
    <row r="1650">
      <c r="A1650" t="n">
        <v>3662</v>
      </c>
      <c r="B1650" t="inlineStr">
        <is>
          <t>Garda matt</t>
        </is>
      </c>
      <c r="C1650" t="n">
        <v>70</v>
      </c>
      <c r="D1650" t="n">
        <v>100</v>
      </c>
      <c r="E1650" t="n">
        <v>350</v>
      </c>
      <c r="F1650" t="n">
        <v>0</v>
      </c>
      <c r="G1650">
        <f>SUMIF(PRISPELO!B:B, A1650, PRISPELO!G:G)</f>
        <v/>
      </c>
      <c r="H1650">
        <f>SUMIF(ODPIS!B:B, A1650, ODPIS!G:G)</f>
        <v/>
      </c>
      <c r="I1650" s="2">
        <f>F1650 + G1650 - H1650</f>
        <v/>
      </c>
    </row>
    <row r="1651">
      <c r="A1651" t="n">
        <v>3663</v>
      </c>
      <c r="B1651" t="inlineStr">
        <is>
          <t>Garda gloss</t>
        </is>
      </c>
      <c r="C1651" t="n">
        <v>44.8</v>
      </c>
      <c r="D1651" t="n">
        <v>63.8</v>
      </c>
      <c r="E1651" t="n">
        <v>115</v>
      </c>
      <c r="F1651" t="n">
        <v>0</v>
      </c>
      <c r="G1651">
        <f>SUMIF(PRISPELO!B:B, A1651, PRISPELO!G:G)</f>
        <v/>
      </c>
      <c r="H1651">
        <f>SUMIF(ODPIS!B:B, A1651, ODPIS!G:G)</f>
        <v/>
      </c>
      <c r="I1651" s="2">
        <f>F1651 + G1651 - H1651</f>
        <v/>
      </c>
    </row>
    <row r="1652">
      <c r="A1652" t="n">
        <v>3664</v>
      </c>
      <c r="B1652" t="inlineStr">
        <is>
          <t>Perigord MATT Condat</t>
        </is>
      </c>
      <c r="C1652" t="n">
        <v>49.8</v>
      </c>
      <c r="D1652" t="n">
        <v>69.8</v>
      </c>
      <c r="E1652" t="n">
        <v>115</v>
      </c>
      <c r="F1652" t="n">
        <v>0</v>
      </c>
      <c r="G1652">
        <f>SUMIF(PRISPELO!B:B, A1652, PRISPELO!G:G)</f>
        <v/>
      </c>
      <c r="H1652">
        <f>SUMIF(ODPIS!B:B, A1652, ODPIS!G:G)</f>
        <v/>
      </c>
      <c r="I1652" s="2">
        <f>F1652 + G1652 - H1652</f>
        <v/>
      </c>
    </row>
    <row r="1653">
      <c r="A1653" t="n">
        <v>4220</v>
      </c>
      <c r="B1653" t="inlineStr">
        <is>
          <t>KUVERTA C4 BD OL SI</t>
        </is>
      </c>
      <c r="C1653" t="n">
        <v>32.4</v>
      </c>
      <c r="D1653" t="n">
        <v>22.9</v>
      </c>
      <c r="E1653" t="n">
        <v>90</v>
      </c>
      <c r="F1653" t="n">
        <v>0</v>
      </c>
      <c r="G1653">
        <f>SUMIF(PRISPELO!B:B, A1653, PRISPELO!G:G)</f>
        <v/>
      </c>
      <c r="H1653">
        <f>SUMIF(ODPIS!B:B, A1653, ODPIS!G:G)</f>
        <v/>
      </c>
      <c r="I1653" s="2">
        <f>F1653 + G1653 - H1653</f>
        <v/>
      </c>
    </row>
    <row r="1654">
      <c r="A1654" t="n">
        <v>4223</v>
      </c>
      <c r="B1654" t="inlineStr">
        <is>
          <t>VREČKA C4 BO</t>
        </is>
      </c>
      <c r="C1654" t="n">
        <v>0</v>
      </c>
      <c r="D1654" t="n">
        <v>0</v>
      </c>
      <c r="E1654" t="n">
        <v>90</v>
      </c>
      <c r="F1654" t="n">
        <v>0</v>
      </c>
      <c r="G1654">
        <f>SUMIF(PRISPELO!B:B, A1654, PRISPELO!G:G)</f>
        <v/>
      </c>
      <c r="H1654">
        <f>SUMIF(ODPIS!B:B, A1654, ODPIS!G:G)</f>
        <v/>
      </c>
      <c r="I1654" s="2">
        <f>F1654 + G1654 - H1654</f>
        <v/>
      </c>
    </row>
    <row r="1655">
      <c r="A1655" t="n">
        <v>3665</v>
      </c>
      <c r="B1655" t="inlineStr">
        <is>
          <t>ROYALCOAT PREMIUM GLOSS</t>
        </is>
      </c>
      <c r="C1655" t="n">
        <v>50</v>
      </c>
      <c r="D1655" t="n">
        <v>70</v>
      </c>
      <c r="E1655" t="n">
        <v>115</v>
      </c>
      <c r="F1655" t="n">
        <v>0</v>
      </c>
      <c r="G1655">
        <f>SUMIF(PRISPELO!B:B, A1655, PRISPELO!G:G)</f>
        <v/>
      </c>
      <c r="H1655">
        <f>SUMIF(ODPIS!B:B, A1655, ODPIS!G:G)</f>
        <v/>
      </c>
      <c r="I1655" s="2">
        <f>F1655 + G1655 - H1655</f>
        <v/>
      </c>
    </row>
    <row r="1656">
      <c r="A1656" t="n">
        <v>3666</v>
      </c>
      <c r="B1656" t="inlineStr">
        <is>
          <t>NIVIS NEXT MATT</t>
        </is>
      </c>
      <c r="C1656" t="n">
        <v>45</v>
      </c>
      <c r="D1656" t="n">
        <v>64</v>
      </c>
      <c r="E1656" t="n">
        <v>90</v>
      </c>
      <c r="F1656" t="n">
        <v>0</v>
      </c>
      <c r="G1656">
        <f>SUMIF(PRISPELO!B:B, A1656, PRISPELO!G:G)</f>
        <v/>
      </c>
      <c r="H1656">
        <f>SUMIF(ODPIS!B:B, A1656, ODPIS!G:G)</f>
        <v/>
      </c>
      <c r="I1656" s="2">
        <f>F1656 + G1656 - H1656</f>
        <v/>
      </c>
    </row>
    <row r="1657">
      <c r="A1657" t="n">
        <v>3667</v>
      </c>
      <c r="B1657" t="inlineStr">
        <is>
          <t>BOARD ONE PRIME</t>
        </is>
      </c>
      <c r="C1657" t="n">
        <v>63</v>
      </c>
      <c r="D1657" t="n">
        <v>43</v>
      </c>
      <c r="E1657" t="n">
        <v>300</v>
      </c>
      <c r="F1657" t="n">
        <v>0</v>
      </c>
      <c r="G1657">
        <f>SUMIF(PRISPELO!B:B, A1657, PRISPELO!G:G)</f>
        <v/>
      </c>
      <c r="H1657">
        <f>SUMIF(ODPIS!B:B, A1657, ODPIS!G:G)</f>
        <v/>
      </c>
      <c r="I1657" s="2">
        <f>F1657 + G1657 - H1657</f>
        <v/>
      </c>
    </row>
    <row r="1658">
      <c r="A1658" t="n">
        <v>3668</v>
      </c>
      <c r="B1658" t="inlineStr">
        <is>
          <t>Garda matt</t>
        </is>
      </c>
      <c r="C1658" t="n">
        <v>44.8</v>
      </c>
      <c r="D1658" t="n">
        <v>69.8</v>
      </c>
      <c r="E1658" t="n">
        <v>90</v>
      </c>
      <c r="F1658" t="n">
        <v>0</v>
      </c>
      <c r="G1658">
        <f>SUMIF(PRISPELO!B:B, A1658, PRISPELO!G:G)</f>
        <v/>
      </c>
      <c r="H1658">
        <f>SUMIF(ODPIS!B:B, A1658, ODPIS!G:G)</f>
        <v/>
      </c>
      <c r="I1658" s="2">
        <f>F1658 + G1658 - H1658</f>
        <v/>
      </c>
    </row>
    <row r="1659">
      <c r="A1659" t="n">
        <v>3669</v>
      </c>
      <c r="B1659" t="inlineStr">
        <is>
          <t>G-PRINT</t>
        </is>
      </c>
      <c r="C1659" t="n">
        <v>45</v>
      </c>
      <c r="D1659" t="n">
        <v>64</v>
      </c>
      <c r="E1659" t="n">
        <v>100</v>
      </c>
      <c r="F1659" t="n">
        <v>0</v>
      </c>
      <c r="G1659">
        <f>SUMIF(PRISPELO!B:B, A1659, PRISPELO!G:G)</f>
        <v/>
      </c>
      <c r="H1659">
        <f>SUMIF(ODPIS!B:B, A1659, ODPIS!G:G)</f>
        <v/>
      </c>
      <c r="I1659" s="2">
        <f>F1659 + G1659 - H1659</f>
        <v/>
      </c>
    </row>
    <row r="1660">
      <c r="A1660" t="n">
        <v>3670</v>
      </c>
      <c r="B1660" t="inlineStr">
        <is>
          <t>CLARO BULK</t>
        </is>
      </c>
      <c r="C1660" t="n">
        <v>33.2</v>
      </c>
      <c r="D1660" t="n">
        <v>64</v>
      </c>
      <c r="E1660" t="n">
        <v>170</v>
      </c>
      <c r="F1660" t="n">
        <v>0</v>
      </c>
      <c r="G1660">
        <f>SUMIF(PRISPELO!B:B, A1660, PRISPELO!G:G)</f>
        <v/>
      </c>
      <c r="H1660">
        <f>SUMIF(ODPIS!B:B, A1660, ODPIS!G:G)</f>
        <v/>
      </c>
      <c r="I1660" s="2">
        <f>F1660 + G1660 - H1660</f>
        <v/>
      </c>
    </row>
    <row r="1661">
      <c r="A1661" t="n">
        <v>3671</v>
      </c>
      <c r="B1661" t="inlineStr">
        <is>
          <t>TARGET PLUS</t>
        </is>
      </c>
      <c r="C1661" t="n">
        <v>64</v>
      </c>
      <c r="D1661" t="n">
        <v>90</v>
      </c>
      <c r="E1661" t="n">
        <v>160</v>
      </c>
      <c r="F1661" t="n">
        <v>0</v>
      </c>
      <c r="G1661">
        <f>SUMIF(PRISPELO!B:B, A1661, PRISPELO!G:G)</f>
        <v/>
      </c>
      <c r="H1661">
        <f>SUMIF(ODPIS!B:B, A1661, ODPIS!G:G)</f>
        <v/>
      </c>
      <c r="I1661" s="2">
        <f>F1661 + G1661 - H1661</f>
        <v/>
      </c>
    </row>
    <row r="1662">
      <c r="A1662" t="n">
        <v>3672</v>
      </c>
      <c r="B1662" t="inlineStr">
        <is>
          <t>MAGNO VOLUME</t>
        </is>
      </c>
      <c r="C1662" t="n">
        <v>33.2</v>
      </c>
      <c r="D1662" t="n">
        <v>64</v>
      </c>
      <c r="E1662" t="n">
        <v>170</v>
      </c>
      <c r="F1662" t="n">
        <v>0</v>
      </c>
      <c r="G1662">
        <f>SUMIF(PRISPELO!B:B, A1662, PRISPELO!G:G)</f>
        <v/>
      </c>
      <c r="H1662">
        <f>SUMIF(ODPIS!B:B, A1662, ODPIS!G:G)</f>
        <v/>
      </c>
      <c r="I1662" s="2">
        <f>F1662 + G1662 - H1662</f>
        <v/>
      </c>
    </row>
    <row r="1663">
      <c r="A1663" t="n">
        <v>3673</v>
      </c>
      <c r="B1663" t="inlineStr">
        <is>
          <t>IQ PRINT</t>
        </is>
      </c>
      <c r="C1663" t="n">
        <v>49.8</v>
      </c>
      <c r="D1663" t="n">
        <v>34.8</v>
      </c>
      <c r="E1663" t="n">
        <v>190</v>
      </c>
      <c r="F1663" t="n">
        <v>0</v>
      </c>
      <c r="G1663">
        <f>SUMIF(PRISPELO!B:B, A1663, PRISPELO!G:G)</f>
        <v/>
      </c>
      <c r="H1663">
        <f>SUMIF(ODPIS!B:B, A1663, ODPIS!G:G)</f>
        <v/>
      </c>
      <c r="I1663" s="2">
        <f>F1663 + G1663 - H1663</f>
        <v/>
      </c>
    </row>
    <row r="1664">
      <c r="A1664" t="n">
        <v>3674</v>
      </c>
      <c r="B1664" t="inlineStr">
        <is>
          <t>ROYALSET OFFSET</t>
        </is>
      </c>
      <c r="C1664" t="n">
        <v>100</v>
      </c>
      <c r="D1664" t="n">
        <v>70</v>
      </c>
      <c r="E1664" t="n">
        <v>300</v>
      </c>
      <c r="F1664" t="n">
        <v>0</v>
      </c>
      <c r="G1664">
        <f>SUMIF(PRISPELO!B:B, A1664, PRISPELO!G:G)</f>
        <v/>
      </c>
      <c r="H1664">
        <f>SUMIF(ODPIS!B:B, A1664, ODPIS!G:G)</f>
        <v/>
      </c>
      <c r="I1664" s="2">
        <f>F1664 + G1664 - H1664</f>
        <v/>
      </c>
    </row>
    <row r="1665">
      <c r="A1665" t="n">
        <v>3675</v>
      </c>
      <c r="B1665" t="inlineStr">
        <is>
          <t>UMKA COLOR</t>
        </is>
      </c>
      <c r="C1665" t="n">
        <v>71</v>
      </c>
      <c r="D1665" t="n">
        <v>101</v>
      </c>
      <c r="E1665" t="n">
        <v>250</v>
      </c>
      <c r="F1665" t="n">
        <v>0</v>
      </c>
      <c r="G1665">
        <f>SUMIF(PRISPELO!B:B, A1665, PRISPELO!G:G)</f>
        <v/>
      </c>
      <c r="H1665">
        <f>SUMIF(ODPIS!B:B, A1665, ODPIS!G:G)</f>
        <v/>
      </c>
      <c r="I1665" s="2">
        <f>F1665 + G1665 - H1665</f>
        <v/>
      </c>
    </row>
    <row r="1666">
      <c r="A1666" t="n">
        <v>3676</v>
      </c>
      <c r="B1666" t="inlineStr">
        <is>
          <t>Perigord MATT Condat</t>
        </is>
      </c>
      <c r="C1666" t="n">
        <v>45</v>
      </c>
      <c r="D1666" t="n">
        <v>64</v>
      </c>
      <c r="E1666" t="n">
        <v>115</v>
      </c>
      <c r="F1666" t="n">
        <v>0</v>
      </c>
      <c r="G1666">
        <f>SUMIF(PRISPELO!B:B, A1666, PRISPELO!G:G)</f>
        <v/>
      </c>
      <c r="H1666">
        <f>SUMIF(ODPIS!B:B, A1666, ODPIS!G:G)</f>
        <v/>
      </c>
      <c r="I1666" s="2">
        <f>F1666 + G1666 - H1666</f>
        <v/>
      </c>
    </row>
    <row r="1667">
      <c r="A1667" t="n">
        <v>2893</v>
      </c>
      <c r="B1667" t="inlineStr">
        <is>
          <t>kuverta amerikanka BO brez s.traka</t>
        </is>
      </c>
      <c r="C1667" t="n">
        <v>22</v>
      </c>
      <c r="D1667" t="n">
        <v>11</v>
      </c>
      <c r="E1667" t="n">
        <v>90</v>
      </c>
      <c r="F1667" t="n">
        <v>0</v>
      </c>
      <c r="G1667">
        <f>SUMIF(PRISPELO!B:B, A1667, PRISPELO!G:G)</f>
        <v/>
      </c>
      <c r="H1667">
        <f>SUMIF(ODPIS!B:B, A1667, ODPIS!G:G)</f>
        <v/>
      </c>
      <c r="I1667" s="2">
        <f>F1667 + G1667 - H1667</f>
        <v/>
      </c>
    </row>
    <row r="1668">
      <c r="A1668" t="n">
        <v>3677</v>
      </c>
      <c r="B1668" t="inlineStr">
        <is>
          <t>FEDRIGONI SYMBOL CARD 2SC</t>
        </is>
      </c>
      <c r="C1668" t="n">
        <v>102</v>
      </c>
      <c r="D1668" t="n">
        <v>72</v>
      </c>
      <c r="E1668" t="n">
        <v>300</v>
      </c>
      <c r="F1668" t="n">
        <v>0</v>
      </c>
      <c r="G1668">
        <f>SUMIF(PRISPELO!B:B, A1668, PRISPELO!G:G)</f>
        <v/>
      </c>
      <c r="H1668">
        <f>SUMIF(ODPIS!B:B, A1668, ODPIS!G:G)</f>
        <v/>
      </c>
      <c r="I1668" s="2">
        <f>F1668 + G1668 - H1668</f>
        <v/>
      </c>
    </row>
    <row r="1669">
      <c r="A1669" t="n">
        <v>3678</v>
      </c>
      <c r="B1669" t="inlineStr">
        <is>
          <t>EXCELLENT TOP</t>
        </is>
      </c>
      <c r="C1669" t="n">
        <v>72</v>
      </c>
      <c r="D1669" t="n">
        <v>102</v>
      </c>
      <c r="E1669" t="n">
        <v>275</v>
      </c>
      <c r="F1669" t="n">
        <v>0</v>
      </c>
      <c r="G1669">
        <f>SUMIF(PRISPELO!B:B, A1669, PRISPELO!G:G)</f>
        <v/>
      </c>
      <c r="H1669">
        <f>SUMIF(ODPIS!B:B, A1669, ODPIS!G:G)</f>
        <v/>
      </c>
      <c r="I1669" s="2">
        <f>F1669 + G1669 - H1669</f>
        <v/>
      </c>
    </row>
    <row r="1670">
      <c r="A1670" t="n">
        <v>3679</v>
      </c>
      <c r="B1670" t="inlineStr">
        <is>
          <t>CLARO BULK</t>
        </is>
      </c>
      <c r="C1670" t="n">
        <v>100</v>
      </c>
      <c r="D1670" t="n">
        <v>70</v>
      </c>
      <c r="E1670" t="n">
        <v>300</v>
      </c>
      <c r="F1670" t="n">
        <v>0</v>
      </c>
      <c r="G1670">
        <f>SUMIF(PRISPELO!B:B, A1670, PRISPELO!G:G)</f>
        <v/>
      </c>
      <c r="H1670">
        <f>SUMIF(ODPIS!B:B, A1670, ODPIS!G:G)</f>
        <v/>
      </c>
      <c r="I1670" s="2">
        <f>F1670 + G1670 - H1670</f>
        <v/>
      </c>
    </row>
    <row r="1671">
      <c r="A1671" t="n">
        <v>3680</v>
      </c>
      <c r="B1671" t="inlineStr">
        <is>
          <t>Munken Polar</t>
        </is>
      </c>
      <c r="C1671" t="n">
        <v>90</v>
      </c>
      <c r="D1671" t="n">
        <v>64</v>
      </c>
      <c r="E1671" t="n">
        <v>130</v>
      </c>
      <c r="F1671" t="n">
        <v>0</v>
      </c>
      <c r="G1671">
        <f>SUMIF(PRISPELO!B:B, A1671, PRISPELO!G:G)</f>
        <v/>
      </c>
      <c r="H1671">
        <f>SUMIF(ODPIS!B:B, A1671, ODPIS!G:G)</f>
        <v/>
      </c>
      <c r="I1671" s="2">
        <f>F1671 + G1671 - H1671</f>
        <v/>
      </c>
    </row>
    <row r="1672">
      <c r="A1672" t="n">
        <v>3681</v>
      </c>
      <c r="B1672" t="inlineStr">
        <is>
          <t>ALGRO DESING DUO</t>
        </is>
      </c>
      <c r="C1672" t="n">
        <v>102</v>
      </c>
      <c r="D1672" t="n">
        <v>72</v>
      </c>
      <c r="E1672" t="n">
        <v>300</v>
      </c>
      <c r="F1672" t="n">
        <v>0</v>
      </c>
      <c r="G1672">
        <f>SUMIF(PRISPELO!B:B, A1672, PRISPELO!G:G)</f>
        <v/>
      </c>
      <c r="H1672">
        <f>SUMIF(ODPIS!B:B, A1672, ODPIS!G:G)</f>
        <v/>
      </c>
      <c r="I1672" s="2">
        <f>F1672 + G1672 - H1672</f>
        <v/>
      </c>
    </row>
    <row r="1673">
      <c r="A1673" t="n">
        <v>3682</v>
      </c>
      <c r="B1673" t="inlineStr">
        <is>
          <t>TINTORETTO NEVE</t>
        </is>
      </c>
      <c r="C1673" t="n">
        <v>72</v>
      </c>
      <c r="D1673" t="n">
        <v>102</v>
      </c>
      <c r="E1673" t="n">
        <v>200</v>
      </c>
      <c r="F1673" t="n">
        <v>0</v>
      </c>
      <c r="G1673">
        <f>SUMIF(PRISPELO!B:B, A1673, PRISPELO!G:G)</f>
        <v/>
      </c>
      <c r="H1673">
        <f>SUMIF(ODPIS!B:B, A1673, ODPIS!G:G)</f>
        <v/>
      </c>
      <c r="I1673" s="2">
        <f>F1673 + G1673 - H1673</f>
        <v/>
      </c>
    </row>
    <row r="1674">
      <c r="A1674" t="n">
        <v>3684</v>
      </c>
      <c r="B1674" t="inlineStr">
        <is>
          <t>TARGET PLUS</t>
        </is>
      </c>
      <c r="C1674" t="n">
        <v>90</v>
      </c>
      <c r="D1674" t="n">
        <v>64</v>
      </c>
      <c r="E1674" t="n">
        <v>135</v>
      </c>
      <c r="F1674" t="n">
        <v>0</v>
      </c>
      <c r="G1674">
        <f>SUMIF(PRISPELO!B:B, A1674, PRISPELO!G:G)</f>
        <v/>
      </c>
      <c r="H1674">
        <f>SUMIF(ODPIS!B:B, A1674, ODPIS!G:G)</f>
        <v/>
      </c>
      <c r="I1674" s="2">
        <f>F1674 + G1674 - H1674</f>
        <v/>
      </c>
    </row>
    <row r="1675">
      <c r="A1675" t="n">
        <v>4233</v>
      </c>
      <c r="B1675" t="inlineStr">
        <is>
          <t>VREČKE B4 DB SI</t>
        </is>
      </c>
      <c r="C1675" t="n">
        <v>0</v>
      </c>
      <c r="D1675" t="n">
        <v>0</v>
      </c>
      <c r="E1675" t="n">
        <v>90</v>
      </c>
      <c r="F1675" t="n">
        <v>0</v>
      </c>
      <c r="G1675">
        <f>SUMIF(PRISPELO!B:B, A1675, PRISPELO!G:G)</f>
        <v/>
      </c>
      <c r="H1675">
        <f>SUMIF(ODPIS!B:B, A1675, ODPIS!G:G)</f>
        <v/>
      </c>
      <c r="I1675" s="2">
        <f>F1675 + G1675 - H1675</f>
        <v/>
      </c>
    </row>
    <row r="1676">
      <c r="A1676" t="n">
        <v>3685</v>
      </c>
      <c r="B1676" t="inlineStr">
        <is>
          <t>Samolepilni Ritrama gloss</t>
        </is>
      </c>
      <c r="C1676" t="n">
        <v>50</v>
      </c>
      <c r="D1676" t="n">
        <v>70</v>
      </c>
      <c r="E1676" t="n">
        <v>135</v>
      </c>
      <c r="F1676" t="n">
        <v>0</v>
      </c>
      <c r="G1676">
        <f>SUMIF(PRISPELO!B:B, A1676, PRISPELO!G:G)</f>
        <v/>
      </c>
      <c r="H1676">
        <f>SUMIF(ODPIS!B:B, A1676, ODPIS!G:G)</f>
        <v/>
      </c>
      <c r="I1676" s="2">
        <f>F1676 + G1676 - H1676</f>
        <v/>
      </c>
    </row>
    <row r="1677">
      <c r="A1677" t="n">
        <v>3686</v>
      </c>
      <c r="B1677" t="inlineStr">
        <is>
          <t>SYMBOL MATT PLUS</t>
        </is>
      </c>
      <c r="C1677" t="n">
        <v>72</v>
      </c>
      <c r="D1677" t="n">
        <v>102</v>
      </c>
      <c r="E1677" t="n">
        <v>200</v>
      </c>
      <c r="F1677" t="n">
        <v>0</v>
      </c>
      <c r="G1677">
        <f>SUMIF(PRISPELO!B:B, A1677, PRISPELO!G:G)</f>
        <v/>
      </c>
      <c r="H1677">
        <f>SUMIF(ODPIS!B:B, A1677, ODPIS!G:G)</f>
        <v/>
      </c>
      <c r="I1677" s="2">
        <f>F1677 + G1677 - H1677</f>
        <v/>
      </c>
    </row>
    <row r="1678">
      <c r="A1678" t="n">
        <v>3687</v>
      </c>
      <c r="B1678" t="inlineStr">
        <is>
          <t>NIVIS NEXT GLOSS</t>
        </is>
      </c>
      <c r="C1678" t="n">
        <v>70</v>
      </c>
      <c r="D1678" t="n">
        <v>100</v>
      </c>
      <c r="E1678" t="n">
        <v>100</v>
      </c>
      <c r="F1678" t="n">
        <v>0</v>
      </c>
      <c r="G1678">
        <f>SUMIF(PRISPELO!B:B, A1678, PRISPELO!G:G)</f>
        <v/>
      </c>
      <c r="H1678">
        <f>SUMIF(ODPIS!B:B, A1678, ODPIS!G:G)</f>
        <v/>
      </c>
      <c r="I1678" s="2">
        <f>F1678 + G1678 - H1678</f>
        <v/>
      </c>
    </row>
    <row r="1679">
      <c r="A1679" t="n">
        <v>3688</v>
      </c>
      <c r="B1679" t="inlineStr">
        <is>
          <t>ZENITH BULK</t>
        </is>
      </c>
      <c r="C1679" t="n">
        <v>50.8</v>
      </c>
      <c r="D1679" t="n">
        <v>71.8</v>
      </c>
      <c r="E1679" t="n">
        <v>250</v>
      </c>
      <c r="F1679" t="n">
        <v>0</v>
      </c>
      <c r="G1679">
        <f>SUMIF(PRISPELO!B:B, A1679, PRISPELO!G:G)</f>
        <v/>
      </c>
      <c r="H1679">
        <f>SUMIF(ODPIS!B:B, A1679, ODPIS!G:G)</f>
        <v/>
      </c>
      <c r="I1679" s="2">
        <f>F1679 + G1679 - H1679</f>
        <v/>
      </c>
    </row>
    <row r="1680">
      <c r="A1680" t="n">
        <v>3689</v>
      </c>
      <c r="B1680" t="inlineStr">
        <is>
          <t>BELI NATRON</t>
        </is>
      </c>
      <c r="C1680" t="n">
        <v>100</v>
      </c>
      <c r="D1680" t="n">
        <v>126</v>
      </c>
      <c r="E1680" t="n">
        <v>90</v>
      </c>
      <c r="F1680" t="n">
        <v>0</v>
      </c>
      <c r="G1680">
        <f>SUMIF(PRISPELO!B:B, A1680, PRISPELO!G:G)</f>
        <v/>
      </c>
      <c r="H1680">
        <f>SUMIF(ODPIS!B:B, A1680, ODPIS!G:G)</f>
        <v/>
      </c>
      <c r="I1680" s="2">
        <f>F1680 + G1680 - H1680</f>
        <v/>
      </c>
    </row>
    <row r="1681">
      <c r="A1681" t="n">
        <v>3689</v>
      </c>
      <c r="B1681" t="inlineStr">
        <is>
          <t>BELI NATRON</t>
        </is>
      </c>
      <c r="C1681" t="n">
        <v>100</v>
      </c>
      <c r="D1681" t="n">
        <v>126</v>
      </c>
      <c r="E1681" t="n">
        <v>90</v>
      </c>
      <c r="F1681" t="n">
        <v>0</v>
      </c>
      <c r="G1681">
        <f>SUMIF(PRISPELO!B:B, A1681, PRISPELO!G:G)</f>
        <v/>
      </c>
      <c r="H1681">
        <f>SUMIF(ODPIS!B:B, A1681, ODPIS!G:G)</f>
        <v/>
      </c>
      <c r="I1681" s="2">
        <f>F1681 + G1681 - H1681</f>
        <v/>
      </c>
    </row>
    <row r="1682">
      <c r="A1682" t="n">
        <v>3690</v>
      </c>
      <c r="B1682" t="inlineStr">
        <is>
          <t>ZENITH</t>
        </is>
      </c>
      <c r="C1682" t="n">
        <v>71</v>
      </c>
      <c r="D1682" t="n">
        <v>101</v>
      </c>
      <c r="E1682" t="n">
        <v>270</v>
      </c>
      <c r="F1682" t="n">
        <v>0</v>
      </c>
      <c r="G1682">
        <f>SUMIF(PRISPELO!B:B, A1682, PRISPELO!G:G)</f>
        <v/>
      </c>
      <c r="H1682">
        <f>SUMIF(ODPIS!B:B, A1682, ODPIS!G:G)</f>
        <v/>
      </c>
      <c r="I1682" s="2">
        <f>F1682 + G1682 - H1682</f>
        <v/>
      </c>
    </row>
    <row r="1683">
      <c r="A1683" t="n">
        <v>331</v>
      </c>
      <c r="B1683" t="inlineStr">
        <is>
          <t>Kuverta amerikanka LO EDERA S.trak</t>
        </is>
      </c>
      <c r="C1683" t="n">
        <v>11</v>
      </c>
      <c r="D1683" t="n">
        <v>23</v>
      </c>
      <c r="E1683" t="n">
        <v>90</v>
      </c>
      <c r="F1683" t="n">
        <v>0</v>
      </c>
      <c r="G1683">
        <f>SUMIF(PRISPELO!B:B, A1683, PRISPELO!G:G)</f>
        <v/>
      </c>
      <c r="H1683">
        <f>SUMIF(ODPIS!B:B, A1683, ODPIS!G:G)</f>
        <v/>
      </c>
      <c r="I1683" s="2">
        <f>F1683 + G1683 - H1683</f>
        <v/>
      </c>
    </row>
    <row r="1684">
      <c r="A1684" t="n">
        <v>3691</v>
      </c>
      <c r="B1684" t="inlineStr">
        <is>
          <t>GALERIE ART SILK</t>
        </is>
      </c>
      <c r="C1684" t="n">
        <v>100</v>
      </c>
      <c r="D1684" t="n">
        <v>70</v>
      </c>
      <c r="E1684" t="n">
        <v>300</v>
      </c>
      <c r="F1684" t="n">
        <v>0</v>
      </c>
      <c r="G1684">
        <f>SUMIF(PRISPELO!B:B, A1684, PRISPELO!G:G)</f>
        <v/>
      </c>
      <c r="H1684">
        <f>SUMIF(ODPIS!B:B, A1684, ODPIS!G:G)</f>
        <v/>
      </c>
      <c r="I1684" s="2">
        <f>F1684 + G1684 - H1684</f>
        <v/>
      </c>
    </row>
    <row r="1685">
      <c r="A1685" t="n">
        <v>3692</v>
      </c>
      <c r="B1685" t="inlineStr">
        <is>
          <t>Munken Lynx Rough</t>
        </is>
      </c>
      <c r="C1685" t="n">
        <v>72</v>
      </c>
      <c r="D1685" t="n">
        <v>102</v>
      </c>
      <c r="E1685" t="n">
        <v>300</v>
      </c>
      <c r="F1685" t="n">
        <v>0</v>
      </c>
      <c r="G1685">
        <f>SUMIF(PRISPELO!B:B, A1685, PRISPELO!G:G)</f>
        <v/>
      </c>
      <c r="H1685">
        <f>SUMIF(ODPIS!B:B, A1685, ODPIS!G:G)</f>
        <v/>
      </c>
      <c r="I1685" s="2">
        <f>F1685 + G1685 - H1685</f>
        <v/>
      </c>
    </row>
    <row r="1686">
      <c r="A1686" t="n">
        <v>3693</v>
      </c>
      <c r="B1686" t="inlineStr">
        <is>
          <t>STAR ONE</t>
        </is>
      </c>
      <c r="C1686" t="n">
        <v>102</v>
      </c>
      <c r="D1686" t="n">
        <v>72</v>
      </c>
      <c r="E1686" t="n">
        <v>290</v>
      </c>
      <c r="F1686" t="n">
        <v>0</v>
      </c>
      <c r="G1686">
        <f>SUMIF(PRISPELO!B:B, A1686, PRISPELO!G:G)</f>
        <v/>
      </c>
      <c r="H1686">
        <f>SUMIF(ODPIS!B:B, A1686, ODPIS!G:G)</f>
        <v/>
      </c>
      <c r="I1686" s="2">
        <f>F1686 + G1686 - H1686</f>
        <v/>
      </c>
    </row>
    <row r="1687">
      <c r="A1687" t="n">
        <v>3695</v>
      </c>
      <c r="B1687" t="inlineStr">
        <is>
          <t>IQ PREMIUM PREPRINT</t>
        </is>
      </c>
      <c r="C1687" t="n">
        <v>90</v>
      </c>
      <c r="D1687" t="n">
        <v>64</v>
      </c>
      <c r="E1687" t="n">
        <v>100</v>
      </c>
      <c r="F1687" t="n">
        <v>0</v>
      </c>
      <c r="G1687">
        <f>SUMIF(PRISPELO!B:B, A1687, PRISPELO!G:G)</f>
        <v/>
      </c>
      <c r="H1687">
        <f>SUMIF(ODPIS!B:B, A1687, ODPIS!G:G)</f>
        <v/>
      </c>
      <c r="I1687" s="2">
        <f>F1687 + G1687 - H1687</f>
        <v/>
      </c>
    </row>
    <row r="1688">
      <c r="A1688" t="n">
        <v>3698</v>
      </c>
      <c r="B1688" t="inlineStr">
        <is>
          <t>MetsaBoard Prime</t>
        </is>
      </c>
      <c r="C1688" t="n">
        <v>71</v>
      </c>
      <c r="D1688" t="n">
        <v>101</v>
      </c>
      <c r="E1688" t="n">
        <v>280</v>
      </c>
      <c r="F1688" t="n">
        <v>0</v>
      </c>
      <c r="G1688">
        <f>SUMIF(PRISPELO!B:B, A1688, PRISPELO!G:G)</f>
        <v/>
      </c>
      <c r="H1688">
        <f>SUMIF(ODPIS!B:B, A1688, ODPIS!G:G)</f>
        <v/>
      </c>
      <c r="I1688" s="2">
        <f>F1688 + G1688 - H1688</f>
        <v/>
      </c>
    </row>
    <row r="1689">
      <c r="A1689" t="n">
        <v>3699</v>
      </c>
      <c r="B1689" t="inlineStr">
        <is>
          <t>ATELIER</t>
        </is>
      </c>
      <c r="C1689" t="n">
        <v>70</v>
      </c>
      <c r="D1689" t="n">
        <v>100</v>
      </c>
      <c r="E1689" t="n">
        <v>260</v>
      </c>
      <c r="F1689" t="n">
        <v>0</v>
      </c>
      <c r="G1689">
        <f>SUMIF(PRISPELO!B:B, A1689, PRISPELO!G:G)</f>
        <v/>
      </c>
      <c r="H1689">
        <f>SUMIF(ODPIS!B:B, A1689, ODPIS!G:G)</f>
        <v/>
      </c>
      <c r="I1689" s="2">
        <f>F1689 + G1689 - H1689</f>
        <v/>
      </c>
    </row>
    <row r="1690">
      <c r="A1690" t="n">
        <v>3700</v>
      </c>
      <c r="B1690" t="inlineStr">
        <is>
          <t>ATELIER</t>
        </is>
      </c>
      <c r="C1690" t="n">
        <v>70</v>
      </c>
      <c r="D1690" t="n">
        <v>100</v>
      </c>
      <c r="E1690" t="n">
        <v>240</v>
      </c>
      <c r="F1690" t="n">
        <v>0</v>
      </c>
      <c r="G1690">
        <f>SUMIF(PRISPELO!B:B, A1690, PRISPELO!G:G)</f>
        <v/>
      </c>
      <c r="H1690">
        <f>SUMIF(ODPIS!B:B, A1690, ODPIS!G:G)</f>
        <v/>
      </c>
      <c r="I1690" s="2">
        <f>F1690 + G1690 - H1690</f>
        <v/>
      </c>
    </row>
    <row r="1691">
      <c r="A1691" t="n">
        <v>3701</v>
      </c>
      <c r="B1691" t="inlineStr">
        <is>
          <t>SH Recycling</t>
        </is>
      </c>
      <c r="C1691" t="n">
        <v>70</v>
      </c>
      <c r="D1691" t="n">
        <v>100</v>
      </c>
      <c r="E1691" t="n">
        <v>160</v>
      </c>
      <c r="F1691" t="n">
        <v>0</v>
      </c>
      <c r="G1691">
        <f>SUMIF(PRISPELO!B:B, A1691, PRISPELO!G:G)</f>
        <v/>
      </c>
      <c r="H1691">
        <f>SUMIF(ODPIS!B:B, A1691, ODPIS!G:G)</f>
        <v/>
      </c>
      <c r="I1691" s="2">
        <f>F1691 + G1691 - H1691</f>
        <v/>
      </c>
    </row>
    <row r="1692">
      <c r="A1692" t="n">
        <v>3702</v>
      </c>
      <c r="B1692" t="inlineStr">
        <is>
          <t>MULTIOFFSET</t>
        </is>
      </c>
      <c r="C1692" t="n">
        <v>100</v>
      </c>
      <c r="D1692" t="n">
        <v>70</v>
      </c>
      <c r="E1692" t="n">
        <v>170</v>
      </c>
      <c r="F1692" t="n">
        <v>0</v>
      </c>
      <c r="G1692">
        <f>SUMIF(PRISPELO!B:B, A1692, PRISPELO!G:G)</f>
        <v/>
      </c>
      <c r="H1692">
        <f>SUMIF(ODPIS!B:B, A1692, ODPIS!G:G)</f>
        <v/>
      </c>
      <c r="I1692" s="2">
        <f>F1692 + G1692 - H1692</f>
        <v/>
      </c>
    </row>
    <row r="1693">
      <c r="A1693" t="n">
        <v>3703</v>
      </c>
      <c r="B1693" t="inlineStr">
        <is>
          <t>GALERIEART VOLUME</t>
        </is>
      </c>
      <c r="C1693" t="n">
        <v>100</v>
      </c>
      <c r="D1693" t="n">
        <v>70</v>
      </c>
      <c r="E1693" t="n">
        <v>90</v>
      </c>
      <c r="F1693" t="n">
        <v>0</v>
      </c>
      <c r="G1693">
        <f>SUMIF(PRISPELO!B:B, A1693, PRISPELO!G:G)</f>
        <v/>
      </c>
      <c r="H1693">
        <f>SUMIF(ODPIS!B:B, A1693, ODPIS!G:G)</f>
        <v/>
      </c>
      <c r="I1693" s="2">
        <f>F1693 + G1693 - H1693</f>
        <v/>
      </c>
    </row>
    <row r="1694">
      <c r="A1694" t="n">
        <v>3704</v>
      </c>
      <c r="B1694" t="inlineStr">
        <is>
          <t>MultiOffset</t>
        </is>
      </c>
      <c r="C1694" t="n">
        <v>90</v>
      </c>
      <c r="D1694" t="n">
        <v>64</v>
      </c>
      <c r="E1694" t="n">
        <v>80</v>
      </c>
      <c r="F1694" t="n">
        <v>0</v>
      </c>
      <c r="G1694">
        <f>SUMIF(PRISPELO!B:B, A1694, PRISPELO!G:G)</f>
        <v/>
      </c>
      <c r="H1694">
        <f>SUMIF(ODPIS!B:B, A1694, ODPIS!G:G)</f>
        <v/>
      </c>
      <c r="I1694" s="2">
        <f>F1694 + G1694 - H1694</f>
        <v/>
      </c>
    </row>
    <row r="1695">
      <c r="A1695" t="n">
        <v>3705</v>
      </c>
      <c r="B1695" t="inlineStr">
        <is>
          <t>IQ COLOR MEDIUM BLUE</t>
        </is>
      </c>
      <c r="C1695" t="n">
        <v>70</v>
      </c>
      <c r="D1695" t="n">
        <v>100</v>
      </c>
      <c r="E1695" t="n">
        <v>230</v>
      </c>
      <c r="F1695" t="n">
        <v>0</v>
      </c>
      <c r="G1695">
        <f>SUMIF(PRISPELO!B:B, A1695, PRISPELO!G:G)</f>
        <v/>
      </c>
      <c r="H1695">
        <f>SUMIF(ODPIS!B:B, A1695, ODPIS!G:G)</f>
        <v/>
      </c>
      <c r="I1695" s="2">
        <f>F1695 + G1695 - H1695</f>
        <v/>
      </c>
    </row>
    <row r="1696">
      <c r="A1696" t="n">
        <v>3706</v>
      </c>
      <c r="B1696" t="inlineStr">
        <is>
          <t>GALERIEART SILK</t>
        </is>
      </c>
      <c r="C1696" t="n">
        <v>100</v>
      </c>
      <c r="D1696" t="n">
        <v>70</v>
      </c>
      <c r="E1696" t="n">
        <v>350</v>
      </c>
      <c r="F1696" t="n">
        <v>0</v>
      </c>
      <c r="G1696">
        <f>SUMIF(PRISPELO!B:B, A1696, PRISPELO!G:G)</f>
        <v/>
      </c>
      <c r="H1696">
        <f>SUMIF(ODPIS!B:B, A1696, ODPIS!G:G)</f>
        <v/>
      </c>
      <c r="I1696" s="2">
        <f>F1696 + G1696 - H1696</f>
        <v/>
      </c>
    </row>
    <row r="1697">
      <c r="A1697" t="n">
        <v>3707</v>
      </c>
      <c r="B1697" t="inlineStr">
        <is>
          <t>ZENITH</t>
        </is>
      </c>
      <c r="C1697" t="n">
        <v>72</v>
      </c>
      <c r="D1697" t="n">
        <v>102</v>
      </c>
      <c r="E1697" t="n">
        <v>295</v>
      </c>
      <c r="F1697" t="n">
        <v>0</v>
      </c>
      <c r="G1697">
        <f>SUMIF(PRISPELO!B:B, A1697, PRISPELO!G:G)</f>
        <v/>
      </c>
      <c r="H1697">
        <f>SUMIF(ODPIS!B:B, A1697, ODPIS!G:G)</f>
        <v/>
      </c>
      <c r="I1697" s="2">
        <f>F1697 + G1697 - H1697</f>
        <v/>
      </c>
    </row>
    <row r="1698">
      <c r="A1698" t="n">
        <v>3708</v>
      </c>
      <c r="B1698" t="inlineStr">
        <is>
          <t>PRIZMA CARD</t>
        </is>
      </c>
      <c r="C1698" t="n">
        <v>72</v>
      </c>
      <c r="D1698" t="n">
        <v>102</v>
      </c>
      <c r="E1698" t="n">
        <v>270</v>
      </c>
      <c r="F1698" t="n">
        <v>0</v>
      </c>
      <c r="G1698">
        <f>SUMIF(PRISPELO!B:B, A1698, PRISPELO!G:G)</f>
        <v/>
      </c>
      <c r="H1698">
        <f>SUMIF(ODPIS!B:B, A1698, ODPIS!G:G)</f>
        <v/>
      </c>
      <c r="I1698" s="2">
        <f>F1698 + G1698 - H1698</f>
        <v/>
      </c>
    </row>
    <row r="1699">
      <c r="A1699" t="n">
        <v>3709</v>
      </c>
      <c r="B1699" t="inlineStr">
        <is>
          <t>Perigord MATT</t>
        </is>
      </c>
      <c r="C1699" t="n">
        <v>100</v>
      </c>
      <c r="D1699" t="n">
        <v>70</v>
      </c>
      <c r="E1699" t="n">
        <v>200</v>
      </c>
      <c r="F1699" t="n">
        <v>0</v>
      </c>
      <c r="G1699">
        <f>SUMIF(PRISPELO!B:B, A1699, PRISPELO!G:G)</f>
        <v/>
      </c>
      <c r="H1699">
        <f>SUMIF(ODPIS!B:B, A1699, ODPIS!G:G)</f>
        <v/>
      </c>
      <c r="I1699" s="2">
        <f>F1699 + G1699 - H1699</f>
        <v/>
      </c>
    </row>
    <row r="1700">
      <c r="A1700" t="n">
        <v>3710</v>
      </c>
      <c r="B1700" t="inlineStr">
        <is>
          <t>METSABOARD PRIME</t>
        </is>
      </c>
      <c r="C1700" t="n">
        <v>71</v>
      </c>
      <c r="D1700" t="n">
        <v>101</v>
      </c>
      <c r="E1700" t="n">
        <v>235</v>
      </c>
      <c r="F1700" t="n">
        <v>0</v>
      </c>
      <c r="G1700">
        <f>SUMIF(PRISPELO!B:B, A1700, PRISPELO!G:G)</f>
        <v/>
      </c>
      <c r="H1700">
        <f>SUMIF(ODPIS!B:B, A1700, ODPIS!G:G)</f>
        <v/>
      </c>
      <c r="I1700" s="2">
        <f>F1700 + G1700 - H1700</f>
        <v/>
      </c>
    </row>
    <row r="1701">
      <c r="A1701" t="n">
        <v>3711</v>
      </c>
      <c r="B1701" t="inlineStr">
        <is>
          <t>PERGRAP. H. WHITE RUGH</t>
        </is>
      </c>
      <c r="C1701" t="n">
        <v>102</v>
      </c>
      <c r="D1701" t="n">
        <v>720</v>
      </c>
      <c r="E1701" t="n">
        <v>240</v>
      </c>
      <c r="F1701" t="n">
        <v>0</v>
      </c>
      <c r="G1701">
        <f>SUMIF(PRISPELO!B:B, A1701, PRISPELO!G:G)</f>
        <v/>
      </c>
      <c r="H1701">
        <f>SUMIF(ODPIS!B:B, A1701, ODPIS!G:G)</f>
        <v/>
      </c>
      <c r="I1701" s="2">
        <f>F1701 + G1701 - H1701</f>
        <v/>
      </c>
    </row>
    <row r="1702">
      <c r="A1702" t="n">
        <v>3712</v>
      </c>
      <c r="B1702" t="inlineStr">
        <is>
          <t>Garda matt</t>
        </is>
      </c>
      <c r="C1702" t="n">
        <v>43</v>
      </c>
      <c r="D1702" t="n">
        <v>68</v>
      </c>
      <c r="E1702" t="n">
        <v>350</v>
      </c>
      <c r="F1702" t="n">
        <v>0</v>
      </c>
      <c r="G1702">
        <f>SUMIF(PRISPELO!B:B, A1702, PRISPELO!G:G)</f>
        <v/>
      </c>
      <c r="H1702">
        <f>SUMIF(ODPIS!B:B, A1702, ODPIS!G:G)</f>
        <v/>
      </c>
      <c r="I1702" s="2">
        <f>F1702 + G1702 - H1702</f>
        <v/>
      </c>
    </row>
    <row r="1703">
      <c r="A1703" t="n">
        <v>3713</v>
      </c>
      <c r="B1703" t="inlineStr">
        <is>
          <t>Garda matt</t>
        </is>
      </c>
      <c r="C1703" t="n">
        <v>63</v>
      </c>
      <c r="D1703" t="n">
        <v>42</v>
      </c>
      <c r="E1703" t="n">
        <v>350</v>
      </c>
      <c r="F1703" t="n">
        <v>0</v>
      </c>
      <c r="G1703">
        <f>SUMIF(PRISPELO!B:B, A1703, PRISPELO!G:G)</f>
        <v/>
      </c>
      <c r="H1703">
        <f>SUMIF(ODPIS!B:B, A1703, ODPIS!G:G)</f>
        <v/>
      </c>
      <c r="I1703" s="2">
        <f>F1703 + G1703 - H1703</f>
        <v/>
      </c>
    </row>
    <row r="1704">
      <c r="A1704" t="n">
        <v>3714</v>
      </c>
      <c r="B1704" t="inlineStr">
        <is>
          <t>ROYALCOAT PREMIUM GLOSS</t>
        </is>
      </c>
      <c r="C1704" t="n">
        <v>64</v>
      </c>
      <c r="D1704" t="n">
        <v>90</v>
      </c>
      <c r="E1704" t="n">
        <v>200</v>
      </c>
      <c r="F1704" t="n">
        <v>0</v>
      </c>
      <c r="G1704">
        <f>SUMIF(PRISPELO!B:B, A1704, PRISPELO!G:G)</f>
        <v/>
      </c>
      <c r="H1704">
        <f>SUMIF(ODPIS!B:B, A1704, ODPIS!G:G)</f>
        <v/>
      </c>
      <c r="I1704" s="2">
        <f>F1704 + G1704 - H1704</f>
        <v/>
      </c>
    </row>
    <row r="1705">
      <c r="A1705" t="n">
        <v>3715</v>
      </c>
      <c r="B1705" t="inlineStr">
        <is>
          <t>UMKA COLOR</t>
        </is>
      </c>
      <c r="C1705" t="n">
        <v>101</v>
      </c>
      <c r="D1705" t="n">
        <v>71</v>
      </c>
      <c r="E1705" t="n">
        <v>500</v>
      </c>
      <c r="F1705" t="n">
        <v>0</v>
      </c>
      <c r="G1705">
        <f>SUMIF(PRISPELO!B:B, A1705, PRISPELO!G:G)</f>
        <v/>
      </c>
      <c r="H1705">
        <f>SUMIF(ODPIS!B:B, A1705, ODPIS!G:G)</f>
        <v/>
      </c>
      <c r="I1705" s="2">
        <f>F1705 + G1705 - H1705</f>
        <v/>
      </c>
    </row>
    <row r="1706">
      <c r="A1706" t="n">
        <v>3716</v>
      </c>
      <c r="B1706" t="inlineStr">
        <is>
          <t>MAGNO VOLUME</t>
        </is>
      </c>
      <c r="C1706" t="n">
        <v>70</v>
      </c>
      <c r="D1706" t="n">
        <v>100</v>
      </c>
      <c r="E1706" t="n">
        <v>100</v>
      </c>
      <c r="F1706" t="n">
        <v>0</v>
      </c>
      <c r="G1706">
        <f>SUMIF(PRISPELO!B:B, A1706, PRISPELO!G:G)</f>
        <v/>
      </c>
      <c r="H1706">
        <f>SUMIF(ODPIS!B:B, A1706, ODPIS!G:G)</f>
        <v/>
      </c>
      <c r="I1706" s="2">
        <f>F1706 + G1706 - H1706</f>
        <v/>
      </c>
    </row>
    <row r="1707">
      <c r="A1707" t="n">
        <v>3717</v>
      </c>
      <c r="B1707" t="inlineStr">
        <is>
          <t>UMKA COLOR</t>
        </is>
      </c>
      <c r="C1707" t="n">
        <v>101</v>
      </c>
      <c r="D1707" t="n">
        <v>71</v>
      </c>
      <c r="E1707" t="n">
        <v>250</v>
      </c>
      <c r="F1707" t="n">
        <v>0</v>
      </c>
      <c r="G1707">
        <f>SUMIF(PRISPELO!B:B, A1707, PRISPELO!G:G)</f>
        <v/>
      </c>
      <c r="H1707">
        <f>SUMIF(ODPIS!B:B, A1707, ODPIS!G:G)</f>
        <v/>
      </c>
      <c r="I1707" s="2">
        <f>F1707 + G1707 - H1707</f>
        <v/>
      </c>
    </row>
    <row r="1708">
      <c r="A1708" t="n">
        <v>3718</v>
      </c>
      <c r="B1708" t="inlineStr">
        <is>
          <t>GARDAPAT 11</t>
        </is>
      </c>
      <c r="C1708" t="n">
        <v>70</v>
      </c>
      <c r="D1708" t="n">
        <v>100</v>
      </c>
      <c r="E1708" t="n">
        <v>350</v>
      </c>
      <c r="F1708" t="n">
        <v>0</v>
      </c>
      <c r="G1708">
        <f>SUMIF(PRISPELO!B:B, A1708, PRISPELO!G:G)</f>
        <v/>
      </c>
      <c r="H1708">
        <f>SUMIF(ODPIS!B:B, A1708, ODPIS!G:G)</f>
        <v/>
      </c>
      <c r="I1708" s="2">
        <f>F1708 + G1708 - H1708</f>
        <v/>
      </c>
    </row>
    <row r="1709">
      <c r="A1709" t="n">
        <v>3719</v>
      </c>
      <c r="B1709" t="inlineStr">
        <is>
          <t>MetsaBoard Prime</t>
        </is>
      </c>
      <c r="C1709" t="n">
        <v>71</v>
      </c>
      <c r="D1709" t="n">
        <v>101</v>
      </c>
      <c r="E1709" t="n">
        <v>305</v>
      </c>
      <c r="F1709" t="n">
        <v>0</v>
      </c>
      <c r="G1709">
        <f>SUMIF(PRISPELO!B:B, A1709, PRISPELO!G:G)</f>
        <v/>
      </c>
      <c r="H1709">
        <f>SUMIF(ODPIS!B:B, A1709, ODPIS!G:G)</f>
        <v/>
      </c>
      <c r="I1709" s="2">
        <f>F1709 + G1709 - H1709</f>
        <v/>
      </c>
    </row>
    <row r="1710">
      <c r="A1710" t="n">
        <v>3720</v>
      </c>
      <c r="B1710" t="inlineStr">
        <is>
          <t>PREMIUM SILK</t>
        </is>
      </c>
      <c r="C1710" t="n">
        <v>45</v>
      </c>
      <c r="D1710" t="n">
        <v>64</v>
      </c>
      <c r="E1710" t="n">
        <v>115</v>
      </c>
      <c r="F1710" t="n">
        <v>0</v>
      </c>
      <c r="G1710">
        <f>SUMIF(PRISPELO!B:B, A1710, PRISPELO!G:G)</f>
        <v/>
      </c>
      <c r="H1710">
        <f>SUMIF(ODPIS!B:B, A1710, ODPIS!G:G)</f>
        <v/>
      </c>
      <c r="I1710" s="2">
        <f>F1710 + G1710 - H1710</f>
        <v/>
      </c>
    </row>
    <row r="1711">
      <c r="A1711" t="n">
        <v>3721</v>
      </c>
      <c r="B1711" t="inlineStr">
        <is>
          <t>MAXI OFFSET</t>
        </is>
      </c>
      <c r="C1711" t="n">
        <v>70</v>
      </c>
      <c r="D1711" t="n">
        <v>100</v>
      </c>
      <c r="E1711" t="n">
        <v>70</v>
      </c>
      <c r="F1711" t="n">
        <v>0</v>
      </c>
      <c r="G1711">
        <f>SUMIF(PRISPELO!B:B, A1711, PRISPELO!G:G)</f>
        <v/>
      </c>
      <c r="H1711">
        <f>SUMIF(ODPIS!B:B, A1711, ODPIS!G:G)</f>
        <v/>
      </c>
      <c r="I1711" s="2">
        <f>F1711 + G1711 - H1711</f>
        <v/>
      </c>
    </row>
    <row r="1712">
      <c r="A1712" t="n">
        <v>3722</v>
      </c>
      <c r="B1712" t="inlineStr">
        <is>
          <t>MAXI SATIN</t>
        </is>
      </c>
      <c r="C1712" t="n">
        <v>100</v>
      </c>
      <c r="D1712" t="n">
        <v>70</v>
      </c>
      <c r="E1712" t="n">
        <v>115</v>
      </c>
      <c r="F1712" t="n">
        <v>0</v>
      </c>
      <c r="G1712">
        <f>SUMIF(PRISPELO!B:B, A1712, PRISPELO!G:G)</f>
        <v/>
      </c>
      <c r="H1712">
        <f>SUMIF(ODPIS!B:B, A1712, ODPIS!G:G)</f>
        <v/>
      </c>
      <c r="I1712" s="2">
        <f>F1712 + G1712 - H1712</f>
        <v/>
      </c>
    </row>
    <row r="1713">
      <c r="A1713" t="n">
        <v>3723</v>
      </c>
      <c r="B1713" t="inlineStr">
        <is>
          <t>ALGRO DESIGN DUO</t>
        </is>
      </c>
      <c r="C1713" t="n">
        <v>72</v>
      </c>
      <c r="D1713" t="n">
        <v>102</v>
      </c>
      <c r="E1713" t="n">
        <v>380</v>
      </c>
      <c r="F1713" t="n">
        <v>0</v>
      </c>
      <c r="G1713">
        <f>SUMIF(PRISPELO!B:B, A1713, PRISPELO!G:G)</f>
        <v/>
      </c>
      <c r="H1713">
        <f>SUMIF(ODPIS!B:B, A1713, ODPIS!G:G)</f>
        <v/>
      </c>
      <c r="I1713" s="2">
        <f>F1713 + G1713 - H1713</f>
        <v/>
      </c>
    </row>
    <row r="1714">
      <c r="A1714" t="n">
        <v>3725</v>
      </c>
      <c r="B1714" t="inlineStr">
        <is>
          <t>SYMBOL CARD 2SC PW</t>
        </is>
      </c>
      <c r="C1714" t="n">
        <v>72</v>
      </c>
      <c r="D1714" t="n">
        <v>102</v>
      </c>
      <c r="E1714" t="n">
        <v>500</v>
      </c>
      <c r="F1714" t="n">
        <v>0</v>
      </c>
      <c r="G1714">
        <f>SUMIF(PRISPELO!B:B, A1714, PRISPELO!G:G)</f>
        <v/>
      </c>
      <c r="H1714">
        <f>SUMIF(ODPIS!B:B, A1714, ODPIS!G:G)</f>
        <v/>
      </c>
      <c r="I1714" s="2">
        <f>F1714 + G1714 - H1714</f>
        <v/>
      </c>
    </row>
    <row r="1715">
      <c r="A1715" t="n">
        <v>3726</v>
      </c>
      <c r="B1715" t="inlineStr">
        <is>
          <t>PERIGORD MATT 1.1</t>
        </is>
      </c>
      <c r="C1715" t="n">
        <v>72</v>
      </c>
      <c r="D1715" t="n">
        <v>102</v>
      </c>
      <c r="E1715" t="n">
        <v>150</v>
      </c>
      <c r="F1715" t="n">
        <v>0</v>
      </c>
      <c r="G1715">
        <f>SUMIF(PRISPELO!B:B, A1715, PRISPELO!G:G)</f>
        <v/>
      </c>
      <c r="H1715">
        <f>SUMIF(ODPIS!B:B, A1715, ODPIS!G:G)</f>
        <v/>
      </c>
      <c r="I1715" s="2">
        <f>F1715 + G1715 - H1715</f>
        <v/>
      </c>
    </row>
    <row r="1716">
      <c r="A1716" t="n">
        <v>3727</v>
      </c>
      <c r="B1716" t="inlineStr">
        <is>
          <t>CONDAT MATT PERIGORD</t>
        </is>
      </c>
      <c r="C1716" t="n">
        <v>45</v>
      </c>
      <c r="D1716" t="n">
        <v>64</v>
      </c>
      <c r="E1716" t="n">
        <v>100</v>
      </c>
      <c r="F1716" t="n">
        <v>0</v>
      </c>
      <c r="G1716">
        <f>SUMIF(PRISPELO!B:B, A1716, PRISPELO!G:G)</f>
        <v/>
      </c>
      <c r="H1716">
        <f>SUMIF(ODPIS!B:B, A1716, ODPIS!G:G)</f>
        <v/>
      </c>
      <c r="I1716" s="2">
        <f>F1716 + G1716 - H1716</f>
        <v/>
      </c>
    </row>
    <row r="1717">
      <c r="A1717" t="n">
        <v>3728</v>
      </c>
      <c r="B1717" t="inlineStr">
        <is>
          <t>FEDRIGONI SYMBOL CARD</t>
        </is>
      </c>
      <c r="C1717" t="n">
        <v>72</v>
      </c>
      <c r="D1717" t="n">
        <v>102</v>
      </c>
      <c r="E1717" t="n">
        <v>300</v>
      </c>
      <c r="F1717" t="n">
        <v>0</v>
      </c>
      <c r="G1717">
        <f>SUMIF(PRISPELO!B:B, A1717, PRISPELO!G:G)</f>
        <v/>
      </c>
      <c r="H1717">
        <f>SUMIF(ODPIS!B:B, A1717, ODPIS!G:G)</f>
        <v/>
      </c>
      <c r="I1717" s="2">
        <f>F1717 + G1717 - H1717</f>
        <v/>
      </c>
    </row>
    <row r="1718">
      <c r="A1718" t="n">
        <v>3729</v>
      </c>
      <c r="B1718" t="inlineStr">
        <is>
          <t>IMPACT NATURAL</t>
        </is>
      </c>
      <c r="C1718" t="n">
        <v>100</v>
      </c>
      <c r="D1718" t="n">
        <v>70</v>
      </c>
      <c r="E1718" t="n">
        <v>190</v>
      </c>
      <c r="F1718" t="n">
        <v>0</v>
      </c>
      <c r="G1718">
        <f>SUMIF(PRISPELO!B:B, A1718, PRISPELO!G:G)</f>
        <v/>
      </c>
      <c r="H1718">
        <f>SUMIF(ODPIS!B:B, A1718, ODPIS!G:G)</f>
        <v/>
      </c>
      <c r="I1718" s="2">
        <f>F1718 + G1718 - H1718</f>
        <v/>
      </c>
    </row>
    <row r="1719">
      <c r="A1719" t="n">
        <v>3730</v>
      </c>
      <c r="B1719" t="inlineStr">
        <is>
          <t>Terraprint silk</t>
        </is>
      </c>
      <c r="C1719" t="n">
        <v>70</v>
      </c>
      <c r="D1719" t="n">
        <v>50</v>
      </c>
      <c r="E1719" t="n">
        <v>80</v>
      </c>
      <c r="F1719" t="n">
        <v>0</v>
      </c>
      <c r="G1719">
        <f>SUMIF(PRISPELO!B:B, A1719, PRISPELO!G:G)</f>
        <v/>
      </c>
      <c r="H1719">
        <f>SUMIF(ODPIS!B:B, A1719, ODPIS!G:G)</f>
        <v/>
      </c>
      <c r="I1719" s="2">
        <f>F1719 + G1719 - H1719</f>
        <v/>
      </c>
    </row>
    <row r="1720">
      <c r="A1720" t="n">
        <v>3731</v>
      </c>
      <c r="B1720" t="inlineStr">
        <is>
          <t>G-PRINT</t>
        </is>
      </c>
      <c r="C1720" t="n">
        <v>100</v>
      </c>
      <c r="D1720" t="n">
        <v>70</v>
      </c>
      <c r="E1720" t="n">
        <v>130</v>
      </c>
      <c r="F1720" t="n">
        <v>0</v>
      </c>
      <c r="G1720">
        <f>SUMIF(PRISPELO!B:B, A1720, PRISPELO!G:G)</f>
        <v/>
      </c>
      <c r="H1720">
        <f>SUMIF(ODPIS!B:B, A1720, ODPIS!G:G)</f>
        <v/>
      </c>
      <c r="I1720" s="2">
        <f>F1720 + G1720 - H1720</f>
        <v/>
      </c>
    </row>
    <row r="1721">
      <c r="A1721" t="n">
        <v>3732</v>
      </c>
      <c r="B1721" t="inlineStr">
        <is>
          <t>G-PRINT</t>
        </is>
      </c>
      <c r="C1721" t="n">
        <v>102</v>
      </c>
      <c r="D1721" t="n">
        <v>72</v>
      </c>
      <c r="E1721" t="n">
        <v>300</v>
      </c>
      <c r="F1721" t="n">
        <v>0</v>
      </c>
      <c r="G1721">
        <f>SUMIF(PRISPELO!B:B, A1721, PRISPELO!G:G)</f>
        <v/>
      </c>
      <c r="H1721">
        <f>SUMIF(ODPIS!B:B, A1721, ODPIS!G:G)</f>
        <v/>
      </c>
      <c r="I1721" s="2">
        <f>F1721 + G1721 - H1721</f>
        <v/>
      </c>
    </row>
    <row r="1722">
      <c r="A1722" t="n">
        <v>3733</v>
      </c>
      <c r="B1722" t="inlineStr">
        <is>
          <t>PERIGORD MATT CONDAT</t>
        </is>
      </c>
      <c r="C1722" t="n">
        <v>45</v>
      </c>
      <c r="D1722" t="n">
        <v>64</v>
      </c>
      <c r="E1722" t="n">
        <v>90</v>
      </c>
      <c r="F1722" t="n">
        <v>0</v>
      </c>
      <c r="G1722">
        <f>SUMIF(PRISPELO!B:B, A1722, PRISPELO!G:G)</f>
        <v/>
      </c>
      <c r="H1722">
        <f>SUMIF(ODPIS!B:B, A1722, ODPIS!G:G)</f>
        <v/>
      </c>
      <c r="I1722" s="2">
        <f>F1722 + G1722 - H1722</f>
        <v/>
      </c>
    </row>
    <row r="1723">
      <c r="A1723" t="n">
        <v>3734</v>
      </c>
      <c r="B1723" t="inlineStr">
        <is>
          <t>PREMIUM GLOSS</t>
        </is>
      </c>
      <c r="C1723" t="n">
        <v>70</v>
      </c>
      <c r="D1723" t="n">
        <v>100</v>
      </c>
      <c r="E1723" t="n">
        <v>200</v>
      </c>
      <c r="F1723" t="n">
        <v>0</v>
      </c>
      <c r="G1723">
        <f>SUMIF(PRISPELO!B:B, A1723, PRISPELO!G:G)</f>
        <v/>
      </c>
      <c r="H1723">
        <f>SUMIF(ODPIS!B:B, A1723, ODPIS!G:G)</f>
        <v/>
      </c>
      <c r="I1723" s="2">
        <f>F1723 + G1723 - H1723</f>
        <v/>
      </c>
    </row>
    <row r="1724">
      <c r="A1724" t="n">
        <v>3735</v>
      </c>
      <c r="B1724" t="inlineStr">
        <is>
          <t>GALERIEART MATT</t>
        </is>
      </c>
      <c r="C1724" t="n">
        <v>64</v>
      </c>
      <c r="D1724" t="n">
        <v>90</v>
      </c>
      <c r="E1724" t="n">
        <v>300</v>
      </c>
      <c r="F1724" t="n">
        <v>0</v>
      </c>
      <c r="G1724">
        <f>SUMIF(PRISPELO!B:B, A1724, PRISPELO!G:G)</f>
        <v/>
      </c>
      <c r="H1724">
        <f>SUMIF(ODPIS!B:B, A1724, ODPIS!G:G)</f>
        <v/>
      </c>
      <c r="I1724" s="2">
        <f>F1724 + G1724 - H1724</f>
        <v/>
      </c>
    </row>
    <row r="1725">
      <c r="A1725" t="n">
        <v>3736</v>
      </c>
      <c r="B1725" t="inlineStr">
        <is>
          <t>LUXO SATIN</t>
        </is>
      </c>
      <c r="C1725" t="n">
        <v>45</v>
      </c>
      <c r="D1725" t="n">
        <v>64</v>
      </c>
      <c r="E1725" t="n">
        <v>130</v>
      </c>
      <c r="F1725" t="n">
        <v>0</v>
      </c>
      <c r="G1725">
        <f>SUMIF(PRISPELO!B:B, A1725, PRISPELO!G:G)</f>
        <v/>
      </c>
      <c r="H1725">
        <f>SUMIF(ODPIS!B:B, A1725, ODPIS!G:G)</f>
        <v/>
      </c>
      <c r="I1725" s="2">
        <f>F1725 + G1725 - H1725</f>
        <v/>
      </c>
    </row>
    <row r="1726">
      <c r="A1726" t="n">
        <v>3737</v>
      </c>
      <c r="B1726" t="inlineStr">
        <is>
          <t>UPM FINESSE Premium silk</t>
        </is>
      </c>
      <c r="C1726" t="n">
        <v>100</v>
      </c>
      <c r="D1726" t="n">
        <v>70</v>
      </c>
      <c r="E1726" t="n">
        <v>200</v>
      </c>
      <c r="F1726" t="n">
        <v>0</v>
      </c>
      <c r="G1726">
        <f>SUMIF(PRISPELO!B:B, A1726, PRISPELO!G:G)</f>
        <v/>
      </c>
      <c r="H1726">
        <f>SUMIF(ODPIS!B:B, A1726, ODPIS!G:G)</f>
        <v/>
      </c>
      <c r="I1726" s="2">
        <f>F1726 + G1726 - H1726</f>
        <v/>
      </c>
    </row>
    <row r="1727">
      <c r="A1727" t="n">
        <v>3738</v>
      </c>
      <c r="B1727" t="inlineStr">
        <is>
          <t>ROYALCOAT PREMIUM SILK</t>
        </is>
      </c>
      <c r="C1727" t="n">
        <v>45</v>
      </c>
      <c r="D1727" t="n">
        <v>64</v>
      </c>
      <c r="E1727" t="n">
        <v>300</v>
      </c>
      <c r="F1727" t="n">
        <v>0</v>
      </c>
      <c r="G1727">
        <f>SUMIF(PRISPELO!B:B, A1727, PRISPELO!G:G)</f>
        <v/>
      </c>
      <c r="H1727">
        <f>SUMIF(ODPIS!B:B, A1727, ODPIS!G:G)</f>
        <v/>
      </c>
      <c r="I1727" s="2">
        <f>F1727 + G1727 - H1727</f>
        <v/>
      </c>
    </row>
    <row r="1728">
      <c r="A1728" t="n">
        <v>3739</v>
      </c>
      <c r="B1728" t="inlineStr">
        <is>
          <t>GALERIEART SILK</t>
        </is>
      </c>
      <c r="C1728" t="n">
        <v>90</v>
      </c>
      <c r="D1728" t="n">
        <v>64</v>
      </c>
      <c r="E1728" t="n">
        <v>150</v>
      </c>
      <c r="F1728" t="n">
        <v>0</v>
      </c>
      <c r="G1728">
        <f>SUMIF(PRISPELO!B:B, A1728, PRISPELO!G:G)</f>
        <v/>
      </c>
      <c r="H1728">
        <f>SUMIF(ODPIS!B:B, A1728, ODPIS!G:G)</f>
        <v/>
      </c>
      <c r="I1728" s="2">
        <f>F1728 + G1728 - H1728</f>
        <v/>
      </c>
    </row>
    <row r="1729">
      <c r="A1729" t="n">
        <v>3740</v>
      </c>
      <c r="B1729" t="inlineStr">
        <is>
          <t>UPM FINESSE Premium silk</t>
        </is>
      </c>
      <c r="C1729" t="n">
        <v>90</v>
      </c>
      <c r="D1729" t="n">
        <v>64</v>
      </c>
      <c r="E1729" t="n">
        <v>200</v>
      </c>
      <c r="F1729" t="n">
        <v>0</v>
      </c>
      <c r="G1729">
        <f>SUMIF(PRISPELO!B:B, A1729, PRISPELO!G:G)</f>
        <v/>
      </c>
      <c r="H1729">
        <f>SUMIF(ODPIS!B:B, A1729, ODPIS!G:G)</f>
        <v/>
      </c>
      <c r="I1729" s="2">
        <f>F1729 + G1729 - H1729</f>
        <v/>
      </c>
    </row>
    <row r="1730">
      <c r="A1730" t="n">
        <v>3741</v>
      </c>
      <c r="B1730" t="inlineStr">
        <is>
          <t>MULTIOFFSET</t>
        </is>
      </c>
      <c r="C1730" t="n">
        <v>70</v>
      </c>
      <c r="D1730" t="n">
        <v>100</v>
      </c>
      <c r="E1730" t="n">
        <v>140</v>
      </c>
      <c r="F1730" t="n">
        <v>0</v>
      </c>
      <c r="G1730">
        <f>SUMIF(PRISPELO!B:B, A1730, PRISPELO!G:G)</f>
        <v/>
      </c>
      <c r="H1730">
        <f>SUMIF(ODPIS!B:B, A1730, ODPIS!G:G)</f>
        <v/>
      </c>
      <c r="I1730" s="2">
        <f>F1730 + G1730 - H1730</f>
        <v/>
      </c>
    </row>
    <row r="1731">
      <c r="A1731" t="n">
        <v>3742</v>
      </c>
      <c r="B1731" t="inlineStr">
        <is>
          <t>ALGRO DESING DUO</t>
        </is>
      </c>
      <c r="C1731" t="n">
        <v>102</v>
      </c>
      <c r="D1731" t="n">
        <v>72</v>
      </c>
      <c r="E1731" t="n">
        <v>400</v>
      </c>
      <c r="F1731" t="n">
        <v>0</v>
      </c>
      <c r="G1731">
        <f>SUMIF(PRISPELO!B:B, A1731, PRISPELO!G:G)</f>
        <v/>
      </c>
      <c r="H1731">
        <f>SUMIF(ODPIS!B:B, A1731, ODPIS!G:G)</f>
        <v/>
      </c>
      <c r="I1731" s="2">
        <f>F1731 + G1731 - H1731</f>
        <v/>
      </c>
    </row>
    <row r="1732">
      <c r="A1732" t="n">
        <v>3743</v>
      </c>
      <c r="B1732" t="inlineStr">
        <is>
          <t>Royalcoat premium silk</t>
        </is>
      </c>
      <c r="C1732" t="n">
        <v>45</v>
      </c>
      <c r="D1732" t="n">
        <v>64</v>
      </c>
      <c r="E1732" t="n">
        <v>130</v>
      </c>
      <c r="F1732" t="n">
        <v>0</v>
      </c>
      <c r="G1732">
        <f>SUMIF(PRISPELO!B:B, A1732, PRISPELO!G:G)</f>
        <v/>
      </c>
      <c r="H1732">
        <f>SUMIF(ODPIS!B:B, A1732, ODPIS!G:G)</f>
        <v/>
      </c>
      <c r="I1732" s="2">
        <f>F1732 + G1732 - H1732</f>
        <v/>
      </c>
    </row>
    <row r="1733">
      <c r="A1733" t="n">
        <v>3744</v>
      </c>
      <c r="B1733" t="inlineStr">
        <is>
          <t>CONDAT MATT PERIGORD</t>
        </is>
      </c>
      <c r="C1733" t="n">
        <v>90</v>
      </c>
      <c r="D1733" t="n">
        <v>64</v>
      </c>
      <c r="E1733" t="n">
        <v>250</v>
      </c>
      <c r="F1733" t="n">
        <v>0</v>
      </c>
      <c r="G1733">
        <f>SUMIF(PRISPELO!B:B, A1733, PRISPELO!G:G)</f>
        <v/>
      </c>
      <c r="H1733">
        <f>SUMIF(ODPIS!B:B, A1733, ODPIS!G:G)</f>
        <v/>
      </c>
      <c r="I1733" s="2">
        <f>F1733 + G1733 - H1733</f>
        <v/>
      </c>
    </row>
    <row r="1734">
      <c r="A1734" t="n">
        <v>3745</v>
      </c>
      <c r="B1734" t="inlineStr">
        <is>
          <t>CONDAT MATT PERIGORD</t>
        </is>
      </c>
      <c r="C1734" t="n">
        <v>74</v>
      </c>
      <c r="D1734" t="n">
        <v>50</v>
      </c>
      <c r="E1734" t="n">
        <v>200</v>
      </c>
      <c r="F1734" t="n">
        <v>0</v>
      </c>
      <c r="G1734">
        <f>SUMIF(PRISPELO!B:B, A1734, PRISPELO!G:G)</f>
        <v/>
      </c>
      <c r="H1734">
        <f>SUMIF(ODPIS!B:B, A1734, ODPIS!G:G)</f>
        <v/>
      </c>
      <c r="I1734" s="2">
        <f>F1734 + G1734 - H1734</f>
        <v/>
      </c>
    </row>
    <row r="1735">
      <c r="A1735" t="n">
        <v>2739</v>
      </c>
      <c r="B1735" t="inlineStr">
        <is>
          <t>Kuverte C5 BD OL za strojno</t>
        </is>
      </c>
      <c r="C1735" t="n">
        <v>16.2</v>
      </c>
      <c r="D1735" t="n">
        <v>22.9</v>
      </c>
      <c r="E1735" t="n">
        <v>80</v>
      </c>
      <c r="F1735" t="n">
        <v>0</v>
      </c>
      <c r="G1735">
        <f>SUMIF(PRISPELO!B:B, A1735, PRISPELO!G:G)</f>
        <v/>
      </c>
      <c r="H1735">
        <f>SUMIF(ODPIS!B:B, A1735, ODPIS!G:G)</f>
        <v/>
      </c>
      <c r="I1735" s="2">
        <f>F1735 + G1735 - H1735</f>
        <v/>
      </c>
    </row>
    <row r="1736">
      <c r="A1736" t="n">
        <v>3746</v>
      </c>
      <c r="B1736" t="inlineStr">
        <is>
          <t>PHOENIX</t>
        </is>
      </c>
      <c r="C1736" t="n">
        <v>70</v>
      </c>
      <c r="D1736" t="n">
        <v>100</v>
      </c>
      <c r="E1736" t="n">
        <v>300</v>
      </c>
      <c r="F1736" t="n">
        <v>0</v>
      </c>
      <c r="G1736">
        <f>SUMIF(PRISPELO!B:B, A1736, PRISPELO!G:G)</f>
        <v/>
      </c>
      <c r="H1736">
        <f>SUMIF(ODPIS!B:B, A1736, ODPIS!G:G)</f>
        <v/>
      </c>
      <c r="I1736" s="2">
        <f>F1736 + G1736 - H1736</f>
        <v/>
      </c>
    </row>
    <row r="1737">
      <c r="A1737" t="n">
        <v>3747</v>
      </c>
      <c r="B1737" t="inlineStr">
        <is>
          <t>OFFSET PRINT</t>
        </is>
      </c>
      <c r="C1737" t="n">
        <v>100</v>
      </c>
      <c r="D1737" t="n">
        <v>70</v>
      </c>
      <c r="E1737" t="n">
        <v>80</v>
      </c>
      <c r="F1737" t="n">
        <v>0</v>
      </c>
      <c r="G1737">
        <f>SUMIF(PRISPELO!B:B, A1737, PRISPELO!G:G)</f>
        <v/>
      </c>
      <c r="H1737">
        <f>SUMIF(ODPIS!B:B, A1737, ODPIS!G:G)</f>
        <v/>
      </c>
      <c r="I1737" s="2">
        <f>F1737 + G1737 - H1737</f>
        <v/>
      </c>
    </row>
    <row r="1738">
      <c r="A1738" t="n">
        <v>4173</v>
      </c>
      <c r="B1738" t="inlineStr">
        <is>
          <t>ROYAL PREMIUM GLOSS</t>
        </is>
      </c>
      <c r="C1738" t="n">
        <v>31.8</v>
      </c>
      <c r="D1738" t="n">
        <v>44.8</v>
      </c>
      <c r="E1738" t="n">
        <v>200</v>
      </c>
      <c r="F1738" t="n">
        <v>0</v>
      </c>
      <c r="G1738">
        <f>SUMIF(PRISPELO!B:B, A1738, PRISPELO!G:G)</f>
        <v/>
      </c>
      <c r="H1738">
        <f>SUMIF(ODPIS!B:B, A1738, ODPIS!G:G)</f>
        <v/>
      </c>
      <c r="I1738" s="2">
        <f>F1738 + G1738 - H1738</f>
        <v/>
      </c>
    </row>
    <row r="1739">
      <c r="A1739" t="n">
        <v>3748</v>
      </c>
      <c r="B1739" t="inlineStr">
        <is>
          <t>UPM FINESSE Premium silk</t>
        </is>
      </c>
      <c r="C1739" t="n">
        <v>90</v>
      </c>
      <c r="D1739" t="n">
        <v>64</v>
      </c>
      <c r="E1739" t="n">
        <v>250</v>
      </c>
      <c r="F1739" t="n">
        <v>0</v>
      </c>
      <c r="G1739">
        <f>SUMIF(PRISPELO!B:B, A1739, PRISPELO!G:G)</f>
        <v/>
      </c>
      <c r="H1739">
        <f>SUMIF(ODPIS!B:B, A1739, ODPIS!G:G)</f>
        <v/>
      </c>
      <c r="I1739" s="2">
        <f>F1739 + G1739 - H1739</f>
        <v/>
      </c>
    </row>
    <row r="1740">
      <c r="A1740" t="n">
        <v>3749</v>
      </c>
      <c r="B1740" t="inlineStr">
        <is>
          <t>MULTIOFFSET</t>
        </is>
      </c>
      <c r="C1740" t="n">
        <v>100</v>
      </c>
      <c r="D1740" t="n">
        <v>70</v>
      </c>
      <c r="E1740" t="n">
        <v>300</v>
      </c>
      <c r="F1740" t="n">
        <v>0</v>
      </c>
      <c r="G1740">
        <f>SUMIF(PRISPELO!B:B, A1740, PRISPELO!G:G)</f>
        <v/>
      </c>
      <c r="H1740">
        <f>SUMIF(ODPIS!B:B, A1740, ODPIS!G:G)</f>
        <v/>
      </c>
      <c r="I1740" s="2">
        <f>F1740 + G1740 - H1740</f>
        <v/>
      </c>
    </row>
    <row r="1741">
      <c r="A1741" t="n">
        <v>3750</v>
      </c>
      <c r="B1741" t="inlineStr">
        <is>
          <t>LUXO SATIN</t>
        </is>
      </c>
      <c r="C1741" t="n">
        <v>100</v>
      </c>
      <c r="D1741" t="n">
        <v>70</v>
      </c>
      <c r="E1741" t="n">
        <v>350</v>
      </c>
      <c r="F1741" t="n">
        <v>0</v>
      </c>
      <c r="G1741">
        <f>SUMIF(PRISPELO!B:B, A1741, PRISPELO!G:G)</f>
        <v/>
      </c>
      <c r="H1741">
        <f>SUMIF(ODPIS!B:B, A1741, ODPIS!G:G)</f>
        <v/>
      </c>
      <c r="I1741" s="2">
        <f>F1741 + G1741 - H1741</f>
        <v/>
      </c>
    </row>
    <row r="1742">
      <c r="A1742" t="n">
        <v>3751</v>
      </c>
      <c r="B1742" t="inlineStr">
        <is>
          <t>Garda matt</t>
        </is>
      </c>
      <c r="C1742" t="n">
        <v>45</v>
      </c>
      <c r="D1742" t="n">
        <v>64</v>
      </c>
      <c r="E1742" t="n">
        <v>130</v>
      </c>
      <c r="F1742" t="n">
        <v>0</v>
      </c>
      <c r="G1742">
        <f>SUMIF(PRISPELO!B:B, A1742, PRISPELO!G:G)</f>
        <v/>
      </c>
      <c r="H1742">
        <f>SUMIF(ODPIS!B:B, A1742, ODPIS!G:G)</f>
        <v/>
      </c>
      <c r="I1742" s="2">
        <f>F1742 + G1742 - H1742</f>
        <v/>
      </c>
    </row>
    <row r="1743">
      <c r="A1743" t="n">
        <v>3752</v>
      </c>
      <c r="B1743" t="inlineStr">
        <is>
          <t>LUMIART GLOSS</t>
        </is>
      </c>
      <c r="C1743" t="n">
        <v>64</v>
      </c>
      <c r="D1743" t="n">
        <v>90</v>
      </c>
      <c r="E1743" t="n">
        <v>170</v>
      </c>
      <c r="F1743" t="n">
        <v>0</v>
      </c>
      <c r="G1743">
        <f>SUMIF(PRISPELO!B:B, A1743, PRISPELO!G:G)</f>
        <v/>
      </c>
      <c r="H1743">
        <f>SUMIF(ODPIS!B:B, A1743, ODPIS!G:G)</f>
        <v/>
      </c>
      <c r="I1743" s="2">
        <f>F1743 + G1743 - H1743</f>
        <v/>
      </c>
    </row>
    <row r="1744">
      <c r="A1744" t="n">
        <v>3753</v>
      </c>
      <c r="B1744" t="inlineStr">
        <is>
          <t>FEDRIGONI ULTRA BLACK</t>
        </is>
      </c>
      <c r="C1744" t="n">
        <v>70</v>
      </c>
      <c r="D1744" t="n">
        <v>100</v>
      </c>
      <c r="E1744" t="n">
        <v>680</v>
      </c>
      <c r="F1744" t="n">
        <v>0</v>
      </c>
      <c r="G1744">
        <f>SUMIF(PRISPELO!B:B, A1744, PRISPELO!G:G)</f>
        <v/>
      </c>
      <c r="H1744">
        <f>SUMIF(ODPIS!B:B, A1744, ODPIS!G:G)</f>
        <v/>
      </c>
      <c r="I1744" s="2">
        <f>F1744 + G1744 - H1744</f>
        <v/>
      </c>
    </row>
    <row r="1745">
      <c r="A1745" t="n">
        <v>3754</v>
      </c>
      <c r="B1745" t="inlineStr">
        <is>
          <t>UPM FINESSE Premium silk</t>
        </is>
      </c>
      <c r="C1745" t="n">
        <v>90</v>
      </c>
      <c r="D1745" t="n">
        <v>64</v>
      </c>
      <c r="E1745" t="n">
        <v>350</v>
      </c>
      <c r="F1745" t="n">
        <v>0</v>
      </c>
      <c r="G1745">
        <f>SUMIF(PRISPELO!B:B, A1745, PRISPELO!G:G)</f>
        <v/>
      </c>
      <c r="H1745">
        <f>SUMIF(ODPIS!B:B, A1745, ODPIS!G:G)</f>
        <v/>
      </c>
      <c r="I1745" s="2">
        <f>F1745 + G1745 - H1745</f>
        <v/>
      </c>
    </row>
    <row r="1746">
      <c r="A1746" t="n">
        <v>3755</v>
      </c>
      <c r="B1746" t="inlineStr">
        <is>
          <t>METSABOARD PRIME</t>
        </is>
      </c>
      <c r="C1746" t="n">
        <v>101</v>
      </c>
      <c r="D1746" t="n">
        <v>71</v>
      </c>
      <c r="E1746" t="n">
        <v>210</v>
      </c>
      <c r="F1746" t="n">
        <v>0</v>
      </c>
      <c r="G1746">
        <f>SUMIF(PRISPELO!B:B, A1746, PRISPELO!G:G)</f>
        <v/>
      </c>
      <c r="H1746">
        <f>SUMIF(ODPIS!B:B, A1746, ODPIS!G:G)</f>
        <v/>
      </c>
      <c r="I1746" s="2">
        <f>F1746 + G1746 - H1746</f>
        <v/>
      </c>
    </row>
    <row r="1747">
      <c r="A1747" t="n">
        <v>3756</v>
      </c>
      <c r="B1747" t="inlineStr">
        <is>
          <t>METSABOARD PRIME</t>
        </is>
      </c>
      <c r="C1747" t="n">
        <v>71</v>
      </c>
      <c r="D1747" t="n">
        <v>101</v>
      </c>
      <c r="E1747" t="n">
        <v>210</v>
      </c>
      <c r="F1747" t="n">
        <v>0</v>
      </c>
      <c r="G1747">
        <f>SUMIF(PRISPELO!B:B, A1747, PRISPELO!G:G)</f>
        <v/>
      </c>
      <c r="H1747">
        <f>SUMIF(ODPIS!B:B, A1747, ODPIS!G:G)</f>
        <v/>
      </c>
      <c r="I1747" s="2">
        <f>F1747 + G1747 - H1747</f>
        <v/>
      </c>
    </row>
    <row r="1748">
      <c r="A1748" t="n">
        <v>3757</v>
      </c>
      <c r="B1748" t="inlineStr">
        <is>
          <t>NAUTILUS CLASSIC</t>
        </is>
      </c>
      <c r="C1748" t="n">
        <v>70</v>
      </c>
      <c r="D1748" t="n">
        <v>100</v>
      </c>
      <c r="E1748" t="n">
        <v>120</v>
      </c>
      <c r="F1748" t="n">
        <v>0</v>
      </c>
      <c r="G1748">
        <f>SUMIF(PRISPELO!B:B, A1748, PRISPELO!G:G)</f>
        <v/>
      </c>
      <c r="H1748">
        <f>SUMIF(ODPIS!B:B, A1748, ODPIS!G:G)</f>
        <v/>
      </c>
      <c r="I1748" s="2">
        <f>F1748 + G1748 - H1748</f>
        <v/>
      </c>
    </row>
    <row r="1749">
      <c r="A1749" t="n">
        <v>3758</v>
      </c>
      <c r="B1749" t="inlineStr">
        <is>
          <t>MUNKEN PURE</t>
        </is>
      </c>
      <c r="C1749" t="n">
        <v>72</v>
      </c>
      <c r="D1749" t="n">
        <v>102</v>
      </c>
      <c r="E1749" t="n">
        <v>100</v>
      </c>
      <c r="F1749" t="n">
        <v>0</v>
      </c>
      <c r="G1749">
        <f>SUMIF(PRISPELO!B:B, A1749, PRISPELO!G:G)</f>
        <v/>
      </c>
      <c r="H1749">
        <f>SUMIF(ODPIS!B:B, A1749, ODPIS!G:G)</f>
        <v/>
      </c>
      <c r="I1749" s="2">
        <f>F1749 + G1749 - H1749</f>
        <v/>
      </c>
    </row>
    <row r="1750">
      <c r="A1750" t="n">
        <v>3759</v>
      </c>
      <c r="B1750" t="inlineStr">
        <is>
          <t>MULTIOFFSET</t>
        </is>
      </c>
      <c r="C1750" t="n">
        <v>65</v>
      </c>
      <c r="D1750" t="n">
        <v>42</v>
      </c>
      <c r="E1750" t="n">
        <v>90</v>
      </c>
      <c r="F1750" t="n">
        <v>0</v>
      </c>
      <c r="G1750">
        <f>SUMIF(PRISPELO!B:B, A1750, PRISPELO!G:G)</f>
        <v/>
      </c>
      <c r="H1750">
        <f>SUMIF(ODPIS!B:B, A1750, ODPIS!G:G)</f>
        <v/>
      </c>
      <c r="I1750" s="2">
        <f>F1750 + G1750 - H1750</f>
        <v/>
      </c>
    </row>
    <row r="1751">
      <c r="A1751" t="n">
        <v>3760</v>
      </c>
      <c r="B1751" t="inlineStr">
        <is>
          <t>MULTIART SILK</t>
        </is>
      </c>
      <c r="C1751" t="n">
        <v>100</v>
      </c>
      <c r="D1751" t="n">
        <v>70</v>
      </c>
      <c r="E1751" t="n">
        <v>90</v>
      </c>
      <c r="F1751" t="n">
        <v>0</v>
      </c>
      <c r="G1751">
        <f>SUMIF(PRISPELO!B:B, A1751, PRISPELO!G:G)</f>
        <v/>
      </c>
      <c r="H1751">
        <f>SUMIF(ODPIS!B:B, A1751, ODPIS!G:G)</f>
        <v/>
      </c>
      <c r="I1751" s="2">
        <f>F1751 + G1751 - H1751</f>
        <v/>
      </c>
    </row>
    <row r="1752">
      <c r="A1752" t="n">
        <v>3761</v>
      </c>
      <c r="B1752" t="inlineStr">
        <is>
          <t>SERIXO OFFSET WHITE</t>
        </is>
      </c>
      <c r="C1752" t="n">
        <v>45</v>
      </c>
      <c r="D1752" t="n">
        <v>64</v>
      </c>
      <c r="E1752" t="n">
        <v>140</v>
      </c>
      <c r="F1752" t="n">
        <v>0</v>
      </c>
      <c r="G1752">
        <f>SUMIF(PRISPELO!B:B, A1752, PRISPELO!G:G)</f>
        <v/>
      </c>
      <c r="H1752">
        <f>SUMIF(ODPIS!B:B, A1752, ODPIS!G:G)</f>
        <v/>
      </c>
      <c r="I1752" s="2">
        <f>F1752 + G1752 - H1752</f>
        <v/>
      </c>
    </row>
    <row r="1753">
      <c r="A1753" t="n">
        <v>3762</v>
      </c>
      <c r="B1753" t="inlineStr">
        <is>
          <t>MULTIOFFSET</t>
        </is>
      </c>
      <c r="C1753" t="n">
        <v>90</v>
      </c>
      <c r="D1753" t="n">
        <v>64</v>
      </c>
      <c r="E1753" t="n">
        <v>90</v>
      </c>
      <c r="F1753" t="n">
        <v>0</v>
      </c>
      <c r="G1753">
        <f>SUMIF(PRISPELO!B:B, A1753, PRISPELO!G:G)</f>
        <v/>
      </c>
      <c r="H1753">
        <f>SUMIF(ODPIS!B:B, A1753, ODPIS!G:G)</f>
        <v/>
      </c>
      <c r="I1753" s="2">
        <f>F1753 + G1753 - H1753</f>
        <v/>
      </c>
    </row>
    <row r="1754">
      <c r="A1754" t="n">
        <v>3763</v>
      </c>
      <c r="B1754" t="inlineStr">
        <is>
          <t>CLASSIC SILK</t>
        </is>
      </c>
      <c r="C1754" t="n">
        <v>70</v>
      </c>
      <c r="D1754" t="n">
        <v>100</v>
      </c>
      <c r="E1754" t="n">
        <v>250</v>
      </c>
      <c r="F1754" t="n">
        <v>0</v>
      </c>
      <c r="G1754">
        <f>SUMIF(PRISPELO!B:B, A1754, PRISPELO!G:G)</f>
        <v/>
      </c>
      <c r="H1754">
        <f>SUMIF(ODPIS!B:B, A1754, ODPIS!G:G)</f>
        <v/>
      </c>
      <c r="I1754" s="2">
        <f>F1754 + G1754 - H1754</f>
        <v/>
      </c>
    </row>
    <row r="1755">
      <c r="A1755" t="n">
        <v>3765</v>
      </c>
      <c r="B1755" t="inlineStr">
        <is>
          <t>PREMIUM GLOSS</t>
        </is>
      </c>
      <c r="C1755" t="n">
        <v>100</v>
      </c>
      <c r="D1755" t="n">
        <v>70</v>
      </c>
      <c r="E1755" t="n">
        <v>300</v>
      </c>
      <c r="F1755" t="n">
        <v>0</v>
      </c>
      <c r="G1755">
        <f>SUMIF(PRISPELO!B:B, A1755, PRISPELO!G:G)</f>
        <v/>
      </c>
      <c r="H1755">
        <f>SUMIF(ODPIS!B:B, A1755, ODPIS!G:G)</f>
        <v/>
      </c>
      <c r="I1755" s="2">
        <f>F1755 + G1755 - H1755</f>
        <v/>
      </c>
    </row>
    <row r="1756">
      <c r="A1756" t="n">
        <v>3766</v>
      </c>
      <c r="B1756" t="inlineStr">
        <is>
          <t>G-PRINT</t>
        </is>
      </c>
      <c r="C1756" t="n">
        <v>45</v>
      </c>
      <c r="D1756" t="n">
        <v>64</v>
      </c>
      <c r="E1756" t="n">
        <v>115</v>
      </c>
      <c r="F1756" t="n">
        <v>0</v>
      </c>
      <c r="G1756">
        <f>SUMIF(PRISPELO!B:B, A1756, PRISPELO!G:G)</f>
        <v/>
      </c>
      <c r="H1756">
        <f>SUMIF(ODPIS!B:B, A1756, ODPIS!G:G)</f>
        <v/>
      </c>
      <c r="I1756" s="2">
        <f>F1756 + G1756 - H1756</f>
        <v/>
      </c>
    </row>
    <row r="1757">
      <c r="A1757" t="n">
        <v>3767</v>
      </c>
      <c r="B1757" t="inlineStr">
        <is>
          <t>LEPENKA 2mm + PENA 3mm</t>
        </is>
      </c>
      <c r="C1757" t="n">
        <v>71</v>
      </c>
      <c r="D1757" t="n">
        <v>101</v>
      </c>
      <c r="E1757" t="n">
        <v>0</v>
      </c>
      <c r="F1757" t="n">
        <v>0</v>
      </c>
      <c r="G1757">
        <f>SUMIF(PRISPELO!B:B, A1757, PRISPELO!G:G)</f>
        <v/>
      </c>
      <c r="H1757">
        <f>SUMIF(ODPIS!B:B, A1757, ODPIS!G:G)</f>
        <v/>
      </c>
      <c r="I1757" s="2">
        <f>F1757 + G1757 - H1757</f>
        <v/>
      </c>
    </row>
    <row r="1758">
      <c r="A1758" t="n">
        <v>3768</v>
      </c>
      <c r="B1758" t="inlineStr">
        <is>
          <t>SYMBOL MATT PLUS</t>
        </is>
      </c>
      <c r="C1758" t="n">
        <v>72</v>
      </c>
      <c r="D1758" t="n">
        <v>102</v>
      </c>
      <c r="E1758" t="n">
        <v>170</v>
      </c>
      <c r="F1758" t="n">
        <v>0</v>
      </c>
      <c r="G1758">
        <f>SUMIF(PRISPELO!B:B, A1758, PRISPELO!G:G)</f>
        <v/>
      </c>
      <c r="H1758">
        <f>SUMIF(ODPIS!B:B, A1758, ODPIS!G:G)</f>
        <v/>
      </c>
      <c r="I1758" s="2">
        <f>F1758 + G1758 - H1758</f>
        <v/>
      </c>
    </row>
    <row r="1759">
      <c r="A1759" t="n">
        <v>3769</v>
      </c>
      <c r="B1759" t="inlineStr">
        <is>
          <t>LUXO SATIN</t>
        </is>
      </c>
      <c r="C1759" t="n">
        <v>90</v>
      </c>
      <c r="D1759" t="n">
        <v>64</v>
      </c>
      <c r="E1759" t="n">
        <v>170</v>
      </c>
      <c r="F1759" t="n">
        <v>0</v>
      </c>
      <c r="G1759">
        <f>SUMIF(PRISPELO!B:B, A1759, PRISPELO!G:G)</f>
        <v/>
      </c>
      <c r="H1759">
        <f>SUMIF(ODPIS!B:B, A1759, ODPIS!G:G)</f>
        <v/>
      </c>
      <c r="I1759" s="2">
        <f>F1759 + G1759 - H1759</f>
        <v/>
      </c>
    </row>
    <row r="1760">
      <c r="A1760" t="n">
        <v>3770</v>
      </c>
      <c r="B1760" t="inlineStr">
        <is>
          <t>GALERIE ART NATURAL</t>
        </is>
      </c>
      <c r="C1760" t="n">
        <v>100</v>
      </c>
      <c r="D1760" t="n">
        <v>70</v>
      </c>
      <c r="E1760" t="n">
        <v>150</v>
      </c>
      <c r="F1760" t="n">
        <v>0</v>
      </c>
      <c r="G1760">
        <f>SUMIF(PRISPELO!B:B, A1760, PRISPELO!G:G)</f>
        <v/>
      </c>
      <c r="H1760">
        <f>SUMIF(ODPIS!B:B, A1760, ODPIS!G:G)</f>
        <v/>
      </c>
      <c r="I1760" s="2">
        <f>F1760 + G1760 - H1760</f>
        <v/>
      </c>
    </row>
    <row r="1761">
      <c r="A1761" t="n">
        <v>3771</v>
      </c>
      <c r="B1761" t="inlineStr">
        <is>
          <t>Multiart gloss</t>
        </is>
      </c>
      <c r="C1761" t="n">
        <v>70</v>
      </c>
      <c r="D1761" t="n">
        <v>100</v>
      </c>
      <c r="E1761" t="n">
        <v>130</v>
      </c>
      <c r="F1761" t="n">
        <v>0</v>
      </c>
      <c r="G1761">
        <f>SUMIF(PRISPELO!B:B, A1761, PRISPELO!G:G)</f>
        <v/>
      </c>
      <c r="H1761">
        <f>SUMIF(ODPIS!B:B, A1761, ODPIS!G:G)</f>
        <v/>
      </c>
      <c r="I1761" s="2">
        <f>F1761 + G1761 - H1761</f>
        <v/>
      </c>
    </row>
    <row r="1762">
      <c r="A1762" t="n">
        <v>3772</v>
      </c>
      <c r="B1762" t="inlineStr">
        <is>
          <t>METSABOARD PRIME</t>
        </is>
      </c>
      <c r="C1762" t="n">
        <v>49.8</v>
      </c>
      <c r="D1762" t="n">
        <v>69.59999999999999</v>
      </c>
      <c r="E1762" t="n">
        <v>255</v>
      </c>
      <c r="F1762" t="n">
        <v>0</v>
      </c>
      <c r="G1762">
        <f>SUMIF(PRISPELO!B:B, A1762, PRISPELO!G:G)</f>
        <v/>
      </c>
      <c r="H1762">
        <f>SUMIF(ODPIS!B:B, A1762, ODPIS!G:G)</f>
        <v/>
      </c>
      <c r="I1762" s="2">
        <f>F1762 + G1762 - H1762</f>
        <v/>
      </c>
    </row>
    <row r="1763">
      <c r="A1763" t="n">
        <v>3773</v>
      </c>
      <c r="B1763" t="inlineStr">
        <is>
          <t>UMKA COLOR</t>
        </is>
      </c>
      <c r="C1763" t="n">
        <v>101</v>
      </c>
      <c r="D1763" t="n">
        <v>71</v>
      </c>
      <c r="E1763" t="n">
        <v>400</v>
      </c>
      <c r="F1763" t="n">
        <v>0</v>
      </c>
      <c r="G1763">
        <f>SUMIF(PRISPELO!B:B, A1763, PRISPELO!G:G)</f>
        <v/>
      </c>
      <c r="H1763">
        <f>SUMIF(ODPIS!B:B, A1763, ODPIS!G:G)</f>
        <v/>
      </c>
      <c r="I1763" s="2">
        <f>F1763 + G1763 - H1763</f>
        <v/>
      </c>
    </row>
    <row r="1764">
      <c r="A1764" t="n">
        <v>3774</v>
      </c>
      <c r="B1764" t="inlineStr">
        <is>
          <t>GALERIE ART NATURAL</t>
        </is>
      </c>
      <c r="C1764" t="n">
        <v>64</v>
      </c>
      <c r="D1764" t="n">
        <v>90</v>
      </c>
      <c r="E1764" t="n">
        <v>120</v>
      </c>
      <c r="F1764" t="n">
        <v>0</v>
      </c>
      <c r="G1764">
        <f>SUMIF(PRISPELO!B:B, A1764, PRISPELO!G:G)</f>
        <v/>
      </c>
      <c r="H1764">
        <f>SUMIF(ODPIS!B:B, A1764, ODPIS!G:G)</f>
        <v/>
      </c>
      <c r="I1764" s="2">
        <f>F1764 + G1764 - H1764</f>
        <v/>
      </c>
    </row>
    <row r="1765">
      <c r="A1765" t="n">
        <v>3775</v>
      </c>
      <c r="B1765" t="inlineStr">
        <is>
          <t>Multi Art silk</t>
        </is>
      </c>
      <c r="C1765" t="n">
        <v>64</v>
      </c>
      <c r="D1765" t="n">
        <v>90</v>
      </c>
      <c r="E1765" t="n">
        <v>150</v>
      </c>
      <c r="F1765" t="n">
        <v>0</v>
      </c>
      <c r="G1765">
        <f>SUMIF(PRISPELO!B:B, A1765, PRISPELO!G:G)</f>
        <v/>
      </c>
      <c r="H1765">
        <f>SUMIF(ODPIS!B:B, A1765, ODPIS!G:G)</f>
        <v/>
      </c>
      <c r="I1765" s="2">
        <f>F1765 + G1765 - H1765</f>
        <v/>
      </c>
    </row>
    <row r="1766">
      <c r="A1766" t="n">
        <v>3776</v>
      </c>
      <c r="B1766" t="inlineStr">
        <is>
          <t>GALERIE ART NATURAL</t>
        </is>
      </c>
      <c r="C1766" t="n">
        <v>70</v>
      </c>
      <c r="D1766" t="n">
        <v>100</v>
      </c>
      <c r="E1766" t="n">
        <v>80</v>
      </c>
      <c r="F1766" t="n">
        <v>0</v>
      </c>
      <c r="G1766">
        <f>SUMIF(PRISPELO!B:B, A1766, PRISPELO!G:G)</f>
        <v/>
      </c>
      <c r="H1766">
        <f>SUMIF(ODPIS!B:B, A1766, ODPIS!G:G)</f>
        <v/>
      </c>
      <c r="I1766" s="2">
        <f>F1766 + G1766 - H1766</f>
        <v/>
      </c>
    </row>
    <row r="1767">
      <c r="A1767" t="n">
        <v>3777</v>
      </c>
      <c r="B1767" t="inlineStr">
        <is>
          <t>CROMOBULK</t>
        </is>
      </c>
      <c r="C1767" t="n">
        <v>72</v>
      </c>
      <c r="D1767" t="n">
        <v>102</v>
      </c>
      <c r="E1767" t="n">
        <v>270</v>
      </c>
      <c r="F1767" t="n">
        <v>0</v>
      </c>
      <c r="G1767">
        <f>SUMIF(PRISPELO!B:B, A1767, PRISPELO!G:G)</f>
        <v/>
      </c>
      <c r="H1767">
        <f>SUMIF(ODPIS!B:B, A1767, ODPIS!G:G)</f>
        <v/>
      </c>
      <c r="I1767" s="2">
        <f>F1767 + G1767 - H1767</f>
        <v/>
      </c>
    </row>
    <row r="1768">
      <c r="A1768" t="n">
        <v>3778</v>
      </c>
      <c r="B1768" t="inlineStr">
        <is>
          <t>POLAR CARD</t>
        </is>
      </c>
      <c r="C1768" t="n">
        <v>102</v>
      </c>
      <c r="D1768" t="n">
        <v>72</v>
      </c>
      <c r="E1768" t="n">
        <v>280</v>
      </c>
      <c r="F1768" t="n">
        <v>0</v>
      </c>
      <c r="G1768">
        <f>SUMIF(PRISPELO!B:B, A1768, PRISPELO!G:G)</f>
        <v/>
      </c>
      <c r="H1768">
        <f>SUMIF(ODPIS!B:B, A1768, ODPIS!G:G)</f>
        <v/>
      </c>
      <c r="I1768" s="2">
        <f>F1768 + G1768 - H1768</f>
        <v/>
      </c>
    </row>
    <row r="1769">
      <c r="A1769" t="n">
        <v>3779</v>
      </c>
      <c r="B1769" t="inlineStr">
        <is>
          <t>GALARIE ART SILK</t>
        </is>
      </c>
      <c r="C1769" t="n">
        <v>70</v>
      </c>
      <c r="D1769" t="n">
        <v>100</v>
      </c>
      <c r="E1769" t="n">
        <v>200</v>
      </c>
      <c r="F1769" t="n">
        <v>0</v>
      </c>
      <c r="G1769">
        <f>SUMIF(PRISPELO!B:B, A1769, PRISPELO!G:G)</f>
        <v/>
      </c>
      <c r="H1769">
        <f>SUMIF(ODPIS!B:B, A1769, ODPIS!G:G)</f>
        <v/>
      </c>
      <c r="I1769" s="2">
        <f>F1769 + G1769 - H1769</f>
        <v/>
      </c>
    </row>
    <row r="1770">
      <c r="A1770" t="n">
        <v>3780</v>
      </c>
      <c r="B1770" t="inlineStr">
        <is>
          <t>Fedrigoni SYMBOL CARD 2SC</t>
        </is>
      </c>
      <c r="C1770" t="n">
        <v>102</v>
      </c>
      <c r="D1770" t="n">
        <v>72</v>
      </c>
      <c r="E1770" t="n">
        <v>350</v>
      </c>
      <c r="F1770" t="n">
        <v>0</v>
      </c>
      <c r="G1770">
        <f>SUMIF(PRISPELO!B:B, A1770, PRISPELO!G:G)</f>
        <v/>
      </c>
      <c r="H1770">
        <f>SUMIF(ODPIS!B:B, A1770, ODPIS!G:G)</f>
        <v/>
      </c>
      <c r="I1770" s="2">
        <f>F1770 + G1770 - H1770</f>
        <v/>
      </c>
    </row>
    <row r="1771">
      <c r="A1771" t="n">
        <v>3781</v>
      </c>
      <c r="B1771" t="inlineStr">
        <is>
          <t>ROYAL NCR CFB 60</t>
        </is>
      </c>
      <c r="C1771" t="n">
        <v>61</v>
      </c>
      <c r="D1771" t="n">
        <v>86</v>
      </c>
      <c r="E1771" t="n">
        <v>58</v>
      </c>
      <c r="F1771" t="n">
        <v>0</v>
      </c>
      <c r="G1771">
        <f>SUMIF(PRISPELO!B:B, A1771, PRISPELO!G:G)</f>
        <v/>
      </c>
      <c r="H1771">
        <f>SUMIF(ODPIS!B:B, A1771, ODPIS!G:G)</f>
        <v/>
      </c>
      <c r="I1771" s="2">
        <f>F1771 + G1771 - H1771</f>
        <v/>
      </c>
    </row>
    <row r="1772">
      <c r="A1772" t="n">
        <v>3783</v>
      </c>
      <c r="B1772" t="inlineStr">
        <is>
          <t>Royalcoat premium gloss</t>
        </is>
      </c>
      <c r="C1772" t="n">
        <v>90</v>
      </c>
      <c r="D1772" t="n">
        <v>64</v>
      </c>
      <c r="E1772" t="n">
        <v>90</v>
      </c>
      <c r="F1772" t="n">
        <v>0</v>
      </c>
      <c r="G1772">
        <f>SUMIF(PRISPELO!B:B, A1772, PRISPELO!G:G)</f>
        <v/>
      </c>
      <c r="H1772">
        <f>SUMIF(ODPIS!B:B, A1772, ODPIS!G:G)</f>
        <v/>
      </c>
      <c r="I1772" s="2">
        <f>F1772 + G1772 - H1772</f>
        <v/>
      </c>
    </row>
    <row r="1773">
      <c r="A1773" t="n">
        <v>3784</v>
      </c>
      <c r="B1773" t="inlineStr">
        <is>
          <t>INVERCOTE CREATO 2S</t>
        </is>
      </c>
      <c r="C1773" t="n">
        <v>72</v>
      </c>
      <c r="D1773" t="n">
        <v>102</v>
      </c>
      <c r="E1773" t="n">
        <v>350</v>
      </c>
      <c r="F1773" t="n">
        <v>0</v>
      </c>
      <c r="G1773">
        <f>SUMIF(PRISPELO!B:B, A1773, PRISPELO!G:G)</f>
        <v/>
      </c>
      <c r="H1773">
        <f>SUMIF(ODPIS!B:B, A1773, ODPIS!G:G)</f>
        <v/>
      </c>
      <c r="I1773" s="2">
        <f>F1773 + G1773 - H1773</f>
        <v/>
      </c>
    </row>
    <row r="1774">
      <c r="A1774" t="n">
        <v>3785</v>
      </c>
      <c r="B1774" t="inlineStr">
        <is>
          <t>GALARIE ART GLOSS</t>
        </is>
      </c>
      <c r="C1774" t="n">
        <v>90</v>
      </c>
      <c r="D1774" t="n">
        <v>64</v>
      </c>
      <c r="E1774" t="n">
        <v>200</v>
      </c>
      <c r="F1774" t="n">
        <v>0</v>
      </c>
      <c r="G1774">
        <f>SUMIF(PRISPELO!B:B, A1774, PRISPELO!G:G)</f>
        <v/>
      </c>
      <c r="H1774">
        <f>SUMIF(ODPIS!B:B, A1774, ODPIS!G:G)</f>
        <v/>
      </c>
      <c r="I1774" s="2">
        <f>F1774 + G1774 - H1774</f>
        <v/>
      </c>
    </row>
    <row r="1775">
      <c r="A1775" t="n">
        <v>3786</v>
      </c>
      <c r="B1775" t="inlineStr">
        <is>
          <t>NIVIS NEXT GLOSS</t>
        </is>
      </c>
      <c r="C1775" t="n">
        <v>100</v>
      </c>
      <c r="D1775" t="n">
        <v>70</v>
      </c>
      <c r="E1775" t="n">
        <v>170</v>
      </c>
      <c r="F1775" t="n">
        <v>0</v>
      </c>
      <c r="G1775">
        <f>SUMIF(PRISPELO!B:B, A1775, PRISPELO!G:G)</f>
        <v/>
      </c>
      <c r="H1775">
        <f>SUMIF(ODPIS!B:B, A1775, ODPIS!G:G)</f>
        <v/>
      </c>
      <c r="I1775" s="2">
        <f>F1775 + G1775 - H1775</f>
        <v/>
      </c>
    </row>
    <row r="1776">
      <c r="A1776" t="n">
        <v>3787</v>
      </c>
      <c r="B1776" t="inlineStr">
        <is>
          <t>METSABOARD PRIME</t>
        </is>
      </c>
      <c r="C1776" t="n">
        <v>102</v>
      </c>
      <c r="D1776" t="n">
        <v>72</v>
      </c>
      <c r="E1776" t="n">
        <v>235</v>
      </c>
      <c r="F1776" t="n">
        <v>0</v>
      </c>
      <c r="G1776">
        <f>SUMIF(PRISPELO!B:B, A1776, PRISPELO!G:G)</f>
        <v/>
      </c>
      <c r="H1776">
        <f>SUMIF(ODPIS!B:B, A1776, ODPIS!G:G)</f>
        <v/>
      </c>
      <c r="I1776" s="2">
        <f>F1776 + G1776 - H1776</f>
        <v/>
      </c>
    </row>
    <row r="1777">
      <c r="A1777" t="n">
        <v>3788</v>
      </c>
      <c r="B1777" t="inlineStr">
        <is>
          <t>GALARIE ART SILK</t>
        </is>
      </c>
      <c r="C1777" t="n">
        <v>90</v>
      </c>
      <c r="D1777" t="n">
        <v>64</v>
      </c>
      <c r="E1777" t="n">
        <v>170</v>
      </c>
      <c r="F1777" t="n">
        <v>0</v>
      </c>
      <c r="G1777">
        <f>SUMIF(PRISPELO!B:B, A1777, PRISPELO!G:G)</f>
        <v/>
      </c>
      <c r="H1777">
        <f>SUMIF(ODPIS!B:B, A1777, ODPIS!G:G)</f>
        <v/>
      </c>
      <c r="I1777" s="2">
        <f>F1777 + G1777 - H1777</f>
        <v/>
      </c>
    </row>
    <row r="1778">
      <c r="A1778" t="n">
        <v>3789</v>
      </c>
      <c r="B1778" t="inlineStr">
        <is>
          <t>GALARIE ART SILK</t>
        </is>
      </c>
      <c r="C1778" t="n">
        <v>64</v>
      </c>
      <c r="D1778" t="n">
        <v>90</v>
      </c>
      <c r="E1778" t="n">
        <v>170</v>
      </c>
      <c r="F1778" t="n">
        <v>0</v>
      </c>
      <c r="G1778">
        <f>SUMIF(PRISPELO!B:B, A1778, PRISPELO!G:G)</f>
        <v/>
      </c>
      <c r="H1778">
        <f>SUMIF(ODPIS!B:B, A1778, ODPIS!G:G)</f>
        <v/>
      </c>
      <c r="I1778" s="2">
        <f>F1778 + G1778 - H1778</f>
        <v/>
      </c>
    </row>
    <row r="1779">
      <c r="A1779" t="n">
        <v>3790</v>
      </c>
      <c r="B1779" t="inlineStr">
        <is>
          <t>LUXO SATIN</t>
        </is>
      </c>
      <c r="C1779" t="n">
        <v>64</v>
      </c>
      <c r="D1779" t="n">
        <v>90</v>
      </c>
      <c r="E1779" t="n">
        <v>200</v>
      </c>
      <c r="F1779" t="n">
        <v>0</v>
      </c>
      <c r="G1779">
        <f>SUMIF(PRISPELO!B:B, A1779, PRISPELO!G:G)</f>
        <v/>
      </c>
      <c r="H1779">
        <f>SUMIF(ODPIS!B:B, A1779, ODPIS!G:G)</f>
        <v/>
      </c>
      <c r="I1779" s="2">
        <f>F1779 + G1779 - H1779</f>
        <v/>
      </c>
    </row>
    <row r="1780">
      <c r="A1780" t="n">
        <v>3791</v>
      </c>
      <c r="B1780" t="inlineStr">
        <is>
          <t>MULTIOFFSET</t>
        </is>
      </c>
      <c r="C1780" t="n">
        <v>100</v>
      </c>
      <c r="D1780" t="n">
        <v>70</v>
      </c>
      <c r="E1780" t="n">
        <v>250</v>
      </c>
      <c r="F1780" t="n">
        <v>0</v>
      </c>
      <c r="G1780">
        <f>SUMIF(PRISPELO!B:B, A1780, PRISPELO!G:G)</f>
        <v/>
      </c>
      <c r="H1780">
        <f>SUMIF(ODPIS!B:B, A1780, ODPIS!G:G)</f>
        <v/>
      </c>
      <c r="I1780" s="2">
        <f>F1780 + G1780 - H1780</f>
        <v/>
      </c>
    </row>
    <row r="1781">
      <c r="A1781" t="n">
        <v>3792</v>
      </c>
      <c r="B1781" t="inlineStr">
        <is>
          <t>JAC BRILLIANT BOARD</t>
        </is>
      </c>
      <c r="C1781" t="n">
        <v>50</v>
      </c>
      <c r="D1781" t="n">
        <v>70</v>
      </c>
      <c r="E1781" t="n">
        <v>180</v>
      </c>
      <c r="F1781" t="n">
        <v>0</v>
      </c>
      <c r="G1781">
        <f>SUMIF(PRISPELO!B:B, A1781, PRISPELO!G:G)</f>
        <v/>
      </c>
      <c r="H1781">
        <f>SUMIF(ODPIS!B:B, A1781, ODPIS!G:G)</f>
        <v/>
      </c>
      <c r="I1781" s="2">
        <f>F1781 + G1781 - H1781</f>
        <v/>
      </c>
    </row>
    <row r="1782">
      <c r="A1782" t="n">
        <v>3793</v>
      </c>
      <c r="B1782" t="inlineStr">
        <is>
          <t>LUXO MAGIC</t>
        </is>
      </c>
      <c r="C1782" t="n">
        <v>64</v>
      </c>
      <c r="D1782" t="n">
        <v>90</v>
      </c>
      <c r="E1782" t="n">
        <v>130</v>
      </c>
      <c r="F1782" t="n">
        <v>0</v>
      </c>
      <c r="G1782">
        <f>SUMIF(PRISPELO!B:B, A1782, PRISPELO!G:G)</f>
        <v/>
      </c>
      <c r="H1782">
        <f>SUMIF(ODPIS!B:B, A1782, ODPIS!G:G)</f>
        <v/>
      </c>
      <c r="I1782" s="2">
        <f>F1782 + G1782 - H1782</f>
        <v/>
      </c>
    </row>
    <row r="1783">
      <c r="A1783" t="n">
        <v>3795</v>
      </c>
      <c r="B1783" t="inlineStr">
        <is>
          <t>Gardamatt Card DUO</t>
        </is>
      </c>
      <c r="C1783" t="n">
        <v>102</v>
      </c>
      <c r="D1783" t="n">
        <v>72</v>
      </c>
      <c r="E1783" t="n">
        <v>300</v>
      </c>
      <c r="F1783" t="n">
        <v>0</v>
      </c>
      <c r="G1783">
        <f>SUMIF(PRISPELO!B:B, A1783, PRISPELO!G:G)</f>
        <v/>
      </c>
      <c r="H1783">
        <f>SUMIF(ODPIS!B:B, A1783, ODPIS!G:G)</f>
        <v/>
      </c>
      <c r="I1783" s="2">
        <f>F1783 + G1783 - H1783</f>
        <v/>
      </c>
    </row>
    <row r="1784">
      <c r="A1784" t="n">
        <v>3796</v>
      </c>
      <c r="B1784" t="inlineStr">
        <is>
          <t>JAC RUSTIQUE WHITE</t>
        </is>
      </c>
      <c r="C1784" t="n">
        <v>50</v>
      </c>
      <c r="D1784" t="n">
        <v>70</v>
      </c>
      <c r="E1784" t="n">
        <v>0</v>
      </c>
      <c r="F1784" t="n">
        <v>0</v>
      </c>
      <c r="G1784">
        <f>SUMIF(PRISPELO!B:B, A1784, PRISPELO!G:G)</f>
        <v/>
      </c>
      <c r="H1784">
        <f>SUMIF(ODPIS!B:B, A1784, ODPIS!G:G)</f>
        <v/>
      </c>
      <c r="I1784" s="2">
        <f>F1784 + G1784 - H1784</f>
        <v/>
      </c>
    </row>
    <row r="1785">
      <c r="A1785" t="n">
        <v>3797</v>
      </c>
      <c r="B1785" t="inlineStr">
        <is>
          <t>GALERIEART GLOSS</t>
        </is>
      </c>
      <c r="C1785" t="n">
        <v>100</v>
      </c>
      <c r="D1785" t="n">
        <v>70</v>
      </c>
      <c r="E1785" t="n">
        <v>300</v>
      </c>
      <c r="F1785" t="n">
        <v>0</v>
      </c>
      <c r="G1785">
        <f>SUMIF(PRISPELO!B:B, A1785, PRISPELO!G:G)</f>
        <v/>
      </c>
      <c r="H1785">
        <f>SUMIF(ODPIS!B:B, A1785, ODPIS!G:G)</f>
        <v/>
      </c>
      <c r="I1785" s="2">
        <f>F1785 + G1785 - H1785</f>
        <v/>
      </c>
    </row>
    <row r="1786">
      <c r="A1786" t="n">
        <v>3799</v>
      </c>
      <c r="B1786" t="inlineStr">
        <is>
          <t>IQ PREMIUM PREPRINT</t>
        </is>
      </c>
      <c r="C1786" t="n">
        <v>100</v>
      </c>
      <c r="D1786" t="n">
        <v>70</v>
      </c>
      <c r="E1786" t="n">
        <v>160</v>
      </c>
      <c r="F1786" t="n">
        <v>0</v>
      </c>
      <c r="G1786">
        <f>SUMIF(PRISPELO!B:B, A1786, PRISPELO!G:G)</f>
        <v/>
      </c>
      <c r="H1786">
        <f>SUMIF(ODPIS!B:B, A1786, ODPIS!G:G)</f>
        <v/>
      </c>
      <c r="I1786" s="2">
        <f>F1786 + G1786 - H1786</f>
        <v/>
      </c>
    </row>
    <row r="1787">
      <c r="A1787" t="n">
        <v>3800</v>
      </c>
      <c r="B1787" t="inlineStr">
        <is>
          <t>MULTIOFFSET</t>
        </is>
      </c>
      <c r="C1787" t="n">
        <v>90</v>
      </c>
      <c r="D1787" t="n">
        <v>64</v>
      </c>
      <c r="E1787" t="n">
        <v>70</v>
      </c>
      <c r="F1787" t="n">
        <v>0</v>
      </c>
      <c r="G1787">
        <f>SUMIF(PRISPELO!B:B, A1787, PRISPELO!G:G)</f>
        <v/>
      </c>
      <c r="H1787">
        <f>SUMIF(ODPIS!B:B, A1787, ODPIS!G:G)</f>
        <v/>
      </c>
      <c r="I1787" s="2">
        <f>F1787 + G1787 - H1787</f>
        <v/>
      </c>
    </row>
    <row r="1788">
      <c r="A1788" t="n">
        <v>2187</v>
      </c>
      <c r="B1788" t="inlineStr">
        <is>
          <t>Kuverta C5 BD Si</t>
        </is>
      </c>
      <c r="C1788" t="n">
        <v>16.2</v>
      </c>
      <c r="D1788" t="n">
        <v>22.9</v>
      </c>
      <c r="E1788" t="n">
        <v>90</v>
      </c>
      <c r="F1788" t="n">
        <v>0</v>
      </c>
      <c r="G1788">
        <f>SUMIF(PRISPELO!B:B, A1788, PRISPELO!G:G)</f>
        <v/>
      </c>
      <c r="H1788">
        <f>SUMIF(ODPIS!B:B, A1788, ODPIS!G:G)</f>
        <v/>
      </c>
      <c r="I1788" s="2">
        <f>F1788 + G1788 - H1788</f>
        <v/>
      </c>
    </row>
    <row r="1789">
      <c r="A1789" t="n">
        <v>3801</v>
      </c>
      <c r="B1789" t="inlineStr">
        <is>
          <t>ROYALSET OFFSET</t>
        </is>
      </c>
      <c r="C1789" t="n">
        <v>70</v>
      </c>
      <c r="D1789" t="n">
        <v>100</v>
      </c>
      <c r="E1789" t="n">
        <v>170</v>
      </c>
      <c r="F1789" t="n">
        <v>0</v>
      </c>
      <c r="G1789">
        <f>SUMIF(PRISPELO!B:B, A1789, PRISPELO!G:G)</f>
        <v/>
      </c>
      <c r="H1789">
        <f>SUMIF(ODPIS!B:B, A1789, ODPIS!G:G)</f>
        <v/>
      </c>
      <c r="I1789" s="2">
        <f>F1789 + G1789 - H1789</f>
        <v/>
      </c>
    </row>
    <row r="1790">
      <c r="A1790" t="n">
        <v>3802</v>
      </c>
      <c r="B1790" t="inlineStr">
        <is>
          <t>UMKA COLOR</t>
        </is>
      </c>
      <c r="C1790" t="n">
        <v>101</v>
      </c>
      <c r="D1790" t="n">
        <v>71</v>
      </c>
      <c r="E1790" t="n">
        <v>300</v>
      </c>
      <c r="F1790" t="n">
        <v>0</v>
      </c>
      <c r="G1790">
        <f>SUMIF(PRISPELO!B:B, A1790, PRISPELO!G:G)</f>
        <v/>
      </c>
      <c r="H1790">
        <f>SUMIF(ODPIS!B:B, A1790, ODPIS!G:G)</f>
        <v/>
      </c>
      <c r="I1790" s="2">
        <f>F1790 + G1790 - H1790</f>
        <v/>
      </c>
    </row>
    <row r="1791">
      <c r="A1791" t="n">
        <v>3803</v>
      </c>
      <c r="B1791" t="inlineStr">
        <is>
          <t>GARDAMATT CARD</t>
        </is>
      </c>
      <c r="C1791" t="n">
        <v>72</v>
      </c>
      <c r="D1791" t="n">
        <v>102</v>
      </c>
      <c r="E1791" t="n">
        <v>250</v>
      </c>
      <c r="F1791" t="n">
        <v>0</v>
      </c>
      <c r="G1791">
        <f>SUMIF(PRISPELO!B:B, A1791, PRISPELO!G:G)</f>
        <v/>
      </c>
      <c r="H1791">
        <f>SUMIF(ODPIS!B:B, A1791, ODPIS!G:G)</f>
        <v/>
      </c>
      <c r="I1791" s="2">
        <f>F1791 + G1791 - H1791</f>
        <v/>
      </c>
    </row>
    <row r="1792">
      <c r="A1792" t="n">
        <v>3804</v>
      </c>
      <c r="B1792" t="inlineStr">
        <is>
          <t>GALERIE ART NATURAL</t>
        </is>
      </c>
      <c r="C1792" t="n">
        <v>74</v>
      </c>
      <c r="D1792" t="n">
        <v>104</v>
      </c>
      <c r="E1792" t="n">
        <v>120</v>
      </c>
      <c r="F1792" t="n">
        <v>0</v>
      </c>
      <c r="G1792">
        <f>SUMIF(PRISPELO!B:B, A1792, PRISPELO!G:G)</f>
        <v/>
      </c>
      <c r="H1792">
        <f>SUMIF(ODPIS!B:B, A1792, ODPIS!G:G)</f>
        <v/>
      </c>
      <c r="I1792" s="2">
        <f>F1792 + G1792 - H1792</f>
        <v/>
      </c>
    </row>
    <row r="1793">
      <c r="A1793" t="n">
        <v>3805</v>
      </c>
      <c r="B1793" t="inlineStr">
        <is>
          <t>PERIGORD MATT CONDAT</t>
        </is>
      </c>
      <c r="C1793" t="n">
        <v>90</v>
      </c>
      <c r="D1793" t="n">
        <v>64</v>
      </c>
      <c r="E1793" t="n">
        <v>90</v>
      </c>
      <c r="F1793" t="n">
        <v>0</v>
      </c>
      <c r="G1793">
        <f>SUMIF(PRISPELO!B:B, A1793, PRISPELO!G:G)</f>
        <v/>
      </c>
      <c r="H1793">
        <f>SUMIF(ODPIS!B:B, A1793, ODPIS!G:G)</f>
        <v/>
      </c>
      <c r="I1793" s="2">
        <f>F1793 + G1793 - H1793</f>
        <v/>
      </c>
    </row>
    <row r="1794">
      <c r="A1794" t="n">
        <v>3806</v>
      </c>
      <c r="B1794" t="inlineStr">
        <is>
          <t>GARDAMATT CARD</t>
        </is>
      </c>
      <c r="C1794" t="n">
        <v>45</v>
      </c>
      <c r="D1794" t="n">
        <v>65</v>
      </c>
      <c r="E1794" t="n">
        <v>280</v>
      </c>
      <c r="F1794" t="n">
        <v>0</v>
      </c>
      <c r="G1794">
        <f>SUMIF(PRISPELO!B:B, A1794, PRISPELO!G:G)</f>
        <v/>
      </c>
      <c r="H1794">
        <f>SUMIF(ODPIS!B:B, A1794, ODPIS!G:G)</f>
        <v/>
      </c>
      <c r="I1794" s="2">
        <f>F1794 + G1794 - H1794</f>
        <v/>
      </c>
    </row>
    <row r="1795">
      <c r="A1795" t="n">
        <v>3807</v>
      </c>
      <c r="B1795" t="inlineStr">
        <is>
          <t>CHROMOSTAR</t>
        </is>
      </c>
      <c r="C1795" t="n">
        <v>72</v>
      </c>
      <c r="D1795" t="n">
        <v>102</v>
      </c>
      <c r="E1795" t="n">
        <v>250</v>
      </c>
      <c r="F1795" t="n">
        <v>0</v>
      </c>
      <c r="G1795">
        <f>SUMIF(PRISPELO!B:B, A1795, PRISPELO!G:G)</f>
        <v/>
      </c>
      <c r="H1795">
        <f>SUMIF(ODPIS!B:B, A1795, ODPIS!G:G)</f>
        <v/>
      </c>
      <c r="I1795" s="2">
        <f>F1795 + G1795 - H1795</f>
        <v/>
      </c>
    </row>
    <row r="1796">
      <c r="A1796" t="n">
        <v>3808</v>
      </c>
      <c r="B1796" t="inlineStr">
        <is>
          <t>GALERIEART SILK</t>
        </is>
      </c>
      <c r="C1796" t="n">
        <v>70</v>
      </c>
      <c r="D1796" t="n">
        <v>100</v>
      </c>
      <c r="E1796" t="n">
        <v>350</v>
      </c>
      <c r="F1796" t="n">
        <v>0</v>
      </c>
      <c r="G1796">
        <f>SUMIF(PRISPELO!B:B, A1796, PRISPELO!G:G)</f>
        <v/>
      </c>
      <c r="H1796">
        <f>SUMIF(ODPIS!B:B, A1796, ODPIS!G:G)</f>
        <v/>
      </c>
      <c r="I1796" s="2">
        <f>F1796 + G1796 - H1796</f>
        <v/>
      </c>
    </row>
    <row r="1797">
      <c r="A1797" t="n">
        <v>3809</v>
      </c>
      <c r="B1797" t="inlineStr">
        <is>
          <t>multioffset</t>
        </is>
      </c>
      <c r="C1797" t="n">
        <v>64</v>
      </c>
      <c r="D1797" t="n">
        <v>90</v>
      </c>
      <c r="E1797" t="n">
        <v>120</v>
      </c>
      <c r="F1797" t="n">
        <v>0</v>
      </c>
      <c r="G1797">
        <f>SUMIF(PRISPELO!B:B, A1797, PRISPELO!G:G)</f>
        <v/>
      </c>
      <c r="H1797">
        <f>SUMIF(ODPIS!B:B, A1797, ODPIS!G:G)</f>
        <v/>
      </c>
      <c r="I1797" s="2">
        <f>F1797 + G1797 - H1797</f>
        <v/>
      </c>
    </row>
    <row r="1798">
      <c r="A1798" t="n">
        <v>3810</v>
      </c>
      <c r="B1798" t="inlineStr">
        <is>
          <t>ZENITH</t>
        </is>
      </c>
      <c r="C1798" t="n">
        <v>71</v>
      </c>
      <c r="D1798" t="n">
        <v>101</v>
      </c>
      <c r="E1798" t="n">
        <v>235</v>
      </c>
      <c r="F1798" t="n">
        <v>0</v>
      </c>
      <c r="G1798">
        <f>SUMIF(PRISPELO!B:B, A1798, PRISPELO!G:G)</f>
        <v/>
      </c>
      <c r="H1798">
        <f>SUMIF(ODPIS!B:B, A1798, ODPIS!G:G)</f>
        <v/>
      </c>
      <c r="I1798" s="2">
        <f>F1798 + G1798 - H1798</f>
        <v/>
      </c>
    </row>
    <row r="1799">
      <c r="A1799" t="n">
        <v>3811</v>
      </c>
      <c r="B1799" t="inlineStr">
        <is>
          <t>GALERIE ART GLOSS</t>
        </is>
      </c>
      <c r="C1799" t="n">
        <v>70</v>
      </c>
      <c r="D1799" t="n">
        <v>100</v>
      </c>
      <c r="E1799" t="n">
        <v>250</v>
      </c>
      <c r="F1799" t="n">
        <v>0</v>
      </c>
      <c r="G1799">
        <f>SUMIF(PRISPELO!B:B, A1799, PRISPELO!G:G)</f>
        <v/>
      </c>
      <c r="H1799">
        <f>SUMIF(ODPIS!B:B, A1799, ODPIS!G:G)</f>
        <v/>
      </c>
      <c r="I1799" s="2">
        <f>F1799 + G1799 - H1799</f>
        <v/>
      </c>
    </row>
    <row r="1800">
      <c r="A1800" t="n">
        <v>3812</v>
      </c>
      <c r="B1800" t="inlineStr">
        <is>
          <t>GALERIEART SILK</t>
        </is>
      </c>
      <c r="C1800" t="n">
        <v>72</v>
      </c>
      <c r="D1800" t="n">
        <v>102</v>
      </c>
      <c r="E1800" t="n">
        <v>150</v>
      </c>
      <c r="F1800" t="n">
        <v>0</v>
      </c>
      <c r="G1800">
        <f>SUMIF(PRISPELO!B:B, A1800, PRISPELO!G:G)</f>
        <v/>
      </c>
      <c r="H1800">
        <f>SUMIF(ODPIS!B:B, A1800, ODPIS!G:G)</f>
        <v/>
      </c>
      <c r="I1800" s="2">
        <f>F1800 + G1800 - H1800</f>
        <v/>
      </c>
    </row>
    <row r="1801">
      <c r="A1801" t="n">
        <v>3813</v>
      </c>
      <c r="B1801" t="inlineStr">
        <is>
          <t>MUNKEN PURE</t>
        </is>
      </c>
      <c r="C1801" t="n">
        <v>64</v>
      </c>
      <c r="D1801" t="n">
        <v>90</v>
      </c>
      <c r="E1801" t="n">
        <v>100</v>
      </c>
      <c r="F1801" t="n">
        <v>0</v>
      </c>
      <c r="G1801">
        <f>SUMIF(PRISPELO!B:B, A1801, PRISPELO!G:G)</f>
        <v/>
      </c>
      <c r="H1801">
        <f>SUMIF(ODPIS!B:B, A1801, ODPIS!G:G)</f>
        <v/>
      </c>
      <c r="I1801" s="2">
        <f>F1801 + G1801 - H1801</f>
        <v/>
      </c>
    </row>
    <row r="1802">
      <c r="A1802" t="n">
        <v>3814</v>
      </c>
      <c r="B1802" t="inlineStr">
        <is>
          <t>Garda matt</t>
        </is>
      </c>
      <c r="C1802" t="n">
        <v>73</v>
      </c>
      <c r="D1802" t="n">
        <v>49.8</v>
      </c>
      <c r="E1802" t="n">
        <v>200</v>
      </c>
      <c r="F1802" t="n">
        <v>0</v>
      </c>
      <c r="G1802">
        <f>SUMIF(PRISPELO!B:B, A1802, PRISPELO!G:G)</f>
        <v/>
      </c>
      <c r="H1802">
        <f>SUMIF(ODPIS!B:B, A1802, ODPIS!G:G)</f>
        <v/>
      </c>
      <c r="I1802" s="2">
        <f>F1802 + G1802 - H1802</f>
        <v/>
      </c>
    </row>
    <row r="1803">
      <c r="A1803" t="n">
        <v>3815</v>
      </c>
      <c r="B1803" t="inlineStr">
        <is>
          <t>CARD 1SC</t>
        </is>
      </c>
      <c r="C1803" t="n">
        <v>72</v>
      </c>
      <c r="D1803" t="n">
        <v>102</v>
      </c>
      <c r="E1803" t="n">
        <v>230</v>
      </c>
      <c r="F1803" t="n">
        <v>0</v>
      </c>
      <c r="G1803">
        <f>SUMIF(PRISPELO!B:B, A1803, PRISPELO!G:G)</f>
        <v/>
      </c>
      <c r="H1803">
        <f>SUMIF(ODPIS!B:B, A1803, ODPIS!G:G)</f>
        <v/>
      </c>
      <c r="I1803" s="2">
        <f>F1803 + G1803 - H1803</f>
        <v/>
      </c>
    </row>
    <row r="1804">
      <c r="A1804" t="n">
        <v>3816</v>
      </c>
      <c r="B1804" t="inlineStr">
        <is>
          <t>GALERIEART SILK</t>
        </is>
      </c>
      <c r="C1804" t="n">
        <v>64</v>
      </c>
      <c r="D1804" t="n">
        <v>90</v>
      </c>
      <c r="E1804" t="n">
        <v>350</v>
      </c>
      <c r="F1804" t="n">
        <v>0</v>
      </c>
      <c r="G1804">
        <f>SUMIF(PRISPELO!B:B, A1804, PRISPELO!G:G)</f>
        <v/>
      </c>
      <c r="H1804">
        <f>SUMIF(ODPIS!B:B, A1804, ODPIS!G:G)</f>
        <v/>
      </c>
      <c r="I1804" s="2">
        <f>F1804 + G1804 - H1804</f>
        <v/>
      </c>
    </row>
    <row r="1805">
      <c r="A1805" t="n">
        <v>3817</v>
      </c>
      <c r="B1805" t="inlineStr">
        <is>
          <t>IMPACT NATURAL</t>
        </is>
      </c>
      <c r="C1805" t="n">
        <v>90</v>
      </c>
      <c r="D1805" t="n">
        <v>64</v>
      </c>
      <c r="E1805" t="n">
        <v>170</v>
      </c>
      <c r="F1805" t="n">
        <v>0</v>
      </c>
      <c r="G1805">
        <f>SUMIF(PRISPELO!B:B, A1805, PRISPELO!G:G)</f>
        <v/>
      </c>
      <c r="H1805">
        <f>SUMIF(ODPIS!B:B, A1805, ODPIS!G:G)</f>
        <v/>
      </c>
      <c r="I1805" s="2">
        <f>F1805 + G1805 - H1805</f>
        <v/>
      </c>
    </row>
    <row r="1806">
      <c r="A1806" t="n">
        <v>3818</v>
      </c>
      <c r="B1806" t="inlineStr">
        <is>
          <t>LUXO SATIN</t>
        </is>
      </c>
      <c r="C1806" t="n">
        <v>90</v>
      </c>
      <c r="D1806" t="n">
        <v>64</v>
      </c>
      <c r="E1806" t="n">
        <v>90</v>
      </c>
      <c r="F1806" t="n">
        <v>0</v>
      </c>
      <c r="G1806">
        <f>SUMIF(PRISPELO!B:B, A1806, PRISPELO!G:G)</f>
        <v/>
      </c>
      <c r="H1806">
        <f>SUMIF(ODPIS!B:B, A1806, ODPIS!G:G)</f>
        <v/>
      </c>
      <c r="I1806" s="2">
        <f>F1806 + G1806 - H1806</f>
        <v/>
      </c>
    </row>
    <row r="1807">
      <c r="A1807" t="n">
        <v>3819</v>
      </c>
      <c r="B1807" t="inlineStr">
        <is>
          <t>Garda gloss</t>
        </is>
      </c>
      <c r="C1807" t="n">
        <v>88</v>
      </c>
      <c r="D1807" t="n">
        <v>64</v>
      </c>
      <c r="E1807" t="n">
        <v>300</v>
      </c>
      <c r="F1807" t="n">
        <v>0</v>
      </c>
      <c r="G1807">
        <f>SUMIF(PRISPELO!B:B, A1807, PRISPELO!G:G)</f>
        <v/>
      </c>
      <c r="H1807">
        <f>SUMIF(ODPIS!B:B, A1807, ODPIS!G:G)</f>
        <v/>
      </c>
      <c r="I1807" s="2">
        <f>F1807 + G1807 - H1807</f>
        <v/>
      </c>
    </row>
    <row r="1808">
      <c r="A1808" t="n">
        <v>3820</v>
      </c>
      <c r="B1808" t="inlineStr">
        <is>
          <t>LUXO SATIN</t>
        </is>
      </c>
      <c r="C1808" t="n">
        <v>45</v>
      </c>
      <c r="D1808" t="n">
        <v>64</v>
      </c>
      <c r="E1808" t="n">
        <v>170</v>
      </c>
      <c r="F1808" t="n">
        <v>0</v>
      </c>
      <c r="G1808">
        <f>SUMIF(PRISPELO!B:B, A1808, PRISPELO!G:G)</f>
        <v/>
      </c>
      <c r="H1808">
        <f>SUMIF(ODPIS!B:B, A1808, ODPIS!G:G)</f>
        <v/>
      </c>
      <c r="I1808" s="2">
        <f>F1808 + G1808 - H1808</f>
        <v/>
      </c>
    </row>
    <row r="1809">
      <c r="A1809" t="n">
        <v>3821</v>
      </c>
      <c r="B1809" t="inlineStr">
        <is>
          <t>Perigord MATT Condat</t>
        </is>
      </c>
      <c r="C1809" t="n">
        <v>102</v>
      </c>
      <c r="D1809" t="n">
        <v>72</v>
      </c>
      <c r="E1809" t="n">
        <v>250</v>
      </c>
      <c r="F1809" t="n">
        <v>0</v>
      </c>
      <c r="G1809">
        <f>SUMIF(PRISPELO!B:B, A1809, PRISPELO!G:G)</f>
        <v/>
      </c>
      <c r="H1809">
        <f>SUMIF(ODPIS!B:B, A1809, ODPIS!G:G)</f>
        <v/>
      </c>
      <c r="I1809" s="2">
        <f>F1809 + G1809 - H1809</f>
        <v/>
      </c>
    </row>
    <row r="1810">
      <c r="A1810" t="n">
        <v>3822</v>
      </c>
      <c r="B1810" t="inlineStr">
        <is>
          <t>MultiOffset</t>
        </is>
      </c>
      <c r="C1810" t="n">
        <v>70</v>
      </c>
      <c r="D1810" t="n">
        <v>100</v>
      </c>
      <c r="E1810" t="n">
        <v>80</v>
      </c>
      <c r="F1810" t="n">
        <v>0</v>
      </c>
      <c r="G1810">
        <f>SUMIF(PRISPELO!B:B, A1810, PRISPELO!G:G)</f>
        <v/>
      </c>
      <c r="H1810">
        <f>SUMIF(ODPIS!B:B, A1810, ODPIS!G:G)</f>
        <v/>
      </c>
      <c r="I1810" s="2">
        <f>F1810 + G1810 - H1810</f>
        <v/>
      </c>
    </row>
    <row r="1811">
      <c r="A1811" t="n">
        <v>3823</v>
      </c>
      <c r="B1811" t="inlineStr">
        <is>
          <t>Gardamatt Card</t>
        </is>
      </c>
      <c r="C1811" t="n">
        <v>72</v>
      </c>
      <c r="D1811" t="n">
        <v>102</v>
      </c>
      <c r="E1811" t="n">
        <v>300</v>
      </c>
      <c r="F1811" t="n">
        <v>0</v>
      </c>
      <c r="G1811">
        <f>SUMIF(PRISPELO!B:B, A1811, PRISPELO!G:G)</f>
        <v/>
      </c>
      <c r="H1811">
        <f>SUMIF(ODPIS!B:B, A1811, ODPIS!G:G)</f>
        <v/>
      </c>
      <c r="I1811" s="2">
        <f>F1811 + G1811 - H1811</f>
        <v/>
      </c>
    </row>
    <row r="1812">
      <c r="A1812" t="n">
        <v>3824</v>
      </c>
      <c r="B1812" t="inlineStr">
        <is>
          <t>GARDAMATT CARD</t>
        </is>
      </c>
      <c r="C1812" t="n">
        <v>102</v>
      </c>
      <c r="D1812" t="n">
        <v>72</v>
      </c>
      <c r="E1812" t="n">
        <v>280</v>
      </c>
      <c r="F1812" t="n">
        <v>0</v>
      </c>
      <c r="G1812">
        <f>SUMIF(PRISPELO!B:B, A1812, PRISPELO!G:G)</f>
        <v/>
      </c>
      <c r="H1812">
        <f>SUMIF(ODPIS!B:B, A1812, ODPIS!G:G)</f>
        <v/>
      </c>
      <c r="I1812" s="2">
        <f>F1812 + G1812 - H1812</f>
        <v/>
      </c>
    </row>
    <row r="1813">
      <c r="A1813" t="n">
        <v>3825</v>
      </c>
      <c r="B1813" t="inlineStr">
        <is>
          <t>MAGNO SATIN</t>
        </is>
      </c>
      <c r="C1813" t="n">
        <v>72</v>
      </c>
      <c r="D1813" t="n">
        <v>51.5</v>
      </c>
      <c r="E1813" t="n">
        <v>115</v>
      </c>
      <c r="F1813" t="n">
        <v>0</v>
      </c>
      <c r="G1813">
        <f>SUMIF(PRISPELO!B:B, A1813, PRISPELO!G:G)</f>
        <v/>
      </c>
      <c r="H1813">
        <f>SUMIF(ODPIS!B:B, A1813, ODPIS!G:G)</f>
        <v/>
      </c>
      <c r="I1813" s="2">
        <f>F1813 + G1813 - H1813</f>
        <v/>
      </c>
    </row>
    <row r="1814">
      <c r="A1814" t="n">
        <v>3826</v>
      </c>
      <c r="B1814" t="inlineStr">
        <is>
          <t>MAGNO SATIN</t>
        </is>
      </c>
      <c r="C1814" t="n">
        <v>59.8</v>
      </c>
      <c r="D1814" t="n">
        <v>49.8</v>
      </c>
      <c r="E1814" t="n">
        <v>90</v>
      </c>
      <c r="F1814" t="n">
        <v>0</v>
      </c>
      <c r="G1814">
        <f>SUMIF(PRISPELO!B:B, A1814, PRISPELO!G:G)</f>
        <v/>
      </c>
      <c r="H1814">
        <f>SUMIF(ODPIS!B:B, A1814, ODPIS!G:G)</f>
        <v/>
      </c>
      <c r="I1814" s="2">
        <f>F1814 + G1814 - H1814</f>
        <v/>
      </c>
    </row>
    <row r="1815">
      <c r="A1815" t="n">
        <v>3827</v>
      </c>
      <c r="B1815" t="inlineStr">
        <is>
          <t>GALERIE ART GLOSS</t>
        </is>
      </c>
      <c r="C1815" t="n">
        <v>100</v>
      </c>
      <c r="D1815" t="n">
        <v>70</v>
      </c>
      <c r="E1815" t="n">
        <v>150</v>
      </c>
      <c r="F1815" t="n">
        <v>0</v>
      </c>
      <c r="G1815">
        <f>SUMIF(PRISPELO!B:B, A1815, PRISPELO!G:G)</f>
        <v/>
      </c>
      <c r="H1815">
        <f>SUMIF(ODPIS!B:B, A1815, ODPIS!G:G)</f>
        <v/>
      </c>
      <c r="I1815" s="2">
        <f>F1815 + G1815 - H1815</f>
        <v/>
      </c>
    </row>
    <row r="1816">
      <c r="A1816" t="n">
        <v>3828</v>
      </c>
      <c r="B1816" t="inlineStr">
        <is>
          <t>SORA MATT</t>
        </is>
      </c>
      <c r="C1816" t="n">
        <v>64</v>
      </c>
      <c r="D1816" t="n">
        <v>90</v>
      </c>
      <c r="E1816" t="n">
        <v>135</v>
      </c>
      <c r="F1816" t="n">
        <v>0</v>
      </c>
      <c r="G1816">
        <f>SUMIF(PRISPELO!B:B, A1816, PRISPELO!G:G)</f>
        <v/>
      </c>
      <c r="H1816">
        <f>SUMIF(ODPIS!B:B, A1816, ODPIS!G:G)</f>
        <v/>
      </c>
      <c r="I1816" s="2">
        <f>F1816 + G1816 - H1816</f>
        <v/>
      </c>
    </row>
    <row r="1817">
      <c r="A1817" t="n">
        <v>3829</v>
      </c>
      <c r="B1817" t="inlineStr">
        <is>
          <t>SORA MATT</t>
        </is>
      </c>
      <c r="C1817" t="n">
        <v>63.8</v>
      </c>
      <c r="D1817" t="n">
        <v>44.8</v>
      </c>
      <c r="E1817" t="n">
        <v>135</v>
      </c>
      <c r="F1817" t="n">
        <v>0</v>
      </c>
      <c r="G1817">
        <f>SUMIF(PRISPELO!B:B, A1817, PRISPELO!G:G)</f>
        <v/>
      </c>
      <c r="H1817">
        <f>SUMIF(ODPIS!B:B, A1817, ODPIS!G:G)</f>
        <v/>
      </c>
      <c r="I1817" s="2">
        <f>F1817 + G1817 - H1817</f>
        <v/>
      </c>
    </row>
    <row r="1818">
      <c r="A1818" t="n">
        <v>3830</v>
      </c>
      <c r="B1818" t="inlineStr">
        <is>
          <t>GARDAMATT CARD</t>
        </is>
      </c>
      <c r="C1818" t="n">
        <v>102</v>
      </c>
      <c r="D1818" t="n">
        <v>72</v>
      </c>
      <c r="E1818" t="n">
        <v>250</v>
      </c>
      <c r="F1818" t="n">
        <v>0</v>
      </c>
      <c r="G1818">
        <f>SUMIF(PRISPELO!B:B, A1818, PRISPELO!G:G)</f>
        <v/>
      </c>
      <c r="H1818">
        <f>SUMIF(ODPIS!B:B, A1818, ODPIS!G:G)</f>
        <v/>
      </c>
      <c r="I1818" s="2">
        <f>F1818 + G1818 - H1818</f>
        <v/>
      </c>
    </row>
    <row r="1819">
      <c r="A1819" t="n">
        <v>3831</v>
      </c>
      <c r="B1819" t="inlineStr">
        <is>
          <t>AMBER GRAPHIC</t>
        </is>
      </c>
      <c r="C1819" t="n">
        <v>70</v>
      </c>
      <c r="D1819" t="n">
        <v>100</v>
      </c>
      <c r="E1819" t="n">
        <v>170</v>
      </c>
      <c r="F1819" t="n">
        <v>0</v>
      </c>
      <c r="G1819">
        <f>SUMIF(PRISPELO!B:B, A1819, PRISPELO!G:G)</f>
        <v/>
      </c>
      <c r="H1819">
        <f>SUMIF(ODPIS!B:B, A1819, ODPIS!G:G)</f>
        <v/>
      </c>
      <c r="I1819" s="2">
        <f>F1819 + G1819 - H1819</f>
        <v/>
      </c>
    </row>
    <row r="1820">
      <c r="A1820" t="n">
        <v>3833</v>
      </c>
      <c r="B1820" t="inlineStr">
        <is>
          <t>SYBOL F-GLOSS</t>
        </is>
      </c>
      <c r="C1820" t="n">
        <v>45</v>
      </c>
      <c r="D1820" t="n">
        <v>64</v>
      </c>
      <c r="E1820" t="n">
        <v>130</v>
      </c>
      <c r="F1820" t="n">
        <v>0</v>
      </c>
      <c r="G1820">
        <f>SUMIF(PRISPELO!B:B, A1820, PRISPELO!G:G)</f>
        <v/>
      </c>
      <c r="H1820">
        <f>SUMIF(ODPIS!B:B, A1820, ODPIS!G:G)</f>
        <v/>
      </c>
      <c r="I1820" s="2">
        <f>F1820 + G1820 - H1820</f>
        <v/>
      </c>
    </row>
    <row r="1821">
      <c r="A1821" t="n">
        <v>3835</v>
      </c>
      <c r="B1821" t="inlineStr">
        <is>
          <t>GALERIE MATT</t>
        </is>
      </c>
      <c r="C1821" t="n">
        <v>100</v>
      </c>
      <c r="D1821" t="n">
        <v>70</v>
      </c>
      <c r="E1821" t="n">
        <v>300</v>
      </c>
      <c r="F1821" t="n">
        <v>0</v>
      </c>
      <c r="G1821">
        <f>SUMIF(PRISPELO!B:B, A1821, PRISPELO!G:G)</f>
        <v/>
      </c>
      <c r="H1821">
        <f>SUMIF(ODPIS!B:B, A1821, ODPIS!G:G)</f>
        <v/>
      </c>
      <c r="I1821" s="2">
        <f>F1821 + G1821 - H1821</f>
        <v/>
      </c>
    </row>
    <row r="1822">
      <c r="A1822" t="n">
        <v>3836</v>
      </c>
      <c r="B1822" t="inlineStr">
        <is>
          <t>Maxi Offset</t>
        </is>
      </c>
      <c r="C1822" t="n">
        <v>70</v>
      </c>
      <c r="D1822" t="n">
        <v>100</v>
      </c>
      <c r="E1822" t="n">
        <v>350</v>
      </c>
      <c r="F1822" t="n">
        <v>0</v>
      </c>
      <c r="G1822">
        <f>SUMIF(PRISPELO!B:B, A1822, PRISPELO!G:G)</f>
        <v/>
      </c>
      <c r="H1822">
        <f>SUMIF(ODPIS!B:B, A1822, ODPIS!G:G)</f>
        <v/>
      </c>
      <c r="I1822" s="2">
        <f>F1822 + G1822 - H1822</f>
        <v/>
      </c>
    </row>
    <row r="1823">
      <c r="A1823" t="n">
        <v>3837</v>
      </c>
      <c r="B1823" t="inlineStr">
        <is>
          <t>Impact natural</t>
        </is>
      </c>
      <c r="C1823" t="n">
        <v>100</v>
      </c>
      <c r="D1823" t="n">
        <v>70</v>
      </c>
      <c r="E1823" t="n">
        <v>80</v>
      </c>
      <c r="F1823" t="n">
        <v>0</v>
      </c>
      <c r="G1823">
        <f>SUMIF(PRISPELO!B:B, A1823, PRISPELO!G:G)</f>
        <v/>
      </c>
      <c r="H1823">
        <f>SUMIF(ODPIS!B:B, A1823, ODPIS!G:G)</f>
        <v/>
      </c>
      <c r="I1823" s="2">
        <f>F1823 + G1823 - H1823</f>
        <v/>
      </c>
    </row>
    <row r="1824">
      <c r="A1824" t="n">
        <v>3838</v>
      </c>
      <c r="B1824" t="inlineStr">
        <is>
          <t>IMPACT NATURAL</t>
        </is>
      </c>
      <c r="C1824" t="n">
        <v>100</v>
      </c>
      <c r="D1824" t="n">
        <v>70</v>
      </c>
      <c r="E1824" t="n">
        <v>115</v>
      </c>
      <c r="F1824" t="n">
        <v>0</v>
      </c>
      <c r="G1824">
        <f>SUMIF(PRISPELO!B:B, A1824, PRISPELO!G:G)</f>
        <v/>
      </c>
      <c r="H1824">
        <f>SUMIF(ODPIS!B:B, A1824, ODPIS!G:G)</f>
        <v/>
      </c>
      <c r="I1824" s="2">
        <f>F1824 + G1824 - H1824</f>
        <v/>
      </c>
    </row>
    <row r="1825">
      <c r="A1825" t="n">
        <v>3839</v>
      </c>
      <c r="B1825" t="inlineStr">
        <is>
          <t>SYMBOL F-SATIN</t>
        </is>
      </c>
      <c r="C1825" t="n">
        <v>70</v>
      </c>
      <c r="D1825" t="n">
        <v>100</v>
      </c>
      <c r="E1825" t="n">
        <v>130</v>
      </c>
      <c r="F1825" t="n">
        <v>0</v>
      </c>
      <c r="G1825">
        <f>SUMIF(PRISPELO!B:B, A1825, PRISPELO!G:G)</f>
        <v/>
      </c>
      <c r="H1825">
        <f>SUMIF(ODPIS!B:B, A1825, ODPIS!G:G)</f>
        <v/>
      </c>
      <c r="I1825" s="2">
        <f>F1825 + G1825 - H1825</f>
        <v/>
      </c>
    </row>
    <row r="1826">
      <c r="A1826" t="n">
        <v>3840</v>
      </c>
      <c r="B1826" t="inlineStr">
        <is>
          <t>ZENITH BULK</t>
        </is>
      </c>
      <c r="C1826" t="n">
        <v>102</v>
      </c>
      <c r="D1826" t="n">
        <v>72</v>
      </c>
      <c r="E1826" t="n">
        <v>250</v>
      </c>
      <c r="F1826" t="n">
        <v>0</v>
      </c>
      <c r="G1826">
        <f>SUMIF(PRISPELO!B:B, A1826, PRISPELO!G:G)</f>
        <v/>
      </c>
      <c r="H1826">
        <f>SUMIF(ODPIS!B:B, A1826, ODPIS!G:G)</f>
        <v/>
      </c>
      <c r="I1826" s="2">
        <f>F1826 + G1826 - H1826</f>
        <v/>
      </c>
    </row>
    <row r="1827">
      <c r="A1827" t="n">
        <v>3841</v>
      </c>
      <c r="B1827" t="inlineStr">
        <is>
          <t>SAMMATT PREMIUM</t>
        </is>
      </c>
      <c r="C1827" t="n">
        <v>70</v>
      </c>
      <c r="D1827" t="n">
        <v>100</v>
      </c>
      <c r="E1827" t="n">
        <v>350</v>
      </c>
      <c r="F1827" t="n">
        <v>0</v>
      </c>
      <c r="G1827">
        <f>SUMIF(PRISPELO!B:B, A1827, PRISPELO!G:G)</f>
        <v/>
      </c>
      <c r="H1827">
        <f>SUMIF(ODPIS!B:B, A1827, ODPIS!G:G)</f>
        <v/>
      </c>
      <c r="I1827" s="2">
        <f>F1827 + G1827 - H1827</f>
        <v/>
      </c>
    </row>
    <row r="1828">
      <c r="A1828" t="n">
        <v>2040</v>
      </c>
      <c r="B1828" t="inlineStr">
        <is>
          <t>Kuverta c6 BD OL</t>
        </is>
      </c>
      <c r="C1828" t="n">
        <v>11.4</v>
      </c>
      <c r="D1828" t="n">
        <v>16.2</v>
      </c>
      <c r="E1828" t="n">
        <v>90</v>
      </c>
      <c r="F1828" t="n">
        <v>0</v>
      </c>
      <c r="G1828">
        <f>SUMIF(PRISPELO!B:B, A1828, PRISPELO!G:G)</f>
        <v/>
      </c>
      <c r="H1828">
        <f>SUMIF(ODPIS!B:B, A1828, ODPIS!G:G)</f>
        <v/>
      </c>
      <c r="I1828" s="2">
        <f>F1828 + G1828 - H1828</f>
        <v/>
      </c>
    </row>
    <row r="1829">
      <c r="A1829" t="n">
        <v>2067</v>
      </c>
      <c r="B1829" t="inlineStr">
        <is>
          <t>Kuverta B5 bd si BO</t>
        </is>
      </c>
      <c r="C1829" t="n">
        <v>25</v>
      </c>
      <c r="D1829" t="n">
        <v>17.6</v>
      </c>
      <c r="E1829" t="n">
        <v>90</v>
      </c>
      <c r="F1829" t="n">
        <v>0</v>
      </c>
      <c r="G1829">
        <f>SUMIF(PRISPELO!B:B, A1829, PRISPELO!G:G)</f>
        <v/>
      </c>
      <c r="H1829">
        <f>SUMIF(ODPIS!B:B, A1829, ODPIS!G:G)</f>
        <v/>
      </c>
      <c r="I1829" s="2">
        <f>F1829 + G1829 - H1829</f>
        <v/>
      </c>
    </row>
    <row r="1830">
      <c r="A1830" t="n">
        <v>3842</v>
      </c>
      <c r="B1830" t="inlineStr">
        <is>
          <t>ZENITH BULK</t>
        </is>
      </c>
      <c r="C1830" t="n">
        <v>101</v>
      </c>
      <c r="D1830" t="n">
        <v>71</v>
      </c>
      <c r="E1830" t="n">
        <v>295</v>
      </c>
      <c r="F1830" t="n">
        <v>0</v>
      </c>
      <c r="G1830">
        <f>SUMIF(PRISPELO!B:B, A1830, PRISPELO!G:G)</f>
        <v/>
      </c>
      <c r="H1830">
        <f>SUMIF(ODPIS!B:B, A1830, ODPIS!G:G)</f>
        <v/>
      </c>
      <c r="I1830" s="2">
        <f>F1830 + G1830 - H1830</f>
        <v/>
      </c>
    </row>
    <row r="1831">
      <c r="A1831" t="n">
        <v>3843</v>
      </c>
      <c r="B1831" t="inlineStr">
        <is>
          <t>ESKABOARD 1.0MM</t>
        </is>
      </c>
      <c r="C1831" t="n">
        <v>70</v>
      </c>
      <c r="D1831" t="n">
        <v>100</v>
      </c>
      <c r="E1831" t="n">
        <v>630</v>
      </c>
      <c r="F1831" t="n">
        <v>0</v>
      </c>
      <c r="G1831">
        <f>SUMIF(PRISPELO!B:B, A1831, PRISPELO!G:G)</f>
        <v/>
      </c>
      <c r="H1831">
        <f>SUMIF(ODPIS!B:B, A1831, ODPIS!G:G)</f>
        <v/>
      </c>
      <c r="I1831" s="2">
        <f>F1831 + G1831 - H1831</f>
        <v/>
      </c>
    </row>
    <row r="1832">
      <c r="A1832" t="n">
        <v>3844</v>
      </c>
      <c r="B1832" t="inlineStr">
        <is>
          <t>PERIGORD MATT CONDAT</t>
        </is>
      </c>
      <c r="C1832" t="n">
        <v>70</v>
      </c>
      <c r="D1832" t="n">
        <v>100</v>
      </c>
      <c r="E1832" t="n">
        <v>350</v>
      </c>
      <c r="F1832" t="n">
        <v>0</v>
      </c>
      <c r="G1832">
        <f>SUMIF(PRISPELO!B:B, A1832, PRISPELO!G:G)</f>
        <v/>
      </c>
      <c r="H1832">
        <f>SUMIF(ODPIS!B:B, A1832, ODPIS!G:G)</f>
        <v/>
      </c>
      <c r="I1832" s="2">
        <f>F1832 + G1832 - H1832</f>
        <v/>
      </c>
    </row>
    <row r="1833">
      <c r="A1833" t="n">
        <v>3845</v>
      </c>
      <c r="B1833" t="inlineStr">
        <is>
          <t>IQ PREMIUM PREPRINT</t>
        </is>
      </c>
      <c r="C1833" t="n">
        <v>100</v>
      </c>
      <c r="D1833" t="n">
        <v>70</v>
      </c>
      <c r="E1833" t="n">
        <v>200</v>
      </c>
      <c r="F1833" t="n">
        <v>0</v>
      </c>
      <c r="G1833">
        <f>SUMIF(PRISPELO!B:B, A1833, PRISPELO!G:G)</f>
        <v/>
      </c>
      <c r="H1833">
        <f>SUMIF(ODPIS!B:B, A1833, ODPIS!G:G)</f>
        <v/>
      </c>
      <c r="I1833" s="2">
        <f>F1833 + G1833 - H1833</f>
        <v/>
      </c>
    </row>
    <row r="1834">
      <c r="A1834" t="n">
        <v>3846</v>
      </c>
      <c r="B1834" t="inlineStr">
        <is>
          <t>PERIGORD MATT FSC</t>
        </is>
      </c>
      <c r="C1834" t="n">
        <v>70</v>
      </c>
      <c r="D1834" t="n">
        <v>100</v>
      </c>
      <c r="E1834" t="n">
        <v>300</v>
      </c>
      <c r="F1834" t="n">
        <v>0</v>
      </c>
      <c r="G1834">
        <f>SUMIF(PRISPELO!B:B, A1834, PRISPELO!G:G)</f>
        <v/>
      </c>
      <c r="H1834">
        <f>SUMIF(ODPIS!B:B, A1834, ODPIS!G:G)</f>
        <v/>
      </c>
      <c r="I1834" s="2">
        <f>F1834 + G1834 - H1834</f>
        <v/>
      </c>
    </row>
    <row r="1835">
      <c r="A1835" t="n">
        <v>3847</v>
      </c>
      <c r="B1835" t="inlineStr">
        <is>
          <t>G-PRINT</t>
        </is>
      </c>
      <c r="C1835" t="n">
        <v>64</v>
      </c>
      <c r="D1835" t="n">
        <v>90</v>
      </c>
      <c r="E1835" t="n">
        <v>150</v>
      </c>
      <c r="F1835" t="n">
        <v>0</v>
      </c>
      <c r="G1835">
        <f>SUMIF(PRISPELO!B:B, A1835, PRISPELO!G:G)</f>
        <v/>
      </c>
      <c r="H1835">
        <f>SUMIF(ODPIS!B:B, A1835, ODPIS!G:G)</f>
        <v/>
      </c>
      <c r="I1835" s="2">
        <f>F1835 + G1835 - H1835</f>
        <v/>
      </c>
    </row>
    <row r="1836">
      <c r="A1836" t="n">
        <v>3848</v>
      </c>
      <c r="B1836" t="inlineStr">
        <is>
          <t>TARGET PLUS</t>
        </is>
      </c>
      <c r="C1836" t="n">
        <v>90</v>
      </c>
      <c r="D1836" t="n">
        <v>64</v>
      </c>
      <c r="E1836" t="n">
        <v>80</v>
      </c>
      <c r="F1836" t="n">
        <v>0</v>
      </c>
      <c r="G1836">
        <f>SUMIF(PRISPELO!B:B, A1836, PRISPELO!G:G)</f>
        <v/>
      </c>
      <c r="H1836">
        <f>SUMIF(ODPIS!B:B, A1836, ODPIS!G:G)</f>
        <v/>
      </c>
      <c r="I1836" s="2">
        <f>F1836 + G1836 - H1836</f>
        <v/>
      </c>
    </row>
    <row r="1837">
      <c r="A1837" t="n">
        <v>3849</v>
      </c>
      <c r="B1837" t="inlineStr">
        <is>
          <t>MultiOffset</t>
        </is>
      </c>
      <c r="C1837" t="n">
        <v>100</v>
      </c>
      <c r="D1837" t="n">
        <v>70</v>
      </c>
      <c r="E1837" t="n">
        <v>80</v>
      </c>
      <c r="F1837" t="n">
        <v>0</v>
      </c>
      <c r="G1837">
        <f>SUMIF(PRISPELO!B:B, A1837, PRISPELO!G:G)</f>
        <v/>
      </c>
      <c r="H1837">
        <f>SUMIF(ODPIS!B:B, A1837, ODPIS!G:G)</f>
        <v/>
      </c>
      <c r="I1837" s="2">
        <f>F1837 + G1837 - H1837</f>
        <v/>
      </c>
    </row>
    <row r="1838">
      <c r="A1838" t="n">
        <v>3850</v>
      </c>
      <c r="B1838" t="inlineStr">
        <is>
          <t>MULTIOFFSET</t>
        </is>
      </c>
      <c r="C1838" t="n">
        <v>90</v>
      </c>
      <c r="D1838" t="n">
        <v>64</v>
      </c>
      <c r="E1838" t="n">
        <v>120</v>
      </c>
      <c r="F1838" t="n">
        <v>0</v>
      </c>
      <c r="G1838">
        <f>SUMIF(PRISPELO!B:B, A1838, PRISPELO!G:G)</f>
        <v/>
      </c>
      <c r="H1838">
        <f>SUMIF(ODPIS!B:B, A1838, ODPIS!G:G)</f>
        <v/>
      </c>
      <c r="I1838" s="2">
        <f>F1838 + G1838 - H1838</f>
        <v/>
      </c>
    </row>
    <row r="1839">
      <c r="A1839" t="n">
        <v>3851</v>
      </c>
      <c r="B1839" t="inlineStr">
        <is>
          <t>NiklaSelect</t>
        </is>
      </c>
      <c r="C1839" t="n">
        <v>50</v>
      </c>
      <c r="D1839" t="n">
        <v>56</v>
      </c>
      <c r="E1839" t="n">
        <v>90</v>
      </c>
      <c r="F1839" t="n">
        <v>0</v>
      </c>
      <c r="G1839">
        <f>SUMIF(PRISPELO!B:B, A1839, PRISPELO!G:G)</f>
        <v/>
      </c>
      <c r="H1839">
        <f>SUMIF(ODPIS!B:B, A1839, ODPIS!G:G)</f>
        <v/>
      </c>
      <c r="I1839" s="2">
        <f>F1839 + G1839 - H1839</f>
        <v/>
      </c>
    </row>
    <row r="1840">
      <c r="A1840" t="n">
        <v>3852</v>
      </c>
      <c r="B1840" t="inlineStr">
        <is>
          <t>IQ PRINT</t>
        </is>
      </c>
      <c r="C1840" t="n">
        <v>65</v>
      </c>
      <c r="D1840" t="n">
        <v>104</v>
      </c>
      <c r="E1840" t="n">
        <v>90</v>
      </c>
      <c r="F1840" t="n">
        <v>0</v>
      </c>
      <c r="G1840">
        <f>SUMIF(PRISPELO!B:B, A1840, PRISPELO!G:G)</f>
        <v/>
      </c>
      <c r="H1840">
        <f>SUMIF(ODPIS!B:B, A1840, ODPIS!G:G)</f>
        <v/>
      </c>
      <c r="I1840" s="2">
        <f>F1840 + G1840 - H1840</f>
        <v/>
      </c>
    </row>
    <row r="1841">
      <c r="A1841" t="n">
        <v>3853</v>
      </c>
      <c r="B1841" t="inlineStr">
        <is>
          <t>PERIGORD MATT CONDAT</t>
        </is>
      </c>
      <c r="C1841" t="n">
        <v>72</v>
      </c>
      <c r="D1841" t="n">
        <v>102</v>
      </c>
      <c r="E1841" t="n">
        <v>350</v>
      </c>
      <c r="F1841" t="n">
        <v>0</v>
      </c>
      <c r="G1841">
        <f>SUMIF(PRISPELO!B:B, A1841, PRISPELO!G:G)</f>
        <v/>
      </c>
      <c r="H1841">
        <f>SUMIF(ODPIS!B:B, A1841, ODPIS!G:G)</f>
        <v/>
      </c>
      <c r="I1841" s="2">
        <f>F1841 + G1841 - H1841</f>
        <v/>
      </c>
    </row>
    <row r="1842">
      <c r="A1842" t="n">
        <v>3854</v>
      </c>
      <c r="B1842" t="inlineStr">
        <is>
          <t>EaglePlus</t>
        </is>
      </c>
      <c r="C1842" t="n">
        <v>63.5</v>
      </c>
      <c r="D1842" t="n">
        <v>42.2</v>
      </c>
      <c r="E1842" t="n">
        <v>300</v>
      </c>
      <c r="F1842" t="n">
        <v>0</v>
      </c>
      <c r="G1842">
        <f>SUMIF(PRISPELO!B:B, A1842, PRISPELO!G:G)</f>
        <v/>
      </c>
      <c r="H1842">
        <f>SUMIF(ODPIS!B:B, A1842, ODPIS!G:G)</f>
        <v/>
      </c>
      <c r="I1842" s="2">
        <f>F1842 + G1842 - H1842</f>
        <v/>
      </c>
    </row>
    <row r="1843">
      <c r="A1843" t="n">
        <v>3855</v>
      </c>
      <c r="B1843" t="inlineStr">
        <is>
          <t>ROYALSET OFFSET</t>
        </is>
      </c>
      <c r="C1843" t="n">
        <v>100</v>
      </c>
      <c r="D1843" t="n">
        <v>70</v>
      </c>
      <c r="E1843" t="n">
        <v>250</v>
      </c>
      <c r="F1843" t="n">
        <v>0</v>
      </c>
      <c r="G1843">
        <f>SUMIF(PRISPELO!B:B, A1843, PRISPELO!G:G)</f>
        <v/>
      </c>
      <c r="H1843">
        <f>SUMIF(ODPIS!B:B, A1843, ODPIS!G:G)</f>
        <v/>
      </c>
      <c r="I1843" s="2">
        <f>F1843 + G1843 - H1843</f>
        <v/>
      </c>
    </row>
    <row r="1844">
      <c r="A1844" t="n">
        <v>3856</v>
      </c>
      <c r="B1844" t="inlineStr">
        <is>
          <t>PREMIUM VOLUME</t>
        </is>
      </c>
      <c r="C1844" t="n">
        <v>64</v>
      </c>
      <c r="D1844" t="n">
        <v>53</v>
      </c>
      <c r="E1844" t="n">
        <v>170</v>
      </c>
      <c r="F1844" t="n">
        <v>0</v>
      </c>
      <c r="G1844">
        <f>SUMIF(PRISPELO!B:B, A1844, PRISPELO!G:G)</f>
        <v/>
      </c>
      <c r="H1844">
        <f>SUMIF(ODPIS!B:B, A1844, ODPIS!G:G)</f>
        <v/>
      </c>
      <c r="I1844" s="2">
        <f>F1844 + G1844 - H1844</f>
        <v/>
      </c>
    </row>
    <row r="1845">
      <c r="A1845" t="n">
        <v>3857</v>
      </c>
      <c r="B1845" t="inlineStr">
        <is>
          <t>ROYAL COAT ULTRA MAT</t>
        </is>
      </c>
      <c r="C1845" t="n">
        <v>70</v>
      </c>
      <c r="D1845" t="n">
        <v>100</v>
      </c>
      <c r="E1845" t="n">
        <v>90</v>
      </c>
      <c r="F1845" t="n">
        <v>0</v>
      </c>
      <c r="G1845">
        <f>SUMIF(PRISPELO!B:B, A1845, PRISPELO!G:G)</f>
        <v/>
      </c>
      <c r="H1845">
        <f>SUMIF(ODPIS!B:B, A1845, ODPIS!G:G)</f>
        <v/>
      </c>
      <c r="I1845" s="2">
        <f>F1845 + G1845 - H1845</f>
        <v/>
      </c>
    </row>
    <row r="1846">
      <c r="A1846" t="n">
        <v>3858</v>
      </c>
      <c r="B1846" t="inlineStr">
        <is>
          <t>IQ COLOR DARK GREEN</t>
        </is>
      </c>
      <c r="C1846" t="n">
        <v>70</v>
      </c>
      <c r="D1846" t="n">
        <v>100</v>
      </c>
      <c r="E1846" t="n">
        <v>230</v>
      </c>
      <c r="F1846" t="n">
        <v>0</v>
      </c>
      <c r="G1846">
        <f>SUMIF(PRISPELO!B:B, A1846, PRISPELO!G:G)</f>
        <v/>
      </c>
      <c r="H1846">
        <f>SUMIF(ODPIS!B:B, A1846, ODPIS!G:G)</f>
        <v/>
      </c>
      <c r="I1846" s="2">
        <f>F1846 + G1846 - H1846</f>
        <v/>
      </c>
    </row>
    <row r="1847">
      <c r="A1847" t="n">
        <v>3859</v>
      </c>
      <c r="B1847" t="inlineStr">
        <is>
          <t>Glamur ICE WHITE</t>
        </is>
      </c>
      <c r="C1847" t="n">
        <v>72</v>
      </c>
      <c r="D1847" t="n">
        <v>102</v>
      </c>
      <c r="E1847" t="n">
        <v>290</v>
      </c>
      <c r="F1847" t="n">
        <v>0</v>
      </c>
      <c r="G1847">
        <f>SUMIF(PRISPELO!B:B, A1847, PRISPELO!G:G)</f>
        <v/>
      </c>
      <c r="H1847">
        <f>SUMIF(ODPIS!B:B, A1847, ODPIS!G:G)</f>
        <v/>
      </c>
      <c r="I1847" s="2">
        <f>F1847 + G1847 - H1847</f>
        <v/>
      </c>
    </row>
    <row r="1848">
      <c r="A1848" t="n">
        <v>3860</v>
      </c>
      <c r="B1848" t="inlineStr">
        <is>
          <t>PREMIUM SILK</t>
        </is>
      </c>
      <c r="C1848" t="n">
        <v>45</v>
      </c>
      <c r="D1848" t="n">
        <v>64</v>
      </c>
      <c r="E1848" t="n">
        <v>115</v>
      </c>
      <c r="F1848" t="n">
        <v>0</v>
      </c>
      <c r="G1848">
        <f>SUMIF(PRISPELO!B:B, A1848, PRISPELO!G:G)</f>
        <v/>
      </c>
      <c r="H1848">
        <f>SUMIF(ODPIS!B:B, A1848, ODPIS!G:G)</f>
        <v/>
      </c>
      <c r="I1848" s="2">
        <f>F1848 + G1848 - H1848</f>
        <v/>
      </c>
    </row>
    <row r="1849">
      <c r="A1849" t="n">
        <v>3861</v>
      </c>
      <c r="B1849" t="inlineStr">
        <is>
          <t>PREMIUM SILK</t>
        </is>
      </c>
      <c r="C1849" t="n">
        <v>72</v>
      </c>
      <c r="D1849" t="n">
        <v>51.5</v>
      </c>
      <c r="E1849" t="n">
        <v>115</v>
      </c>
      <c r="F1849" t="n">
        <v>0</v>
      </c>
      <c r="G1849">
        <f>SUMIF(PRISPELO!B:B, A1849, PRISPELO!G:G)</f>
        <v/>
      </c>
      <c r="H1849">
        <f>SUMIF(ODPIS!B:B, A1849, ODPIS!G:G)</f>
        <v/>
      </c>
      <c r="I1849" s="2">
        <f>F1849 + G1849 - H1849</f>
        <v/>
      </c>
    </row>
    <row r="1850">
      <c r="A1850" t="n">
        <v>3862</v>
      </c>
      <c r="B1850" t="inlineStr">
        <is>
          <t>OFFSET AMBER</t>
        </is>
      </c>
      <c r="C1850" t="n">
        <v>90</v>
      </c>
      <c r="D1850" t="n">
        <v>64</v>
      </c>
      <c r="E1850" t="n">
        <v>140</v>
      </c>
      <c r="F1850" t="n">
        <v>0</v>
      </c>
      <c r="G1850">
        <f>SUMIF(PRISPELO!B:B, A1850, PRISPELO!G:G)</f>
        <v/>
      </c>
      <c r="H1850">
        <f>SUMIF(ODPIS!B:B, A1850, ODPIS!G:G)</f>
        <v/>
      </c>
      <c r="I1850" s="2">
        <f>F1850 + G1850 - H1850</f>
        <v/>
      </c>
    </row>
    <row r="1851">
      <c r="A1851" t="n">
        <v>3863</v>
      </c>
      <c r="B1851" t="inlineStr">
        <is>
          <t>LUXO MAGIC</t>
        </is>
      </c>
      <c r="C1851" t="n">
        <v>100</v>
      </c>
      <c r="D1851" t="n">
        <v>70</v>
      </c>
      <c r="E1851" t="n">
        <v>90</v>
      </c>
      <c r="F1851" t="n">
        <v>0</v>
      </c>
      <c r="G1851">
        <f>SUMIF(PRISPELO!B:B, A1851, PRISPELO!G:G)</f>
        <v/>
      </c>
      <c r="H1851">
        <f>SUMIF(ODPIS!B:B, A1851, ODPIS!G:G)</f>
        <v/>
      </c>
      <c r="I1851" s="2">
        <f>F1851 + G1851 - H1851</f>
        <v/>
      </c>
    </row>
    <row r="1852">
      <c r="A1852" t="n">
        <v>3864</v>
      </c>
      <c r="B1852" t="inlineStr">
        <is>
          <t>SYMBOL CARD PW</t>
        </is>
      </c>
      <c r="C1852" t="n">
        <v>102</v>
      </c>
      <c r="D1852" t="n">
        <v>72</v>
      </c>
      <c r="E1852" t="n">
        <v>240</v>
      </c>
      <c r="F1852" t="n">
        <v>0</v>
      </c>
      <c r="G1852">
        <f>SUMIF(PRISPELO!B:B, A1852, PRISPELO!G:G)</f>
        <v/>
      </c>
      <c r="H1852">
        <f>SUMIF(ODPIS!B:B, A1852, ODPIS!G:G)</f>
        <v/>
      </c>
      <c r="I1852" s="2">
        <f>F1852 + G1852 - H1852</f>
        <v/>
      </c>
    </row>
    <row r="1853">
      <c r="A1853" t="n">
        <v>3865</v>
      </c>
      <c r="B1853" t="inlineStr">
        <is>
          <t>PREMIUM VOLUME</t>
        </is>
      </c>
      <c r="C1853" t="n">
        <v>45</v>
      </c>
      <c r="D1853" t="n">
        <v>64</v>
      </c>
      <c r="E1853" t="n">
        <v>170</v>
      </c>
      <c r="F1853" t="n">
        <v>0</v>
      </c>
      <c r="G1853">
        <f>SUMIF(PRISPELO!B:B, A1853, PRISPELO!G:G)</f>
        <v/>
      </c>
      <c r="H1853">
        <f>SUMIF(ODPIS!B:B, A1853, ODPIS!G:G)</f>
        <v/>
      </c>
      <c r="I1853" s="2">
        <f>F1853 + G1853 - H1853</f>
        <v/>
      </c>
    </row>
    <row r="1854">
      <c r="A1854" t="n">
        <v>3868</v>
      </c>
      <c r="B1854" t="inlineStr">
        <is>
          <t>ROYALSET OFFSET</t>
        </is>
      </c>
      <c r="C1854" t="n">
        <v>70</v>
      </c>
      <c r="D1854" t="n">
        <v>100</v>
      </c>
      <c r="E1854" t="n">
        <v>190</v>
      </c>
      <c r="F1854" t="n">
        <v>0</v>
      </c>
      <c r="G1854">
        <f>SUMIF(PRISPELO!B:B, A1854, PRISPELO!G:G)</f>
        <v/>
      </c>
      <c r="H1854">
        <f>SUMIF(ODPIS!B:B, A1854, ODPIS!G:G)</f>
        <v/>
      </c>
      <c r="I1854" s="2">
        <f>F1854 + G1854 - H1854</f>
        <v/>
      </c>
    </row>
    <row r="1855">
      <c r="A1855" t="n">
        <v>3869</v>
      </c>
      <c r="B1855" t="inlineStr">
        <is>
          <t>EaglePlus GC1 HIGH BULK</t>
        </is>
      </c>
      <c r="C1855" t="n">
        <v>72</v>
      </c>
      <c r="D1855" t="n">
        <v>102</v>
      </c>
      <c r="E1855" t="n">
        <v>235</v>
      </c>
      <c r="F1855" t="n">
        <v>0</v>
      </c>
      <c r="G1855">
        <f>SUMIF(PRISPELO!B:B, A1855, PRISPELO!G:G)</f>
        <v/>
      </c>
      <c r="H1855">
        <f>SUMIF(ODPIS!B:B, A1855, ODPIS!G:G)</f>
        <v/>
      </c>
      <c r="I1855" s="2">
        <f>F1855 + G1855 - H1855</f>
        <v/>
      </c>
    </row>
    <row r="1856">
      <c r="A1856" t="n">
        <v>3871</v>
      </c>
      <c r="B1856" t="inlineStr">
        <is>
          <t>OFFSET AMBER</t>
        </is>
      </c>
      <c r="C1856" t="n">
        <v>70</v>
      </c>
      <c r="D1856" t="n">
        <v>100</v>
      </c>
      <c r="E1856" t="n">
        <v>170</v>
      </c>
      <c r="F1856" t="n">
        <v>0</v>
      </c>
      <c r="G1856">
        <f>SUMIF(PRISPELO!B:B, A1856, PRISPELO!G:G)</f>
        <v/>
      </c>
      <c r="H1856">
        <f>SUMIF(ODPIS!B:B, A1856, ODPIS!G:G)</f>
        <v/>
      </c>
      <c r="I1856" s="2">
        <f>F1856 + G1856 - H1856</f>
        <v/>
      </c>
    </row>
    <row r="1857">
      <c r="A1857" t="n">
        <v>3872</v>
      </c>
      <c r="B1857" t="inlineStr">
        <is>
          <t>OFFSET AMBER</t>
        </is>
      </c>
      <c r="C1857" t="n">
        <v>64</v>
      </c>
      <c r="D1857" t="n">
        <v>90</v>
      </c>
      <c r="E1857" t="n">
        <v>170</v>
      </c>
      <c r="F1857" t="n">
        <v>0</v>
      </c>
      <c r="G1857">
        <f>SUMIF(PRISPELO!B:B, A1857, PRISPELO!G:G)</f>
        <v/>
      </c>
      <c r="H1857">
        <f>SUMIF(ODPIS!B:B, A1857, ODPIS!G:G)</f>
        <v/>
      </c>
      <c r="I1857" s="2">
        <f>F1857 + G1857 - H1857</f>
        <v/>
      </c>
    </row>
    <row r="1858">
      <c r="A1858" t="n">
        <v>3875</v>
      </c>
      <c r="B1858" t="inlineStr">
        <is>
          <t>GARDAPAT 11</t>
        </is>
      </c>
      <c r="C1858" t="n">
        <v>100</v>
      </c>
      <c r="D1858" t="n">
        <v>70</v>
      </c>
      <c r="E1858" t="n">
        <v>300</v>
      </c>
      <c r="F1858" t="n">
        <v>0</v>
      </c>
      <c r="G1858">
        <f>SUMIF(PRISPELO!B:B, A1858, PRISPELO!G:G)</f>
        <v/>
      </c>
      <c r="H1858">
        <f>SUMIF(ODPIS!B:B, A1858, ODPIS!G:G)</f>
        <v/>
      </c>
      <c r="I1858" s="2">
        <f>F1858 + G1858 - H1858</f>
        <v/>
      </c>
    </row>
    <row r="1859">
      <c r="A1859" t="n">
        <v>3876</v>
      </c>
      <c r="B1859" t="inlineStr">
        <is>
          <t>NEVIA GLOSS</t>
        </is>
      </c>
      <c r="C1859" t="n">
        <v>64</v>
      </c>
      <c r="D1859" t="n">
        <v>90</v>
      </c>
      <c r="E1859" t="n">
        <v>150</v>
      </c>
      <c r="F1859" t="n">
        <v>0</v>
      </c>
      <c r="G1859">
        <f>SUMIF(PRISPELO!B:B, A1859, PRISPELO!G:G)</f>
        <v/>
      </c>
      <c r="H1859">
        <f>SUMIF(ODPIS!B:B, A1859, ODPIS!G:G)</f>
        <v/>
      </c>
      <c r="I1859" s="2">
        <f>F1859 + G1859 - H1859</f>
        <v/>
      </c>
    </row>
    <row r="1860">
      <c r="A1860" t="n">
        <v>3877</v>
      </c>
      <c r="B1860" t="inlineStr">
        <is>
          <t>GALERIART VOLUME</t>
        </is>
      </c>
      <c r="C1860" t="n">
        <v>90</v>
      </c>
      <c r="D1860" t="n">
        <v>64</v>
      </c>
      <c r="E1860" t="n">
        <v>170</v>
      </c>
      <c r="F1860" t="n">
        <v>0</v>
      </c>
      <c r="G1860">
        <f>SUMIF(PRISPELO!B:B, A1860, PRISPELO!G:G)</f>
        <v/>
      </c>
      <c r="H1860">
        <f>SUMIF(ODPIS!B:B, A1860, ODPIS!G:G)</f>
        <v/>
      </c>
      <c r="I1860" s="2">
        <f>F1860 + G1860 - H1860</f>
        <v/>
      </c>
    </row>
    <row r="1861">
      <c r="A1861" t="n">
        <v>3878</v>
      </c>
      <c r="B1861" t="inlineStr">
        <is>
          <t>PREMIUM SILK</t>
        </is>
      </c>
      <c r="C1861" t="n">
        <v>100</v>
      </c>
      <c r="D1861" t="n">
        <v>70</v>
      </c>
      <c r="E1861" t="n">
        <v>300</v>
      </c>
      <c r="F1861" t="n">
        <v>0</v>
      </c>
      <c r="G1861">
        <f>SUMIF(PRISPELO!B:B, A1861, PRISPELO!G:G)</f>
        <v/>
      </c>
      <c r="H1861">
        <f>SUMIF(ODPIS!B:B, A1861, ODPIS!G:G)</f>
        <v/>
      </c>
      <c r="I1861" s="2">
        <f>F1861 + G1861 - H1861</f>
        <v/>
      </c>
    </row>
    <row r="1862">
      <c r="A1862" t="n">
        <v>3880</v>
      </c>
      <c r="B1862" t="inlineStr">
        <is>
          <t>LUXLINE GG 2.0</t>
        </is>
      </c>
      <c r="C1862" t="n">
        <v>71</v>
      </c>
      <c r="D1862" t="n">
        <v>101</v>
      </c>
      <c r="E1862" t="n">
        <v>1260</v>
      </c>
      <c r="F1862" t="n">
        <v>0</v>
      </c>
      <c r="G1862">
        <f>SUMIF(PRISPELO!B:B, A1862, PRISPELO!G:G)</f>
        <v/>
      </c>
      <c r="H1862">
        <f>SUMIF(ODPIS!B:B, A1862, ODPIS!G:G)</f>
        <v/>
      </c>
      <c r="I1862" s="2">
        <f>F1862 + G1862 - H1862</f>
        <v/>
      </c>
    </row>
    <row r="1863">
      <c r="A1863" t="n">
        <v>3881</v>
      </c>
      <c r="B1863" t="inlineStr">
        <is>
          <t>SIRIO ULTRA BLACK</t>
        </is>
      </c>
      <c r="C1863" t="n">
        <v>72</v>
      </c>
      <c r="D1863" t="n">
        <v>102</v>
      </c>
      <c r="E1863" t="n">
        <v>680</v>
      </c>
      <c r="F1863" t="n">
        <v>0</v>
      </c>
      <c r="G1863">
        <f>SUMIF(PRISPELO!B:B, A1863, PRISPELO!G:G)</f>
        <v/>
      </c>
      <c r="H1863">
        <f>SUMIF(ODPIS!B:B, A1863, ODPIS!G:G)</f>
        <v/>
      </c>
      <c r="I1863" s="2">
        <f>F1863 + G1863 - H1863</f>
        <v/>
      </c>
    </row>
    <row r="1864">
      <c r="A1864" t="n">
        <v>3882</v>
      </c>
      <c r="B1864" t="inlineStr">
        <is>
          <t>PREMIUM VOLUME</t>
        </is>
      </c>
      <c r="C1864" t="n">
        <v>90</v>
      </c>
      <c r="D1864" t="n">
        <v>64</v>
      </c>
      <c r="E1864" t="n">
        <v>135</v>
      </c>
      <c r="F1864" t="n">
        <v>0</v>
      </c>
      <c r="G1864">
        <f>SUMIF(PRISPELO!B:B, A1864, PRISPELO!G:G)</f>
        <v/>
      </c>
      <c r="H1864">
        <f>SUMIF(ODPIS!B:B, A1864, ODPIS!G:G)</f>
        <v/>
      </c>
      <c r="I1864" s="2">
        <f>F1864 + G1864 - H1864</f>
        <v/>
      </c>
    </row>
    <row r="1865">
      <c r="A1865" t="n">
        <v>3883</v>
      </c>
      <c r="B1865" t="inlineStr">
        <is>
          <t>AMBER GRAPHIC</t>
        </is>
      </c>
      <c r="C1865" t="n">
        <v>64</v>
      </c>
      <c r="D1865" t="n">
        <v>90</v>
      </c>
      <c r="E1865" t="n">
        <v>170</v>
      </c>
      <c r="F1865" t="n">
        <v>0</v>
      </c>
      <c r="G1865">
        <f>SUMIF(PRISPELO!B:B, A1865, PRISPELO!G:G)</f>
        <v/>
      </c>
      <c r="H1865">
        <f>SUMIF(ODPIS!B:B, A1865, ODPIS!G:G)</f>
        <v/>
      </c>
      <c r="I1865" s="2">
        <f>F1865 + G1865 - H1865</f>
        <v/>
      </c>
    </row>
    <row r="1866">
      <c r="A1866" t="n">
        <v>3884</v>
      </c>
      <c r="B1866" t="inlineStr">
        <is>
          <t>TARGET PLUS</t>
        </is>
      </c>
      <c r="C1866" t="n">
        <v>45</v>
      </c>
      <c r="D1866" t="n">
        <v>64</v>
      </c>
      <c r="E1866" t="n">
        <v>80</v>
      </c>
      <c r="F1866" t="n">
        <v>0</v>
      </c>
      <c r="G1866">
        <f>SUMIF(PRISPELO!B:B, A1866, PRISPELO!G:G)</f>
        <v/>
      </c>
      <c r="H1866">
        <f>SUMIF(ODPIS!B:B, A1866, ODPIS!G:G)</f>
        <v/>
      </c>
      <c r="I1866" s="2">
        <f>F1866 + G1866 - H1866</f>
        <v/>
      </c>
    </row>
    <row r="1867">
      <c r="A1867" t="n">
        <v>3884</v>
      </c>
      <c r="B1867" t="inlineStr">
        <is>
          <t>TARGET PLUS</t>
        </is>
      </c>
      <c r="C1867" t="n">
        <v>45</v>
      </c>
      <c r="D1867" t="n">
        <v>64</v>
      </c>
      <c r="E1867" t="n">
        <v>80</v>
      </c>
      <c r="F1867" t="n">
        <v>0</v>
      </c>
      <c r="G1867">
        <f>SUMIF(PRISPELO!B:B, A1867, PRISPELO!G:G)</f>
        <v/>
      </c>
      <c r="H1867">
        <f>SUMIF(ODPIS!B:B, A1867, ODPIS!G:G)</f>
        <v/>
      </c>
      <c r="I1867" s="2">
        <f>F1867 + G1867 - H1867</f>
        <v/>
      </c>
    </row>
    <row r="1868">
      <c r="A1868" t="n">
        <v>3885</v>
      </c>
      <c r="B1868" t="inlineStr">
        <is>
          <t>EaglePlus GC1 HIGH BULK</t>
        </is>
      </c>
      <c r="C1868" t="n">
        <v>102</v>
      </c>
      <c r="D1868" t="n">
        <v>72</v>
      </c>
      <c r="E1868" t="n">
        <v>235</v>
      </c>
      <c r="F1868" t="n">
        <v>0</v>
      </c>
      <c r="G1868">
        <f>SUMIF(PRISPELO!B:B, A1868, PRISPELO!G:G)</f>
        <v/>
      </c>
      <c r="H1868">
        <f>SUMIF(ODPIS!B:B, A1868, ODPIS!G:G)</f>
        <v/>
      </c>
      <c r="I1868" s="2">
        <f>F1868 + G1868 - H1868</f>
        <v/>
      </c>
    </row>
    <row r="1869">
      <c r="A1869" t="n">
        <v>3886</v>
      </c>
      <c r="B1869" t="inlineStr">
        <is>
          <t>EaglePlus GC1 HIGH BULK</t>
        </is>
      </c>
      <c r="C1869" t="n">
        <v>102</v>
      </c>
      <c r="D1869" t="n">
        <v>72</v>
      </c>
      <c r="E1869" t="n">
        <v>300</v>
      </c>
      <c r="F1869" t="n">
        <v>0</v>
      </c>
      <c r="G1869">
        <f>SUMIF(PRISPELO!B:B, A1869, PRISPELO!G:G)</f>
        <v/>
      </c>
      <c r="H1869">
        <f>SUMIF(ODPIS!B:B, A1869, ODPIS!G:G)</f>
        <v/>
      </c>
      <c r="I1869" s="2">
        <f>F1869 + G1869 - H1869</f>
        <v/>
      </c>
    </row>
    <row r="1870">
      <c r="A1870" t="n">
        <v>3887</v>
      </c>
      <c r="B1870" t="inlineStr">
        <is>
          <t>samgloss premium</t>
        </is>
      </c>
      <c r="C1870" t="n">
        <v>70</v>
      </c>
      <c r="D1870" t="n">
        <v>100</v>
      </c>
      <c r="E1870" t="n">
        <v>90</v>
      </c>
      <c r="F1870" t="n">
        <v>0</v>
      </c>
      <c r="G1870">
        <f>SUMIF(PRISPELO!B:B, A1870, PRISPELO!G:G)</f>
        <v/>
      </c>
      <c r="H1870">
        <f>SUMIF(ODPIS!B:B, A1870, ODPIS!G:G)</f>
        <v/>
      </c>
      <c r="I1870" s="2">
        <f>F1870 + G1870 - H1870</f>
        <v/>
      </c>
    </row>
    <row r="1871">
      <c r="A1871" t="n">
        <v>3888</v>
      </c>
      <c r="B1871" t="inlineStr">
        <is>
          <t>MultiArt silk</t>
        </is>
      </c>
      <c r="C1871" t="n">
        <v>64</v>
      </c>
      <c r="D1871" t="n">
        <v>90</v>
      </c>
      <c r="E1871" t="n">
        <v>350</v>
      </c>
      <c r="F1871" t="n">
        <v>0</v>
      </c>
      <c r="G1871">
        <f>SUMIF(PRISPELO!B:B, A1871, PRISPELO!G:G)</f>
        <v/>
      </c>
      <c r="H1871">
        <f>SUMIF(ODPIS!B:B, A1871, ODPIS!G:G)</f>
        <v/>
      </c>
      <c r="I1871" s="2">
        <f>F1871 + G1871 - H1871</f>
        <v/>
      </c>
    </row>
    <row r="1872">
      <c r="A1872" t="n">
        <v>3889</v>
      </c>
      <c r="B1872" t="inlineStr">
        <is>
          <t>ROYAL NCR CFB</t>
        </is>
      </c>
      <c r="C1872" t="n">
        <v>86</v>
      </c>
      <c r="D1872" t="n">
        <v>61</v>
      </c>
      <c r="E1872" t="n">
        <v>58</v>
      </c>
      <c r="F1872" t="n">
        <v>0</v>
      </c>
      <c r="G1872">
        <f>SUMIF(PRISPELO!B:B, A1872, PRISPELO!G:G)</f>
        <v/>
      </c>
      <c r="H1872">
        <f>SUMIF(ODPIS!B:B, A1872, ODPIS!G:G)</f>
        <v/>
      </c>
      <c r="I1872" s="2">
        <f>F1872 + G1872 - H1872</f>
        <v/>
      </c>
    </row>
    <row r="1873">
      <c r="A1873" t="n">
        <v>3890</v>
      </c>
      <c r="B1873" t="inlineStr">
        <is>
          <t>NIVIS NEXT GLOSS</t>
        </is>
      </c>
      <c r="C1873" t="n">
        <v>70</v>
      </c>
      <c r="D1873" t="n">
        <v>100</v>
      </c>
      <c r="E1873" t="n">
        <v>115</v>
      </c>
      <c r="F1873" t="n">
        <v>0</v>
      </c>
      <c r="G1873">
        <f>SUMIF(PRISPELO!B:B, A1873, PRISPELO!G:G)</f>
        <v/>
      </c>
      <c r="H1873">
        <f>SUMIF(ODPIS!B:B, A1873, ODPIS!G:G)</f>
        <v/>
      </c>
      <c r="I1873" s="2">
        <f>F1873 + G1873 - H1873</f>
        <v/>
      </c>
    </row>
    <row r="1874">
      <c r="A1874" t="n">
        <v>3891</v>
      </c>
      <c r="B1874" t="inlineStr">
        <is>
          <t>GALERIEART VOLUME</t>
        </is>
      </c>
      <c r="C1874" t="n">
        <v>45</v>
      </c>
      <c r="D1874" t="n">
        <v>64</v>
      </c>
      <c r="E1874" t="n">
        <v>250</v>
      </c>
      <c r="F1874" t="n">
        <v>0</v>
      </c>
      <c r="G1874">
        <f>SUMIF(PRISPELO!B:B, A1874, PRISPELO!G:G)</f>
        <v/>
      </c>
      <c r="H1874">
        <f>SUMIF(ODPIS!B:B, A1874, ODPIS!G:G)</f>
        <v/>
      </c>
      <c r="I1874" s="2">
        <f>F1874 + G1874 - H1874</f>
        <v/>
      </c>
    </row>
    <row r="1875">
      <c r="A1875" t="n">
        <v>3893</v>
      </c>
      <c r="B1875" t="inlineStr">
        <is>
          <t>LUXO MAGIC</t>
        </is>
      </c>
      <c r="C1875" t="n">
        <v>64</v>
      </c>
      <c r="D1875" t="n">
        <v>90</v>
      </c>
      <c r="E1875" t="n">
        <v>350</v>
      </c>
      <c r="F1875" t="n">
        <v>0</v>
      </c>
      <c r="G1875">
        <f>SUMIF(PRISPELO!B:B, A1875, PRISPELO!G:G)</f>
        <v/>
      </c>
      <c r="H1875">
        <f>SUMIF(ODPIS!B:B, A1875, ODPIS!G:G)</f>
        <v/>
      </c>
      <c r="I1875" s="2">
        <f>F1875 + G1875 - H1875</f>
        <v/>
      </c>
    </row>
    <row r="1876">
      <c r="A1876" t="n">
        <v>3894</v>
      </c>
      <c r="B1876" t="inlineStr">
        <is>
          <t>NAVIGATOR LASER</t>
        </is>
      </c>
      <c r="C1876" t="n">
        <v>46</v>
      </c>
      <c r="D1876" t="n">
        <v>64</v>
      </c>
      <c r="E1876" t="n">
        <v>80</v>
      </c>
      <c r="F1876" t="n">
        <v>0</v>
      </c>
      <c r="G1876">
        <f>SUMIF(PRISPELO!B:B, A1876, PRISPELO!G:G)</f>
        <v/>
      </c>
      <c r="H1876">
        <f>SUMIF(ODPIS!B:B, A1876, ODPIS!G:G)</f>
        <v/>
      </c>
      <c r="I1876" s="2">
        <f>F1876 + G1876 - H1876</f>
        <v/>
      </c>
    </row>
    <row r="1877">
      <c r="A1877" t="n">
        <v>3902</v>
      </c>
      <c r="B1877" t="inlineStr">
        <is>
          <t>Bio Top NATUR WHITE</t>
        </is>
      </c>
      <c r="C1877" t="n">
        <v>70</v>
      </c>
      <c r="D1877" t="n">
        <v>100</v>
      </c>
      <c r="E1877" t="n">
        <v>100</v>
      </c>
      <c r="F1877" t="n">
        <v>0</v>
      </c>
      <c r="G1877">
        <f>SUMIF(PRISPELO!B:B, A1877, PRISPELO!G:G)</f>
        <v/>
      </c>
      <c r="H1877">
        <f>SUMIF(ODPIS!B:B, A1877, ODPIS!G:G)</f>
        <v/>
      </c>
      <c r="I1877" s="2">
        <f>F1877 + G1877 - H1877</f>
        <v/>
      </c>
    </row>
    <row r="1878">
      <c r="A1878" t="n">
        <v>3903</v>
      </c>
      <c r="B1878" t="inlineStr">
        <is>
          <t>Munken Lynx Rough</t>
        </is>
      </c>
      <c r="C1878" t="n">
        <v>102</v>
      </c>
      <c r="D1878" t="n">
        <v>72</v>
      </c>
      <c r="E1878" t="n">
        <v>300</v>
      </c>
      <c r="F1878" t="n">
        <v>0</v>
      </c>
      <c r="G1878">
        <f>SUMIF(PRISPELO!B:B, A1878, PRISPELO!G:G)</f>
        <v/>
      </c>
      <c r="H1878">
        <f>SUMIF(ODPIS!B:B, A1878, ODPIS!G:G)</f>
        <v/>
      </c>
      <c r="I1878" s="2">
        <f>F1878 + G1878 - H1878</f>
        <v/>
      </c>
    </row>
    <row r="1879">
      <c r="A1879" t="n">
        <v>3905</v>
      </c>
      <c r="B1879" t="inlineStr">
        <is>
          <t>SAMOL. SUPERTACK</t>
        </is>
      </c>
      <c r="C1879" t="n">
        <v>50</v>
      </c>
      <c r="D1879" t="n">
        <v>70</v>
      </c>
      <c r="E1879" t="n">
        <v>80</v>
      </c>
      <c r="F1879" t="n">
        <v>0</v>
      </c>
      <c r="G1879">
        <f>SUMIF(PRISPELO!B:B, A1879, PRISPELO!G:G)</f>
        <v/>
      </c>
      <c r="H1879">
        <f>SUMIF(ODPIS!B:B, A1879, ODPIS!G:G)</f>
        <v/>
      </c>
      <c r="I1879" s="2">
        <f>F1879 + G1879 - H1879</f>
        <v/>
      </c>
    </row>
    <row r="1880">
      <c r="A1880" t="n">
        <v>3906</v>
      </c>
      <c r="B1880" t="inlineStr">
        <is>
          <t>ITALSTICK PP WHITE MATT PERMANENT</t>
        </is>
      </c>
      <c r="C1880" t="n">
        <v>70</v>
      </c>
      <c r="D1880" t="n">
        <v>100</v>
      </c>
      <c r="E1880" t="n">
        <v>100</v>
      </c>
      <c r="F1880" t="n">
        <v>0</v>
      </c>
      <c r="G1880">
        <f>SUMIF(PRISPELO!B:B, A1880, PRISPELO!G:G)</f>
        <v/>
      </c>
      <c r="H1880">
        <f>SUMIF(ODPIS!B:B, A1880, ODPIS!G:G)</f>
        <v/>
      </c>
      <c r="I1880" s="2">
        <f>F1880 + G1880 - H1880</f>
        <v/>
      </c>
    </row>
    <row r="1881">
      <c r="A1881" t="n">
        <v>3907</v>
      </c>
      <c r="B1881" t="inlineStr">
        <is>
          <t>GALERIEART GLOSS</t>
        </is>
      </c>
      <c r="C1881" t="n">
        <v>64</v>
      </c>
      <c r="D1881" t="n">
        <v>90</v>
      </c>
      <c r="E1881" t="n">
        <v>200</v>
      </c>
      <c r="F1881" t="n">
        <v>0</v>
      </c>
      <c r="G1881">
        <f>SUMIF(PRISPELO!B:B, A1881, PRISPELO!G:G)</f>
        <v/>
      </c>
      <c r="H1881">
        <f>SUMIF(ODPIS!B:B, A1881, ODPIS!G:G)</f>
        <v/>
      </c>
      <c r="I1881" s="2">
        <f>F1881 + G1881 - H1881</f>
        <v/>
      </c>
    </row>
    <row r="1882">
      <c r="A1882" t="n">
        <v>3908</v>
      </c>
      <c r="B1882" t="inlineStr">
        <is>
          <t>NEVIA GLOSS</t>
        </is>
      </c>
      <c r="C1882" t="n">
        <v>100</v>
      </c>
      <c r="D1882" t="n">
        <v>70</v>
      </c>
      <c r="E1882" t="n">
        <v>150</v>
      </c>
      <c r="F1882" t="n">
        <v>0</v>
      </c>
      <c r="G1882">
        <f>SUMIF(PRISPELO!B:B, A1882, PRISPELO!G:G)</f>
        <v/>
      </c>
      <c r="H1882">
        <f>SUMIF(ODPIS!B:B, A1882, ODPIS!G:G)</f>
        <v/>
      </c>
      <c r="I1882" s="2">
        <f>F1882 + G1882 - H1882</f>
        <v/>
      </c>
    </row>
    <row r="1883">
      <c r="A1883" t="n">
        <v>3909</v>
      </c>
      <c r="B1883" t="inlineStr">
        <is>
          <t>PHOENIX</t>
        </is>
      </c>
      <c r="C1883" t="n">
        <v>70</v>
      </c>
      <c r="D1883" t="n">
        <v>100</v>
      </c>
      <c r="E1883" t="n">
        <v>300</v>
      </c>
      <c r="F1883" t="n">
        <v>0</v>
      </c>
      <c r="G1883">
        <f>SUMIF(PRISPELO!B:B, A1883, PRISPELO!G:G)</f>
        <v/>
      </c>
      <c r="H1883">
        <f>SUMIF(ODPIS!B:B, A1883, ODPIS!G:G)</f>
        <v/>
      </c>
      <c r="I1883" s="2">
        <f>F1883 + G1883 - H1883</f>
        <v/>
      </c>
    </row>
    <row r="1884">
      <c r="A1884" t="n">
        <v>3910</v>
      </c>
      <c r="B1884" t="inlineStr">
        <is>
          <t>PREMIUM UNCOATED</t>
        </is>
      </c>
      <c r="C1884" t="n">
        <v>45</v>
      </c>
      <c r="D1884" t="n">
        <v>64</v>
      </c>
      <c r="E1884" t="n">
        <v>150</v>
      </c>
      <c r="F1884" t="n">
        <v>0</v>
      </c>
      <c r="G1884">
        <f>SUMIF(PRISPELO!B:B, A1884, PRISPELO!G:G)</f>
        <v/>
      </c>
      <c r="H1884">
        <f>SUMIF(ODPIS!B:B, A1884, ODPIS!G:G)</f>
        <v/>
      </c>
      <c r="I1884" s="2">
        <f>F1884 + G1884 - H1884</f>
        <v/>
      </c>
    </row>
    <row r="1885">
      <c r="A1885" t="n">
        <v>3912</v>
      </c>
      <c r="B1885" t="inlineStr">
        <is>
          <t>SORA PRESS</t>
        </is>
      </c>
      <c r="C1885" t="n">
        <v>90</v>
      </c>
      <c r="D1885" t="n">
        <v>64</v>
      </c>
      <c r="E1885" t="n">
        <v>70</v>
      </c>
      <c r="F1885" t="n">
        <v>0</v>
      </c>
      <c r="G1885">
        <f>SUMIF(PRISPELO!B:B, A1885, PRISPELO!G:G)</f>
        <v/>
      </c>
      <c r="H1885">
        <f>SUMIF(ODPIS!B:B, A1885, ODPIS!G:G)</f>
        <v/>
      </c>
      <c r="I1885" s="2">
        <f>F1885 + G1885 - H1885</f>
        <v/>
      </c>
    </row>
    <row r="1886">
      <c r="A1886" t="n">
        <v>3914</v>
      </c>
      <c r="B1886" t="inlineStr">
        <is>
          <t>NATRON AVANA</t>
        </is>
      </c>
      <c r="C1886" t="n">
        <v>126</v>
      </c>
      <c r="D1886" t="n">
        <v>92</v>
      </c>
      <c r="E1886" t="n">
        <v>90</v>
      </c>
      <c r="F1886" t="n">
        <v>0</v>
      </c>
      <c r="G1886">
        <f>SUMIF(PRISPELO!B:B, A1886, PRISPELO!G:G)</f>
        <v/>
      </c>
      <c r="H1886">
        <f>SUMIF(ODPIS!B:B, A1886, ODPIS!G:G)</f>
        <v/>
      </c>
      <c r="I1886" s="2">
        <f>F1886 + G1886 - H1886</f>
        <v/>
      </c>
    </row>
    <row r="1887">
      <c r="A1887" t="n">
        <v>3915</v>
      </c>
      <c r="B1887" t="inlineStr">
        <is>
          <t>sora matt</t>
        </is>
      </c>
      <c r="C1887" t="n">
        <v>64</v>
      </c>
      <c r="D1887" t="n">
        <v>90</v>
      </c>
      <c r="E1887" t="n">
        <v>135</v>
      </c>
      <c r="F1887" t="n">
        <v>0</v>
      </c>
      <c r="G1887">
        <f>SUMIF(PRISPELO!B:B, A1887, PRISPELO!G:G)</f>
        <v/>
      </c>
      <c r="H1887">
        <f>SUMIF(ODPIS!B:B, A1887, ODPIS!G:G)</f>
        <v/>
      </c>
      <c r="I1887" s="2">
        <f>F1887 + G1887 - H1887</f>
        <v/>
      </c>
    </row>
    <row r="1888">
      <c r="A1888" t="n">
        <v>3916</v>
      </c>
      <c r="B1888" t="inlineStr">
        <is>
          <t>PERIGORD MATT 1,1</t>
        </is>
      </c>
      <c r="C1888" t="n">
        <v>70</v>
      </c>
      <c r="D1888" t="n">
        <v>100</v>
      </c>
      <c r="E1888" t="n">
        <v>170</v>
      </c>
      <c r="F1888" t="n">
        <v>0</v>
      </c>
      <c r="G1888">
        <f>SUMIF(PRISPELO!B:B, A1888, PRISPELO!G:G)</f>
        <v/>
      </c>
      <c r="H1888">
        <f>SUMIF(ODPIS!B:B, A1888, ODPIS!G:G)</f>
        <v/>
      </c>
      <c r="I1888" s="2">
        <f>F1888 + G1888 - H1888</f>
        <v/>
      </c>
    </row>
    <row r="1889">
      <c r="A1889" t="n">
        <v>3917</v>
      </c>
      <c r="B1889" t="inlineStr">
        <is>
          <t>MAGNO SATIN</t>
        </is>
      </c>
      <c r="C1889" t="n">
        <v>57</v>
      </c>
      <c r="D1889" t="n">
        <v>51</v>
      </c>
      <c r="E1889" t="n">
        <v>115</v>
      </c>
      <c r="F1889" t="n">
        <v>0</v>
      </c>
      <c r="G1889">
        <f>SUMIF(PRISPELO!B:B, A1889, PRISPELO!G:G)</f>
        <v/>
      </c>
      <c r="H1889">
        <f>SUMIF(ODPIS!B:B, A1889, ODPIS!G:G)</f>
        <v/>
      </c>
      <c r="I1889" s="2">
        <f>F1889 + G1889 - H1889</f>
        <v/>
      </c>
    </row>
    <row r="1890">
      <c r="A1890" t="n">
        <v>3920</v>
      </c>
      <c r="B1890" t="inlineStr">
        <is>
          <t>VINCICOAT</t>
        </is>
      </c>
      <c r="C1890" t="n">
        <v>71</v>
      </c>
      <c r="D1890" t="n">
        <v>101</v>
      </c>
      <c r="E1890" t="n">
        <v>300</v>
      </c>
      <c r="F1890" t="n">
        <v>0</v>
      </c>
      <c r="G1890">
        <f>SUMIF(PRISPELO!B:B, A1890, PRISPELO!G:G)</f>
        <v/>
      </c>
      <c r="H1890">
        <f>SUMIF(ODPIS!B:B, A1890, ODPIS!G:G)</f>
        <v/>
      </c>
      <c r="I1890" s="2">
        <f>F1890 + G1890 - H1890</f>
        <v/>
      </c>
    </row>
    <row r="1891">
      <c r="A1891" t="n">
        <v>3921</v>
      </c>
      <c r="B1891" t="inlineStr">
        <is>
          <t>KUVERTA MUNKEN KRISTALL</t>
        </is>
      </c>
      <c r="C1891" t="n">
        <v>160</v>
      </c>
      <c r="D1891" t="n">
        <v>160</v>
      </c>
      <c r="E1891" t="n">
        <v>120</v>
      </c>
      <c r="F1891" t="n">
        <v>0</v>
      </c>
      <c r="G1891">
        <f>SUMIF(PRISPELO!B:B, A1891, PRISPELO!G:G)</f>
        <v/>
      </c>
      <c r="H1891">
        <f>SUMIF(ODPIS!B:B, A1891, ODPIS!G:G)</f>
        <v/>
      </c>
      <c r="I1891" s="2">
        <f>F1891 + G1891 - H1891</f>
        <v/>
      </c>
    </row>
    <row r="1892">
      <c r="A1892" t="n">
        <v>3922</v>
      </c>
      <c r="B1892" t="inlineStr">
        <is>
          <t>Royalcoat Premium gloss</t>
        </is>
      </c>
      <c r="C1892" t="n">
        <v>70</v>
      </c>
      <c r="D1892" t="n">
        <v>100</v>
      </c>
      <c r="E1892" t="n">
        <v>130</v>
      </c>
      <c r="F1892" t="n">
        <v>0</v>
      </c>
      <c r="G1892">
        <f>SUMIF(PRISPELO!B:B, A1892, PRISPELO!G:G)</f>
        <v/>
      </c>
      <c r="H1892">
        <f>SUMIF(ODPIS!B:B, A1892, ODPIS!G:G)</f>
        <v/>
      </c>
      <c r="I1892" s="2">
        <f>F1892 + G1892 - H1892</f>
        <v/>
      </c>
    </row>
    <row r="1893">
      <c r="A1893" t="n">
        <v>3923</v>
      </c>
      <c r="B1893" t="inlineStr">
        <is>
          <t>Nivis Next Matt</t>
        </is>
      </c>
      <c r="C1893" t="n">
        <v>45</v>
      </c>
      <c r="D1893" t="n">
        <v>64</v>
      </c>
      <c r="E1893" t="n">
        <v>115</v>
      </c>
      <c r="F1893" t="n">
        <v>0</v>
      </c>
      <c r="G1893">
        <f>SUMIF(PRISPELO!B:B, A1893, PRISPELO!G:G)</f>
        <v/>
      </c>
      <c r="H1893">
        <f>SUMIF(ODPIS!B:B, A1893, ODPIS!G:G)</f>
        <v/>
      </c>
      <c r="I1893" s="2">
        <f>F1893 + G1893 - H1893</f>
        <v/>
      </c>
    </row>
    <row r="1894">
      <c r="A1894" t="n">
        <v>3924</v>
      </c>
      <c r="B1894" t="inlineStr">
        <is>
          <t>VINICOAT GD2</t>
        </is>
      </c>
      <c r="C1894" t="n">
        <v>71</v>
      </c>
      <c r="D1894" t="n">
        <v>101</v>
      </c>
      <c r="E1894" t="n">
        <v>250</v>
      </c>
      <c r="F1894" t="n">
        <v>0</v>
      </c>
      <c r="G1894">
        <f>SUMIF(PRISPELO!B:B, A1894, PRISPELO!G:G)</f>
        <v/>
      </c>
      <c r="H1894">
        <f>SUMIF(ODPIS!B:B, A1894, ODPIS!G:G)</f>
        <v/>
      </c>
      <c r="I1894" s="2">
        <f>F1894 + G1894 - H1894</f>
        <v/>
      </c>
    </row>
    <row r="1895">
      <c r="A1895" t="n">
        <v>3925</v>
      </c>
      <c r="B1895" t="inlineStr">
        <is>
          <t>PREMIUM SILK</t>
        </is>
      </c>
      <c r="C1895" t="n">
        <v>70</v>
      </c>
      <c r="D1895" t="n">
        <v>100</v>
      </c>
      <c r="E1895" t="n">
        <v>350</v>
      </c>
      <c r="F1895" t="n">
        <v>0</v>
      </c>
      <c r="G1895">
        <f>SUMIF(PRISPELO!B:B, A1895, PRISPELO!G:G)</f>
        <v/>
      </c>
      <c r="H1895">
        <f>SUMIF(ODPIS!B:B, A1895, ODPIS!G:G)</f>
        <v/>
      </c>
      <c r="I1895" s="2">
        <f>F1895 + G1895 - H1895</f>
        <v/>
      </c>
    </row>
    <row r="1896">
      <c r="A1896" t="n">
        <v>3926</v>
      </c>
      <c r="B1896" t="inlineStr">
        <is>
          <t>PREMIUM SILK</t>
        </is>
      </c>
      <c r="C1896" t="n">
        <v>70</v>
      </c>
      <c r="D1896" t="n">
        <v>100</v>
      </c>
      <c r="E1896" t="n">
        <v>300</v>
      </c>
      <c r="F1896" t="n">
        <v>0</v>
      </c>
      <c r="G1896">
        <f>SUMIF(PRISPELO!B:B, A1896, PRISPELO!G:G)</f>
        <v/>
      </c>
      <c r="H1896">
        <f>SUMIF(ODPIS!B:B, A1896, ODPIS!G:G)</f>
        <v/>
      </c>
      <c r="I1896" s="2">
        <f>F1896 + G1896 - H1896</f>
        <v/>
      </c>
    </row>
    <row r="1897">
      <c r="A1897" t="n">
        <v>3927</v>
      </c>
      <c r="B1897" t="inlineStr">
        <is>
          <t>GIROFORM CFB</t>
        </is>
      </c>
      <c r="C1897" t="n">
        <v>45</v>
      </c>
      <c r="D1897" t="n">
        <v>64</v>
      </c>
      <c r="E1897" t="n">
        <v>60</v>
      </c>
      <c r="F1897" t="n">
        <v>0</v>
      </c>
      <c r="G1897">
        <f>SUMIF(PRISPELO!B:B, A1897, PRISPELO!G:G)</f>
        <v/>
      </c>
      <c r="H1897">
        <f>SUMIF(ODPIS!B:B, A1897, ODPIS!G:G)</f>
        <v/>
      </c>
      <c r="I1897" s="2">
        <f>F1897 + G1897 - H1897</f>
        <v/>
      </c>
    </row>
    <row r="1898">
      <c r="A1898" t="n">
        <v>3928</v>
      </c>
      <c r="B1898" t="inlineStr">
        <is>
          <t>AMBER GRAPHIC</t>
        </is>
      </c>
      <c r="C1898" t="n">
        <v>64</v>
      </c>
      <c r="D1898" t="n">
        <v>90</v>
      </c>
      <c r="E1898" t="n">
        <v>120</v>
      </c>
      <c r="F1898" t="n">
        <v>0</v>
      </c>
      <c r="G1898">
        <f>SUMIF(PRISPELO!B:B, A1898, PRISPELO!G:G)</f>
        <v/>
      </c>
      <c r="H1898">
        <f>SUMIF(ODPIS!B:B, A1898, ODPIS!G:G)</f>
        <v/>
      </c>
      <c r="I1898" s="2">
        <f>F1898 + G1898 - H1898</f>
        <v/>
      </c>
    </row>
    <row r="1899">
      <c r="A1899" t="n">
        <v>3930</v>
      </c>
      <c r="B1899" t="inlineStr">
        <is>
          <t>ARTIC SILK</t>
        </is>
      </c>
      <c r="C1899" t="n">
        <v>100</v>
      </c>
      <c r="D1899" t="n">
        <v>70</v>
      </c>
      <c r="E1899" t="n">
        <v>170</v>
      </c>
      <c r="F1899" t="n">
        <v>0</v>
      </c>
      <c r="G1899">
        <f>SUMIF(PRISPELO!B:B, A1899, PRISPELO!G:G)</f>
        <v/>
      </c>
      <c r="H1899">
        <f>SUMIF(ODPIS!B:B, A1899, ODPIS!G:G)</f>
        <v/>
      </c>
      <c r="I1899" s="2">
        <f>F1899 + G1899 - H1899</f>
        <v/>
      </c>
    </row>
    <row r="1900">
      <c r="A1900" t="n">
        <v>3931</v>
      </c>
      <c r="B1900" t="inlineStr">
        <is>
          <t>CHROMOSTAR</t>
        </is>
      </c>
      <c r="C1900" t="n">
        <v>101</v>
      </c>
      <c r="D1900" t="n">
        <v>71</v>
      </c>
      <c r="E1900" t="n">
        <v>235</v>
      </c>
      <c r="F1900" t="n">
        <v>0</v>
      </c>
      <c r="G1900">
        <f>SUMIF(PRISPELO!B:B, A1900, PRISPELO!G:G)</f>
        <v/>
      </c>
      <c r="H1900">
        <f>SUMIF(ODPIS!B:B, A1900, ODPIS!G:G)</f>
        <v/>
      </c>
      <c r="I1900" s="2">
        <f>F1900 + G1900 - H1900</f>
        <v/>
      </c>
    </row>
    <row r="1901">
      <c r="A1901" t="n">
        <v>3935</v>
      </c>
      <c r="B1901" t="inlineStr">
        <is>
          <t>IQ print</t>
        </is>
      </c>
      <c r="C1901" t="n">
        <v>64</v>
      </c>
      <c r="D1901" t="n">
        <v>90</v>
      </c>
      <c r="E1901" t="n">
        <v>170</v>
      </c>
      <c r="F1901" t="n">
        <v>0</v>
      </c>
      <c r="G1901">
        <f>SUMIF(PRISPELO!B:B, A1901, PRISPELO!G:G)</f>
        <v/>
      </c>
      <c r="H1901">
        <f>SUMIF(ODPIS!B:B, A1901, ODPIS!G:G)</f>
        <v/>
      </c>
      <c r="I1901" s="2">
        <f>F1901 + G1901 - H1901</f>
        <v/>
      </c>
    </row>
    <row r="1902">
      <c r="A1902" t="n">
        <v>3936</v>
      </c>
      <c r="B1902" t="inlineStr">
        <is>
          <t>MAGNO SATIN</t>
        </is>
      </c>
      <c r="C1902" t="n">
        <v>70</v>
      </c>
      <c r="D1902" t="n">
        <v>51</v>
      </c>
      <c r="E1902" t="n">
        <v>115</v>
      </c>
      <c r="F1902" t="n">
        <v>0</v>
      </c>
      <c r="G1902">
        <f>SUMIF(PRISPELO!B:B, A1902, PRISPELO!G:G)</f>
        <v/>
      </c>
      <c r="H1902">
        <f>SUMIF(ODPIS!B:B, A1902, ODPIS!G:G)</f>
        <v/>
      </c>
      <c r="I1902" s="2">
        <f>F1902 + G1902 - H1902</f>
        <v/>
      </c>
    </row>
    <row r="1903">
      <c r="A1903" t="n">
        <v>3937</v>
      </c>
      <c r="B1903" t="inlineStr">
        <is>
          <t>IMPACT NATURAL</t>
        </is>
      </c>
      <c r="C1903" t="n">
        <v>64</v>
      </c>
      <c r="D1903" t="n">
        <v>90</v>
      </c>
      <c r="E1903" t="n">
        <v>170</v>
      </c>
      <c r="F1903" t="n">
        <v>0</v>
      </c>
      <c r="G1903">
        <f>SUMIF(PRISPELO!B:B, A1903, PRISPELO!G:G)</f>
        <v/>
      </c>
      <c r="H1903">
        <f>SUMIF(ODPIS!B:B, A1903, ODPIS!G:G)</f>
        <v/>
      </c>
      <c r="I1903" s="2">
        <f>F1903 + G1903 - H1903</f>
        <v/>
      </c>
    </row>
    <row r="1904">
      <c r="A1904" t="n">
        <v>3938</v>
      </c>
      <c r="B1904" t="inlineStr">
        <is>
          <t>GRIPPER HIGH GLOSS samolepilni</t>
        </is>
      </c>
      <c r="C1904" t="n">
        <v>50</v>
      </c>
      <c r="D1904" t="n">
        <v>70</v>
      </c>
      <c r="E1904" t="n">
        <v>80</v>
      </c>
      <c r="F1904" t="n">
        <v>0</v>
      </c>
      <c r="G1904">
        <f>SUMIF(PRISPELO!B:B, A1904, PRISPELO!G:G)</f>
        <v/>
      </c>
      <c r="H1904">
        <f>SUMIF(ODPIS!B:B, A1904, ODPIS!G:G)</f>
        <v/>
      </c>
      <c r="I1904" s="2">
        <f>F1904 + G1904 - H1904</f>
        <v/>
      </c>
    </row>
    <row r="1905">
      <c r="A1905" t="n">
        <v>3940</v>
      </c>
      <c r="B1905" t="inlineStr">
        <is>
          <t>COLOR STYLE RECYCLING</t>
        </is>
      </c>
      <c r="C1905" t="n">
        <v>70</v>
      </c>
      <c r="D1905" t="n">
        <v>100</v>
      </c>
      <c r="E1905" t="n">
        <v>270</v>
      </c>
      <c r="F1905" t="n">
        <v>0</v>
      </c>
      <c r="G1905">
        <f>SUMIF(PRISPELO!B:B, A1905, PRISPELO!G:G)</f>
        <v/>
      </c>
      <c r="H1905">
        <f>SUMIF(ODPIS!B:B, A1905, ODPIS!G:G)</f>
        <v/>
      </c>
      <c r="I1905" s="2">
        <f>F1905 + G1905 - H1905</f>
        <v/>
      </c>
    </row>
    <row r="1906">
      <c r="A1906" t="n">
        <v>3942</v>
      </c>
      <c r="B1906" t="inlineStr">
        <is>
          <t>Samolepilni MP standard 80 P34</t>
        </is>
      </c>
      <c r="C1906" t="n">
        <v>50</v>
      </c>
      <c r="D1906" t="n">
        <v>70</v>
      </c>
      <c r="E1906" t="n">
        <v>90</v>
      </c>
      <c r="F1906" t="n">
        <v>0</v>
      </c>
      <c r="G1906">
        <f>SUMIF(PRISPELO!B:B, A1906, PRISPELO!G:G)</f>
        <v/>
      </c>
      <c r="H1906">
        <f>SUMIF(ODPIS!B:B, A1906, ODPIS!G:G)</f>
        <v/>
      </c>
      <c r="I1906" s="2">
        <f>F1906 + G1906 - H1906</f>
        <v/>
      </c>
    </row>
    <row r="1907">
      <c r="A1907" t="n">
        <v>3943</v>
      </c>
      <c r="B1907" t="inlineStr">
        <is>
          <t>ROYALCOAT PREM. SILK</t>
        </is>
      </c>
      <c r="C1907" t="n">
        <v>64</v>
      </c>
      <c r="D1907" t="n">
        <v>90</v>
      </c>
      <c r="E1907" t="n">
        <v>115</v>
      </c>
      <c r="F1907" t="n">
        <v>0</v>
      </c>
      <c r="G1907">
        <f>SUMIF(PRISPELO!B:B, A1907, PRISPELO!G:G)</f>
        <v/>
      </c>
      <c r="H1907">
        <f>SUMIF(ODPIS!B:B, A1907, ODPIS!G:G)</f>
        <v/>
      </c>
      <c r="I1907" s="2">
        <f>F1907 + G1907 - H1907</f>
        <v/>
      </c>
    </row>
    <row r="1908">
      <c r="A1908" t="n">
        <v>3944</v>
      </c>
      <c r="B1908" t="inlineStr">
        <is>
          <t>GARDA MATT</t>
        </is>
      </c>
      <c r="C1908" t="n">
        <v>44.8</v>
      </c>
      <c r="D1908" t="n">
        <v>31.8</v>
      </c>
      <c r="E1908" t="n">
        <v>200</v>
      </c>
      <c r="F1908" t="n">
        <v>0</v>
      </c>
      <c r="G1908">
        <f>SUMIF(PRISPELO!B:B, A1908, PRISPELO!G:G)</f>
        <v/>
      </c>
      <c r="H1908">
        <f>SUMIF(ODPIS!B:B, A1908, ODPIS!G:G)</f>
        <v/>
      </c>
      <c r="I1908" s="2">
        <f>F1908 + G1908 - H1908</f>
        <v/>
      </c>
    </row>
    <row r="1909">
      <c r="A1909" t="n">
        <v>3945</v>
      </c>
      <c r="B1909" t="inlineStr">
        <is>
          <t>FEDRIGONI SYMBOL CARD</t>
        </is>
      </c>
      <c r="C1909" t="n">
        <v>33.8</v>
      </c>
      <c r="D1909" t="n">
        <v>71.8</v>
      </c>
      <c r="E1909" t="n">
        <v>300</v>
      </c>
      <c r="F1909" t="n">
        <v>0</v>
      </c>
      <c r="G1909">
        <f>SUMIF(PRISPELO!B:B, A1909, PRISPELO!G:G)</f>
        <v/>
      </c>
      <c r="H1909">
        <f>SUMIF(ODPIS!B:B, A1909, ODPIS!G:G)</f>
        <v/>
      </c>
      <c r="I1909" s="2">
        <f>F1909 + G1909 - H1909</f>
        <v/>
      </c>
    </row>
    <row r="1910">
      <c r="A1910" t="n">
        <v>3946</v>
      </c>
      <c r="B1910" t="inlineStr">
        <is>
          <t>ARENA IVORY ROUGH</t>
        </is>
      </c>
      <c r="C1910" t="n">
        <v>72</v>
      </c>
      <c r="D1910" t="n">
        <v>102</v>
      </c>
      <c r="E1910" t="n">
        <v>140</v>
      </c>
      <c r="F1910" t="n">
        <v>0</v>
      </c>
      <c r="G1910">
        <f>SUMIF(PRISPELO!B:B, A1910, PRISPELO!G:G)</f>
        <v/>
      </c>
      <c r="H1910">
        <f>SUMIF(ODPIS!B:B, A1910, ODPIS!G:G)</f>
        <v/>
      </c>
      <c r="I1910" s="2">
        <f>F1910 + G1910 - H1910</f>
        <v/>
      </c>
    </row>
    <row r="1911">
      <c r="A1911" t="n">
        <v>3947</v>
      </c>
      <c r="B1911" t="inlineStr">
        <is>
          <t>ARENA IVORY ROUGH</t>
        </is>
      </c>
      <c r="C1911" t="n">
        <v>72</v>
      </c>
      <c r="D1911" t="n">
        <v>102</v>
      </c>
      <c r="E1911" t="n">
        <v>300</v>
      </c>
      <c r="F1911" t="n">
        <v>0</v>
      </c>
      <c r="G1911">
        <f>SUMIF(PRISPELO!B:B, A1911, PRISPELO!G:G)</f>
        <v/>
      </c>
      <c r="H1911">
        <f>SUMIF(ODPIS!B:B, A1911, ODPIS!G:G)</f>
        <v/>
      </c>
      <c r="I1911" s="2">
        <f>F1911 + G1911 - H1911</f>
        <v/>
      </c>
    </row>
    <row r="1912">
      <c r="A1912" t="n">
        <v>3948</v>
      </c>
      <c r="B1912" t="inlineStr">
        <is>
          <t>AMBER GRAPHIC</t>
        </is>
      </c>
      <c r="C1912" t="n">
        <v>70</v>
      </c>
      <c r="D1912" t="n">
        <v>100</v>
      </c>
      <c r="E1912" t="n">
        <v>60</v>
      </c>
      <c r="F1912" t="n">
        <v>0</v>
      </c>
      <c r="G1912">
        <f>SUMIF(PRISPELO!B:B, A1912, PRISPELO!G:G)</f>
        <v/>
      </c>
      <c r="H1912">
        <f>SUMIF(ODPIS!B:B, A1912, ODPIS!G:G)</f>
        <v/>
      </c>
      <c r="I1912" s="2">
        <f>F1912 + G1912 - H1912</f>
        <v/>
      </c>
    </row>
    <row r="1913">
      <c r="A1913" t="n">
        <v>3950</v>
      </c>
      <c r="B1913" t="inlineStr">
        <is>
          <t>MODLIGANI NEVE</t>
        </is>
      </c>
      <c r="C1913" t="n">
        <v>72</v>
      </c>
      <c r="D1913" t="n">
        <v>101</v>
      </c>
      <c r="E1913" t="n">
        <v>260</v>
      </c>
      <c r="F1913" t="n">
        <v>0</v>
      </c>
      <c r="G1913">
        <f>SUMIF(PRISPELO!B:B, A1913, PRISPELO!G:G)</f>
        <v/>
      </c>
      <c r="H1913">
        <f>SUMIF(ODPIS!B:B, A1913, ODPIS!G:G)</f>
        <v/>
      </c>
      <c r="I1913" s="2">
        <f>F1913 + G1913 - H1913</f>
        <v/>
      </c>
    </row>
    <row r="1914">
      <c r="A1914" t="n">
        <v>3951</v>
      </c>
      <c r="B1914" t="inlineStr">
        <is>
          <t>ROYALSET OFFSET</t>
        </is>
      </c>
      <c r="C1914" t="n">
        <v>70</v>
      </c>
      <c r="D1914" t="n">
        <v>100</v>
      </c>
      <c r="E1914" t="n">
        <v>250</v>
      </c>
      <c r="F1914" t="n">
        <v>0</v>
      </c>
      <c r="G1914">
        <f>SUMIF(PRISPELO!B:B, A1914, PRISPELO!G:G)</f>
        <v/>
      </c>
      <c r="H1914">
        <f>SUMIF(ODPIS!B:B, A1914, ODPIS!G:G)</f>
        <v/>
      </c>
      <c r="I1914" s="2">
        <f>F1914 + G1914 - H1914</f>
        <v/>
      </c>
    </row>
    <row r="1915">
      <c r="A1915" t="n">
        <v>3952</v>
      </c>
      <c r="B1915" t="inlineStr">
        <is>
          <t>MUNKEN POLAR</t>
        </is>
      </c>
      <c r="C1915" t="n">
        <v>72</v>
      </c>
      <c r="D1915" t="n">
        <v>102</v>
      </c>
      <c r="E1915" t="n">
        <v>300</v>
      </c>
      <c r="F1915" t="n">
        <v>0</v>
      </c>
      <c r="G1915">
        <f>SUMIF(PRISPELO!B:B, A1915, PRISPELO!G:G)</f>
        <v/>
      </c>
      <c r="H1915">
        <f>SUMIF(ODPIS!B:B, A1915, ODPIS!G:G)</f>
        <v/>
      </c>
      <c r="I1915" s="2">
        <f>F1915 + G1915 - H1915</f>
        <v/>
      </c>
    </row>
    <row r="1916">
      <c r="A1916" t="n">
        <v>3953</v>
      </c>
      <c r="B1916" t="inlineStr">
        <is>
          <t>NIVIS NEXT GLOSS</t>
        </is>
      </c>
      <c r="C1916" t="n">
        <v>70</v>
      </c>
      <c r="D1916" t="n">
        <v>100</v>
      </c>
      <c r="E1916" t="n">
        <v>90</v>
      </c>
      <c r="F1916" t="n">
        <v>0</v>
      </c>
      <c r="G1916">
        <f>SUMIF(PRISPELO!B:B, A1916, PRISPELO!G:G)</f>
        <v/>
      </c>
      <c r="H1916">
        <f>SUMIF(ODPIS!B:B, A1916, ODPIS!G:G)</f>
        <v/>
      </c>
      <c r="I1916" s="2">
        <f>F1916 + G1916 - H1916</f>
        <v/>
      </c>
    </row>
    <row r="1917">
      <c r="A1917" t="n">
        <v>3954</v>
      </c>
      <c r="B1917" t="inlineStr">
        <is>
          <t>PERGRAPHICA HW ROUGH</t>
        </is>
      </c>
      <c r="C1917" t="n">
        <v>102</v>
      </c>
      <c r="D1917" t="n">
        <v>72</v>
      </c>
      <c r="E1917" t="n">
        <v>300</v>
      </c>
      <c r="F1917" t="n">
        <v>0</v>
      </c>
      <c r="G1917">
        <f>SUMIF(PRISPELO!B:B, A1917, PRISPELO!G:G)</f>
        <v/>
      </c>
      <c r="H1917">
        <f>SUMIF(ODPIS!B:B, A1917, ODPIS!G:G)</f>
        <v/>
      </c>
      <c r="I1917" s="2">
        <f>F1917 + G1917 - H1917</f>
        <v/>
      </c>
    </row>
    <row r="1918">
      <c r="A1918" t="n">
        <v>3955</v>
      </c>
      <c r="B1918" t="inlineStr">
        <is>
          <t>PERIGORD MATT CONDAT</t>
        </is>
      </c>
      <c r="C1918" t="n">
        <v>90</v>
      </c>
      <c r="D1918" t="n">
        <v>64</v>
      </c>
      <c r="E1918" t="n">
        <v>130</v>
      </c>
      <c r="F1918" t="n">
        <v>0</v>
      </c>
      <c r="G1918">
        <f>SUMIF(PRISPELO!B:B, A1918, PRISPELO!G:G)</f>
        <v/>
      </c>
      <c r="H1918">
        <f>SUMIF(ODPIS!B:B, A1918, ODPIS!G:G)</f>
        <v/>
      </c>
      <c r="I1918" s="2">
        <f>F1918 + G1918 - H1918</f>
        <v/>
      </c>
    </row>
    <row r="1919">
      <c r="A1919" t="n">
        <v>3956</v>
      </c>
      <c r="B1919" t="inlineStr">
        <is>
          <t>RAINBOW MEDIUM YELLOW</t>
        </is>
      </c>
      <c r="C1919" t="n">
        <v>70</v>
      </c>
      <c r="D1919" t="n">
        <v>100</v>
      </c>
      <c r="E1919" t="n">
        <v>230</v>
      </c>
      <c r="F1919" t="n">
        <v>0</v>
      </c>
      <c r="G1919">
        <f>SUMIF(PRISPELO!B:B, A1919, PRISPELO!G:G)</f>
        <v/>
      </c>
      <c r="H1919">
        <f>SUMIF(ODPIS!B:B, A1919, ODPIS!G:G)</f>
        <v/>
      </c>
      <c r="I1919" s="2">
        <f>F1919 + G1919 - H1919</f>
        <v/>
      </c>
    </row>
    <row r="1920">
      <c r="A1920" t="n">
        <v>3957</v>
      </c>
      <c r="B1920" t="inlineStr">
        <is>
          <t>SYMBOL CARD</t>
        </is>
      </c>
      <c r="C1920" t="n">
        <v>72</v>
      </c>
      <c r="D1920" t="n">
        <v>100</v>
      </c>
      <c r="E1920" t="n">
        <v>300</v>
      </c>
      <c r="F1920" t="n">
        <v>0</v>
      </c>
      <c r="G1920">
        <f>SUMIF(PRISPELO!B:B, A1920, PRISPELO!G:G)</f>
        <v/>
      </c>
      <c r="H1920">
        <f>SUMIF(ODPIS!B:B, A1920, ODPIS!G:G)</f>
        <v/>
      </c>
      <c r="I1920" s="2">
        <f>F1920 + G1920 - H1920</f>
        <v/>
      </c>
    </row>
    <row r="1921">
      <c r="A1921" t="n">
        <v>3959</v>
      </c>
      <c r="B1921" t="inlineStr">
        <is>
          <t>EaglePlus</t>
        </is>
      </c>
      <c r="C1921" t="n">
        <v>72</v>
      </c>
      <c r="D1921" t="n">
        <v>102</v>
      </c>
      <c r="E1921" t="n">
        <v>300</v>
      </c>
      <c r="F1921" t="n">
        <v>0</v>
      </c>
      <c r="G1921">
        <f>SUMIF(PRISPELO!B:B, A1921, PRISPELO!G:G)</f>
        <v/>
      </c>
      <c r="H1921">
        <f>SUMIF(ODPIS!B:B, A1921, ODPIS!G:G)</f>
        <v/>
      </c>
      <c r="I1921" s="2">
        <f>F1921 + G1921 - H1921</f>
        <v/>
      </c>
    </row>
    <row r="1922">
      <c r="A1922" t="n">
        <v>3960</v>
      </c>
      <c r="B1922" t="inlineStr">
        <is>
          <t>PREMIUM VOLUME</t>
        </is>
      </c>
      <c r="C1922" t="n">
        <v>90</v>
      </c>
      <c r="D1922" t="n">
        <v>64</v>
      </c>
      <c r="E1922" t="n">
        <v>115</v>
      </c>
      <c r="F1922" t="n">
        <v>0</v>
      </c>
      <c r="G1922">
        <f>SUMIF(PRISPELO!B:B, A1922, PRISPELO!G:G)</f>
        <v/>
      </c>
      <c r="H1922">
        <f>SUMIF(ODPIS!B:B, A1922, ODPIS!G:G)</f>
        <v/>
      </c>
      <c r="I1922" s="2">
        <f>F1922 + G1922 - H1922</f>
        <v/>
      </c>
    </row>
    <row r="1923">
      <c r="A1923" t="n">
        <v>3961</v>
      </c>
      <c r="B1923" t="inlineStr">
        <is>
          <t>PHOENIX</t>
        </is>
      </c>
      <c r="C1923" t="n">
        <v>70</v>
      </c>
      <c r="D1923" t="n">
        <v>100</v>
      </c>
      <c r="E1923" t="n">
        <v>250</v>
      </c>
      <c r="F1923" t="n">
        <v>0</v>
      </c>
      <c r="G1923">
        <f>SUMIF(PRISPELO!B:B, A1923, PRISPELO!G:G)</f>
        <v/>
      </c>
      <c r="H1923">
        <f>SUMIF(ODPIS!B:B, A1923, ODPIS!G:G)</f>
        <v/>
      </c>
      <c r="I1923" s="2">
        <f>F1923 + G1923 - H1923</f>
        <v/>
      </c>
    </row>
    <row r="1924">
      <c r="A1924" t="n">
        <v>3962</v>
      </c>
      <c r="B1924" t="inlineStr">
        <is>
          <t>PHOENIX</t>
        </is>
      </c>
      <c r="C1924" t="n">
        <v>70</v>
      </c>
      <c r="D1924" t="n">
        <v>100</v>
      </c>
      <c r="E1924" t="n">
        <v>150</v>
      </c>
      <c r="F1924" t="n">
        <v>0</v>
      </c>
      <c r="G1924">
        <f>SUMIF(PRISPELO!B:B, A1924, PRISPELO!G:G)</f>
        <v/>
      </c>
      <c r="H1924">
        <f>SUMIF(ODPIS!B:B, A1924, ODPIS!G:G)</f>
        <v/>
      </c>
      <c r="I1924" s="2">
        <f>F1924 + G1924 - H1924</f>
        <v/>
      </c>
    </row>
    <row r="1925">
      <c r="A1925" t="n">
        <v>3963</v>
      </c>
      <c r="B1925" t="inlineStr">
        <is>
          <t>TARGET PLUS</t>
        </is>
      </c>
      <c r="C1925" t="n">
        <v>70</v>
      </c>
      <c r="D1925" t="n">
        <v>100</v>
      </c>
      <c r="E1925" t="n">
        <v>90</v>
      </c>
      <c r="F1925" t="n">
        <v>0</v>
      </c>
      <c r="G1925">
        <f>SUMIF(PRISPELO!B:B, A1925, PRISPELO!G:G)</f>
        <v/>
      </c>
      <c r="H1925">
        <f>SUMIF(ODPIS!B:B, A1925, ODPIS!G:G)</f>
        <v/>
      </c>
      <c r="I1925" s="2">
        <f>F1925 + G1925 - H1925</f>
        <v/>
      </c>
    </row>
    <row r="1926">
      <c r="A1926" t="n">
        <v>3964</v>
      </c>
      <c r="B1926" t="inlineStr">
        <is>
          <t>Garda matt</t>
        </is>
      </c>
      <c r="C1926" t="n">
        <v>102</v>
      </c>
      <c r="D1926" t="n">
        <v>72</v>
      </c>
      <c r="E1926" t="n">
        <v>150</v>
      </c>
      <c r="F1926" t="n">
        <v>0</v>
      </c>
      <c r="G1926">
        <f>SUMIF(PRISPELO!B:B, A1926, PRISPELO!G:G)</f>
        <v/>
      </c>
      <c r="H1926">
        <f>SUMIF(ODPIS!B:B, A1926, ODPIS!G:G)</f>
        <v/>
      </c>
      <c r="I1926" s="2">
        <f>F1926 + G1926 - H1926</f>
        <v/>
      </c>
    </row>
    <row r="1927">
      <c r="A1927" t="n">
        <v>3965</v>
      </c>
      <c r="B1927" t="inlineStr">
        <is>
          <t>Garda matt</t>
        </is>
      </c>
      <c r="C1927" t="n">
        <v>72</v>
      </c>
      <c r="D1927" t="n">
        <v>102</v>
      </c>
      <c r="E1927" t="n">
        <v>135</v>
      </c>
      <c r="F1927" t="n">
        <v>0</v>
      </c>
      <c r="G1927">
        <f>SUMIF(PRISPELO!B:B, A1927, PRISPELO!G:G)</f>
        <v/>
      </c>
      <c r="H1927">
        <f>SUMIF(ODPIS!B:B, A1927, ODPIS!G:G)</f>
        <v/>
      </c>
      <c r="I1927" s="2">
        <f>F1927 + G1927 - H1927</f>
        <v/>
      </c>
    </row>
    <row r="1928">
      <c r="A1928" t="n">
        <v>3966</v>
      </c>
      <c r="B1928" t="inlineStr">
        <is>
          <t>NEVIA GLOSS</t>
        </is>
      </c>
      <c r="C1928" t="n">
        <v>90</v>
      </c>
      <c r="D1928" t="n">
        <v>64</v>
      </c>
      <c r="E1928" t="n">
        <v>150</v>
      </c>
      <c r="F1928" t="n">
        <v>0</v>
      </c>
      <c r="G1928">
        <f>SUMIF(PRISPELO!B:B, A1928, PRISPELO!G:G)</f>
        <v/>
      </c>
      <c r="H1928">
        <f>SUMIF(ODPIS!B:B, A1928, ODPIS!G:G)</f>
        <v/>
      </c>
      <c r="I1928" s="2">
        <f>F1928 + G1928 - H1928</f>
        <v/>
      </c>
    </row>
    <row r="1929">
      <c r="A1929" t="n">
        <v>3967</v>
      </c>
      <c r="B1929" t="inlineStr">
        <is>
          <t>AMBER PREPRINT OCR</t>
        </is>
      </c>
      <c r="C1929" t="n">
        <v>45</v>
      </c>
      <c r="D1929" t="n">
        <v>64</v>
      </c>
      <c r="E1929" t="n">
        <v>80</v>
      </c>
      <c r="F1929" t="n">
        <v>0</v>
      </c>
      <c r="G1929">
        <f>SUMIF(PRISPELO!B:B, A1929, PRISPELO!G:G)</f>
        <v/>
      </c>
      <c r="H1929">
        <f>SUMIF(ODPIS!B:B, A1929, ODPIS!G:G)</f>
        <v/>
      </c>
      <c r="I1929" s="2">
        <f>F1929 + G1929 - H1929</f>
        <v/>
      </c>
    </row>
    <row r="1930">
      <c r="A1930" t="n">
        <v>3968</v>
      </c>
      <c r="B1930" t="inlineStr">
        <is>
          <t>PREFORMA WHITE</t>
        </is>
      </c>
      <c r="C1930" t="n">
        <v>70</v>
      </c>
      <c r="D1930" t="n">
        <v>100</v>
      </c>
      <c r="E1930" t="n">
        <v>260</v>
      </c>
      <c r="F1930" t="n">
        <v>0</v>
      </c>
      <c r="G1930">
        <f>SUMIF(PRISPELO!B:B, A1930, PRISPELO!G:G)</f>
        <v/>
      </c>
      <c r="H1930">
        <f>SUMIF(ODPIS!B:B, A1930, ODPIS!G:G)</f>
        <v/>
      </c>
      <c r="I1930" s="2">
        <f>F1930 + G1930 - H1930</f>
        <v/>
      </c>
    </row>
    <row r="1931">
      <c r="A1931" t="n">
        <v>3969</v>
      </c>
      <c r="B1931" t="inlineStr">
        <is>
          <t>ROYALSET OFFSET</t>
        </is>
      </c>
      <c r="C1931" t="n">
        <v>70</v>
      </c>
      <c r="D1931" t="n">
        <v>100</v>
      </c>
      <c r="E1931" t="n">
        <v>120</v>
      </c>
      <c r="F1931" t="n">
        <v>0</v>
      </c>
      <c r="G1931">
        <f>SUMIF(PRISPELO!B:B, A1931, PRISPELO!G:G)</f>
        <v/>
      </c>
      <c r="H1931">
        <f>SUMIF(ODPIS!B:B, A1931, ODPIS!G:G)</f>
        <v/>
      </c>
      <c r="I1931" s="2">
        <f>F1931 + G1931 - H1931</f>
        <v/>
      </c>
    </row>
    <row r="1932">
      <c r="A1932" t="n">
        <v>3970</v>
      </c>
      <c r="B1932" t="inlineStr">
        <is>
          <t>EaglePlus</t>
        </is>
      </c>
      <c r="C1932" t="n">
        <v>72</v>
      </c>
      <c r="D1932" t="n">
        <v>102</v>
      </c>
      <c r="E1932" t="n">
        <v>270</v>
      </c>
      <c r="F1932" t="n">
        <v>0</v>
      </c>
      <c r="G1932">
        <f>SUMIF(PRISPELO!B:B, A1932, PRISPELO!G:G)</f>
        <v/>
      </c>
      <c r="H1932">
        <f>SUMIF(ODPIS!B:B, A1932, ODPIS!G:G)</f>
        <v/>
      </c>
      <c r="I1932" s="2">
        <f>F1932 + G1932 - H1932</f>
        <v/>
      </c>
    </row>
    <row r="1933">
      <c r="A1933" t="n">
        <v>3971</v>
      </c>
      <c r="B1933" t="inlineStr">
        <is>
          <t>Fedrigoni SYMBOL CARD POT!</t>
        </is>
      </c>
      <c r="C1933" t="n">
        <v>72</v>
      </c>
      <c r="D1933" t="n">
        <v>102</v>
      </c>
      <c r="E1933" t="n">
        <v>240</v>
      </c>
      <c r="F1933" t="n">
        <v>0</v>
      </c>
      <c r="G1933">
        <f>SUMIF(PRISPELO!B:B, A1933, PRISPELO!G:G)</f>
        <v/>
      </c>
      <c r="H1933">
        <f>SUMIF(ODPIS!B:B, A1933, ODPIS!G:G)</f>
        <v/>
      </c>
      <c r="I1933" s="2">
        <f>F1933 + G1933 - H1933</f>
        <v/>
      </c>
    </row>
    <row r="1934">
      <c r="A1934" t="n">
        <v>3972</v>
      </c>
      <c r="B1934" t="inlineStr">
        <is>
          <t>EaglePlus GC1 HIGH BULK</t>
        </is>
      </c>
      <c r="C1934" t="n">
        <v>52</v>
      </c>
      <c r="D1934" t="n">
        <v>72</v>
      </c>
      <c r="E1934" t="n">
        <v>235</v>
      </c>
      <c r="F1934" t="n">
        <v>0</v>
      </c>
      <c r="G1934">
        <f>SUMIF(PRISPELO!B:B, A1934, PRISPELO!G:G)</f>
        <v/>
      </c>
      <c r="H1934">
        <f>SUMIF(ODPIS!B:B, A1934, ODPIS!G:G)</f>
        <v/>
      </c>
      <c r="I1934" s="2">
        <f>F1934 + G1934 - H1934</f>
        <v/>
      </c>
    </row>
    <row r="1935">
      <c r="A1935" t="n">
        <v>3973</v>
      </c>
      <c r="B1935" t="inlineStr">
        <is>
          <t>REMAKE OYSTER</t>
        </is>
      </c>
      <c r="C1935" t="n">
        <v>71</v>
      </c>
      <c r="D1935" t="n">
        <v>101</v>
      </c>
      <c r="E1935" t="n">
        <v>250</v>
      </c>
      <c r="F1935" t="n">
        <v>0</v>
      </c>
      <c r="G1935">
        <f>SUMIF(PRISPELO!B:B, A1935, PRISPELO!G:G)</f>
        <v/>
      </c>
      <c r="H1935">
        <f>SUMIF(ODPIS!B:B, A1935, ODPIS!G:G)</f>
        <v/>
      </c>
      <c r="I1935" s="2">
        <f>F1935 + G1935 - H1935</f>
        <v/>
      </c>
    </row>
    <row r="1936">
      <c r="A1936" t="n">
        <v>3974</v>
      </c>
      <c r="B1936" t="inlineStr">
        <is>
          <t>PERIGORD MATT 1,1</t>
        </is>
      </c>
      <c r="C1936" t="n">
        <v>45</v>
      </c>
      <c r="D1936" t="n">
        <v>64</v>
      </c>
      <c r="E1936" t="n">
        <v>170</v>
      </c>
      <c r="F1936" t="n">
        <v>0</v>
      </c>
      <c r="G1936">
        <f>SUMIF(PRISPELO!B:B, A1936, PRISPELO!G:G)</f>
        <v/>
      </c>
      <c r="H1936">
        <f>SUMIF(ODPIS!B:B, A1936, ODPIS!G:G)</f>
        <v/>
      </c>
      <c r="I1936" s="2">
        <f>F1936 + G1936 - H1936</f>
        <v/>
      </c>
    </row>
    <row r="1937">
      <c r="A1937" t="n">
        <v>3976</v>
      </c>
      <c r="B1937" t="inlineStr">
        <is>
          <t>IQ print</t>
        </is>
      </c>
      <c r="C1937" t="n">
        <v>45</v>
      </c>
      <c r="D1937" t="n">
        <v>64</v>
      </c>
      <c r="E1937" t="n">
        <v>120</v>
      </c>
      <c r="F1937" t="n">
        <v>0</v>
      </c>
      <c r="G1937">
        <f>SUMIF(PRISPELO!B:B, A1937, PRISPELO!G:G)</f>
        <v/>
      </c>
      <c r="H1937">
        <f>SUMIF(ODPIS!B:B, A1937, ODPIS!G:G)</f>
        <v/>
      </c>
      <c r="I1937" s="2">
        <f>F1937 + G1937 - H1937</f>
        <v/>
      </c>
    </row>
    <row r="1938">
      <c r="A1938" t="n">
        <v>3977</v>
      </c>
      <c r="B1938" t="inlineStr">
        <is>
          <t>IQ premium preeprint</t>
        </is>
      </c>
      <c r="C1938" t="n">
        <v>90</v>
      </c>
      <c r="D1938" t="n">
        <v>64</v>
      </c>
      <c r="E1938" t="n">
        <v>120</v>
      </c>
      <c r="F1938" t="n">
        <v>0</v>
      </c>
      <c r="G1938">
        <f>SUMIF(PRISPELO!B:B, A1938, PRISPELO!G:G)</f>
        <v/>
      </c>
      <c r="H1938">
        <f>SUMIF(ODPIS!B:B, A1938, ODPIS!G:G)</f>
        <v/>
      </c>
      <c r="I1938" s="2">
        <f>F1938 + G1938 - H1938</f>
        <v/>
      </c>
    </row>
    <row r="1939">
      <c r="A1939" t="n">
        <v>3978</v>
      </c>
      <c r="B1939" t="inlineStr">
        <is>
          <t>EAGLE Plus high bulk</t>
        </is>
      </c>
      <c r="C1939" t="n">
        <v>102</v>
      </c>
      <c r="D1939" t="n">
        <v>72</v>
      </c>
      <c r="E1939" t="n">
        <v>325</v>
      </c>
      <c r="F1939" t="n">
        <v>0</v>
      </c>
      <c r="G1939">
        <f>SUMIF(PRISPELO!B:B, A1939, PRISPELO!G:G)</f>
        <v/>
      </c>
      <c r="H1939">
        <f>SUMIF(ODPIS!B:B, A1939, ODPIS!G:G)</f>
        <v/>
      </c>
      <c r="I1939" s="2">
        <f>F1939 + G1939 - H1939</f>
        <v/>
      </c>
    </row>
    <row r="1940">
      <c r="A1940" t="n">
        <v>3980</v>
      </c>
      <c r="B1940" t="inlineStr">
        <is>
          <t>kuverta Olin REGULAR absolute W.BO</t>
        </is>
      </c>
      <c r="C1940" t="n">
        <v>229</v>
      </c>
      <c r="D1940" t="n">
        <v>324</v>
      </c>
      <c r="E1940" t="n">
        <v>120</v>
      </c>
      <c r="F1940" t="n">
        <v>0</v>
      </c>
      <c r="G1940">
        <f>SUMIF(PRISPELO!B:B, A1940, PRISPELO!G:G)</f>
        <v/>
      </c>
      <c r="H1940">
        <f>SUMIF(ODPIS!B:B, A1940, ODPIS!G:G)</f>
        <v/>
      </c>
      <c r="I1940" s="2">
        <f>F1940 + G1940 - H1940</f>
        <v/>
      </c>
    </row>
    <row r="1941">
      <c r="A1941" t="n">
        <v>3981</v>
      </c>
      <c r="B1941" t="inlineStr">
        <is>
          <t>ZENITH BULK</t>
        </is>
      </c>
      <c r="C1941" t="n">
        <v>74</v>
      </c>
      <c r="D1941" t="n">
        <v>104</v>
      </c>
      <c r="E1941" t="n">
        <v>215</v>
      </c>
      <c r="F1941" t="n">
        <v>0</v>
      </c>
      <c r="G1941">
        <f>SUMIF(PRISPELO!B:B, A1941, PRISPELO!G:G)</f>
        <v/>
      </c>
      <c r="H1941">
        <f>SUMIF(ODPIS!B:B, A1941, ODPIS!G:G)</f>
        <v/>
      </c>
      <c r="I1941" s="2">
        <f>F1941 + G1941 - H1941</f>
        <v/>
      </c>
    </row>
    <row r="1942">
      <c r="A1942" t="n">
        <v>3982</v>
      </c>
      <c r="B1942" t="inlineStr">
        <is>
          <t>IQ PRINT</t>
        </is>
      </c>
      <c r="C1942" t="n">
        <v>44.8</v>
      </c>
      <c r="D1942" t="n">
        <v>31.8</v>
      </c>
      <c r="E1942" t="n">
        <v>80</v>
      </c>
      <c r="F1942" t="n">
        <v>0</v>
      </c>
      <c r="G1942">
        <f>SUMIF(PRISPELO!B:B, A1942, PRISPELO!G:G)</f>
        <v/>
      </c>
      <c r="H1942">
        <f>SUMIF(ODPIS!B:B, A1942, ODPIS!G:G)</f>
        <v/>
      </c>
      <c r="I1942" s="2">
        <f>F1942 + G1942 - H1942</f>
        <v/>
      </c>
    </row>
    <row r="1943">
      <c r="A1943" t="n">
        <v>3983</v>
      </c>
      <c r="B1943" t="inlineStr">
        <is>
          <t>Nivis next MATT</t>
        </is>
      </c>
      <c r="C1943" t="n">
        <v>49.8</v>
      </c>
      <c r="D1943" t="n">
        <v>44.8</v>
      </c>
      <c r="E1943" t="n">
        <v>300</v>
      </c>
      <c r="F1943" t="n">
        <v>0</v>
      </c>
      <c r="G1943">
        <f>SUMIF(PRISPELO!B:B, A1943, PRISPELO!G:G)</f>
        <v/>
      </c>
      <c r="H1943">
        <f>SUMIF(ODPIS!B:B, A1943, ODPIS!G:G)</f>
        <v/>
      </c>
      <c r="I1943" s="2">
        <f>F1943 + G1943 - H1943</f>
        <v/>
      </c>
    </row>
    <row r="1944">
      <c r="A1944" t="n">
        <v>3984</v>
      </c>
      <c r="B1944" t="inlineStr">
        <is>
          <t>GRAFOPAK</t>
        </is>
      </c>
      <c r="C1944" t="n">
        <v>100</v>
      </c>
      <c r="D1944" t="n">
        <v>70</v>
      </c>
      <c r="E1944" t="n">
        <v>400</v>
      </c>
      <c r="F1944" t="n">
        <v>0</v>
      </c>
      <c r="G1944">
        <f>SUMIF(PRISPELO!B:B, A1944, PRISPELO!G:G)</f>
        <v/>
      </c>
      <c r="H1944">
        <f>SUMIF(ODPIS!B:B, A1944, ODPIS!G:G)</f>
        <v/>
      </c>
      <c r="I1944" s="2">
        <f>F1944 + G1944 - H1944</f>
        <v/>
      </c>
    </row>
    <row r="1945">
      <c r="A1945" t="n">
        <v>3985</v>
      </c>
      <c r="B1945" t="inlineStr">
        <is>
          <t>Multicolor BELVEDERE</t>
        </is>
      </c>
      <c r="C1945" t="n">
        <v>100</v>
      </c>
      <c r="D1945" t="n">
        <v>70</v>
      </c>
      <c r="E1945" t="n">
        <v>250</v>
      </c>
      <c r="F1945" t="n">
        <v>0</v>
      </c>
      <c r="G1945">
        <f>SUMIF(PRISPELO!B:B, A1945, PRISPELO!G:G)</f>
        <v/>
      </c>
      <c r="H1945">
        <f>SUMIF(ODPIS!B:B, A1945, ODPIS!G:G)</f>
        <v/>
      </c>
      <c r="I1945" s="2">
        <f>F1945 + G1945 - H1945</f>
        <v/>
      </c>
    </row>
    <row r="1946">
      <c r="A1946" t="n">
        <v>3986</v>
      </c>
      <c r="B1946" t="inlineStr">
        <is>
          <t>Perigord MATT</t>
        </is>
      </c>
      <c r="C1946" t="n">
        <v>63</v>
      </c>
      <c r="D1946" t="n">
        <v>52</v>
      </c>
      <c r="E1946" t="n">
        <v>170</v>
      </c>
      <c r="F1946" t="n">
        <v>0</v>
      </c>
      <c r="G1946">
        <f>SUMIF(PRISPELO!B:B, A1946, PRISPELO!G:G)</f>
        <v/>
      </c>
      <c r="H1946">
        <f>SUMIF(ODPIS!B:B, A1946, ODPIS!G:G)</f>
        <v/>
      </c>
      <c r="I1946" s="2">
        <f>F1946 + G1946 - H1946</f>
        <v/>
      </c>
    </row>
    <row r="1947">
      <c r="A1947" t="n">
        <v>3987</v>
      </c>
      <c r="B1947" t="inlineStr">
        <is>
          <t>NIVIS NEXT MAT</t>
        </is>
      </c>
      <c r="C1947" t="n">
        <v>45</v>
      </c>
      <c r="D1947" t="n">
        <v>64</v>
      </c>
      <c r="E1947" t="n">
        <v>350</v>
      </c>
      <c r="F1947" t="n">
        <v>0</v>
      </c>
      <c r="G1947">
        <f>SUMIF(PRISPELO!B:B, A1947, PRISPELO!G:G)</f>
        <v/>
      </c>
      <c r="H1947">
        <f>SUMIF(ODPIS!B:B, A1947, ODPIS!G:G)</f>
        <v/>
      </c>
      <c r="I1947" s="2">
        <f>F1947 + G1947 - H1947</f>
        <v/>
      </c>
    </row>
    <row r="1948">
      <c r="A1948" t="n">
        <v>3988</v>
      </c>
      <c r="B1948" t="inlineStr">
        <is>
          <t>Samolepilni ITALSTIC white</t>
        </is>
      </c>
      <c r="C1948" t="n">
        <v>50</v>
      </c>
      <c r="D1948" t="n">
        <v>70</v>
      </c>
      <c r="E1948" t="n">
        <v>80</v>
      </c>
      <c r="F1948" t="n">
        <v>0</v>
      </c>
      <c r="G1948">
        <f>SUMIF(PRISPELO!B:B, A1948, PRISPELO!G:G)</f>
        <v/>
      </c>
      <c r="H1948">
        <f>SUMIF(ODPIS!B:B, A1948, ODPIS!G:G)</f>
        <v/>
      </c>
      <c r="I1948" s="2">
        <f>F1948 + G1948 - H1948</f>
        <v/>
      </c>
    </row>
    <row r="1949">
      <c r="A1949" t="n">
        <v>3989</v>
      </c>
      <c r="B1949" t="inlineStr">
        <is>
          <t>Royalcoat premium gloss</t>
        </is>
      </c>
      <c r="C1949" t="n">
        <v>70</v>
      </c>
      <c r="D1949" t="n">
        <v>100</v>
      </c>
      <c r="E1949" t="n">
        <v>90</v>
      </c>
      <c r="F1949" t="n">
        <v>0</v>
      </c>
      <c r="G1949">
        <f>SUMIF(PRISPELO!B:B, A1949, PRISPELO!G:G)</f>
        <v/>
      </c>
      <c r="H1949">
        <f>SUMIF(ODPIS!B:B, A1949, ODPIS!G:G)</f>
        <v/>
      </c>
      <c r="I1949" s="2">
        <f>F1949 + G1949 - H1949</f>
        <v/>
      </c>
    </row>
    <row r="1950">
      <c r="A1950" t="n">
        <v>3990</v>
      </c>
      <c r="B1950" t="inlineStr">
        <is>
          <t>ROYALCOAT PREMIUM SILK</t>
        </is>
      </c>
      <c r="C1950" t="n">
        <v>100</v>
      </c>
      <c r="D1950" t="n">
        <v>70</v>
      </c>
      <c r="E1950" t="n">
        <v>90</v>
      </c>
      <c r="F1950" t="n">
        <v>0</v>
      </c>
      <c r="G1950">
        <f>SUMIF(PRISPELO!B:B, A1950, PRISPELO!G:G)</f>
        <v/>
      </c>
      <c r="H1950">
        <f>SUMIF(ODPIS!B:B, A1950, ODPIS!G:G)</f>
        <v/>
      </c>
      <c r="I1950" s="2">
        <f>F1950 + G1950 - H1950</f>
        <v/>
      </c>
    </row>
    <row r="1951">
      <c r="A1951" t="n">
        <v>3991</v>
      </c>
      <c r="B1951" t="inlineStr">
        <is>
          <t>GALERIE ART SILK</t>
        </is>
      </c>
      <c r="C1951" t="n">
        <v>69.8</v>
      </c>
      <c r="D1951" t="n">
        <v>33.2</v>
      </c>
      <c r="E1951" t="n">
        <v>115</v>
      </c>
      <c r="F1951" t="n">
        <v>0</v>
      </c>
      <c r="G1951">
        <f>SUMIF(PRISPELO!B:B, A1951, PRISPELO!G:G)</f>
        <v/>
      </c>
      <c r="H1951">
        <f>SUMIF(ODPIS!B:B, A1951, ODPIS!G:G)</f>
        <v/>
      </c>
      <c r="I1951" s="2">
        <f>F1951 + G1951 - H1951</f>
        <v/>
      </c>
    </row>
    <row r="1952">
      <c r="A1952" t="n">
        <v>3992</v>
      </c>
      <c r="B1952" t="inlineStr">
        <is>
          <t>Glamur SILVER</t>
        </is>
      </c>
      <c r="C1952" t="n">
        <v>72</v>
      </c>
      <c r="D1952" t="n">
        <v>102</v>
      </c>
      <c r="E1952" t="n">
        <v>290</v>
      </c>
      <c r="F1952" t="n">
        <v>0</v>
      </c>
      <c r="G1952">
        <f>SUMIF(PRISPELO!B:B, A1952, PRISPELO!G:G)</f>
        <v/>
      </c>
      <c r="H1952">
        <f>SUMIF(ODPIS!B:B, A1952, ODPIS!G:G)</f>
        <v/>
      </c>
      <c r="I1952" s="2">
        <f>F1952 + G1952 - H1952</f>
        <v/>
      </c>
    </row>
    <row r="1953">
      <c r="A1953" t="n">
        <v>3993</v>
      </c>
      <c r="B1953" t="inlineStr">
        <is>
          <t>Royal NEXT MAT</t>
        </is>
      </c>
      <c r="C1953" t="n">
        <v>90</v>
      </c>
      <c r="D1953" t="n">
        <v>64</v>
      </c>
      <c r="E1953" t="n">
        <v>130</v>
      </c>
      <c r="F1953" t="n">
        <v>0</v>
      </c>
      <c r="G1953">
        <f>SUMIF(PRISPELO!B:B, A1953, PRISPELO!G:G)</f>
        <v/>
      </c>
      <c r="H1953">
        <f>SUMIF(ODPIS!B:B, A1953, ODPIS!G:G)</f>
        <v/>
      </c>
      <c r="I1953" s="2">
        <f>F1953 + G1953 - H1953</f>
        <v/>
      </c>
    </row>
    <row r="1954">
      <c r="A1954" t="n">
        <v>3994</v>
      </c>
      <c r="B1954" t="inlineStr">
        <is>
          <t>ROYAL NEXT MATT</t>
        </is>
      </c>
      <c r="C1954" t="n">
        <v>70</v>
      </c>
      <c r="D1954" t="n">
        <v>100</v>
      </c>
      <c r="E1954" t="n">
        <v>200</v>
      </c>
      <c r="F1954" t="n">
        <v>0</v>
      </c>
      <c r="G1954">
        <f>SUMIF(PRISPELO!B:B, A1954, PRISPELO!G:G)</f>
        <v/>
      </c>
      <c r="H1954">
        <f>SUMIF(ODPIS!B:B, A1954, ODPIS!G:G)</f>
        <v/>
      </c>
      <c r="I1954" s="2">
        <f>F1954 + G1954 - H1954</f>
        <v/>
      </c>
    </row>
    <row r="1955">
      <c r="A1955" t="n">
        <v>3996</v>
      </c>
      <c r="B1955" t="inlineStr">
        <is>
          <t>Symbol MAT PLUS</t>
        </is>
      </c>
      <c r="C1955" t="n">
        <v>72</v>
      </c>
      <c r="D1955" t="n">
        <v>102</v>
      </c>
      <c r="E1955" t="n">
        <v>130</v>
      </c>
      <c r="F1955" t="n">
        <v>0</v>
      </c>
      <c r="G1955">
        <f>SUMIF(PRISPELO!B:B, A1955, PRISPELO!G:G)</f>
        <v/>
      </c>
      <c r="H1955">
        <f>SUMIF(ODPIS!B:B, A1955, ODPIS!G:G)</f>
        <v/>
      </c>
      <c r="I1955" s="2">
        <f>F1955 + G1955 - H1955</f>
        <v/>
      </c>
    </row>
    <row r="1956">
      <c r="A1956" t="n">
        <v>3997</v>
      </c>
      <c r="B1956" t="inlineStr">
        <is>
          <t>Galerie Art Volume</t>
        </is>
      </c>
      <c r="C1956" t="n">
        <v>90</v>
      </c>
      <c r="D1956" t="n">
        <v>64</v>
      </c>
      <c r="E1956" t="n">
        <v>130</v>
      </c>
      <c r="F1956" t="n">
        <v>0</v>
      </c>
      <c r="G1956">
        <f>SUMIF(PRISPELO!B:B, A1956, PRISPELO!G:G)</f>
        <v/>
      </c>
      <c r="H1956">
        <f>SUMIF(ODPIS!B:B, A1956, ODPIS!G:G)</f>
        <v/>
      </c>
      <c r="I1956" s="2">
        <f>F1956 + G1956 - H1956</f>
        <v/>
      </c>
    </row>
    <row r="1957">
      <c r="A1957" t="n">
        <v>3998</v>
      </c>
      <c r="B1957" t="inlineStr">
        <is>
          <t>SORA PRESS</t>
        </is>
      </c>
      <c r="C1957" t="n">
        <v>70</v>
      </c>
      <c r="D1957" t="n">
        <v>100</v>
      </c>
      <c r="E1957" t="n">
        <v>70</v>
      </c>
      <c r="F1957" t="n">
        <v>0</v>
      </c>
      <c r="G1957">
        <f>SUMIF(PRISPELO!B:B, A1957, PRISPELO!G:G)</f>
        <v/>
      </c>
      <c r="H1957">
        <f>SUMIF(ODPIS!B:B, A1957, ODPIS!G:G)</f>
        <v/>
      </c>
      <c r="I1957" s="2">
        <f>F1957 + G1957 - H1957</f>
        <v/>
      </c>
    </row>
    <row r="1958">
      <c r="A1958" t="n">
        <v>4001</v>
      </c>
      <c r="B1958" t="inlineStr">
        <is>
          <t>GARDA CARD DUO</t>
        </is>
      </c>
      <c r="C1958" t="n">
        <v>72</v>
      </c>
      <c r="D1958" t="n">
        <v>102</v>
      </c>
      <c r="E1958" t="n">
        <v>300</v>
      </c>
      <c r="F1958" t="n">
        <v>0</v>
      </c>
      <c r="G1958">
        <f>SUMIF(PRISPELO!B:B, A1958, PRISPELO!G:G)</f>
        <v/>
      </c>
      <c r="H1958">
        <f>SUMIF(ODPIS!B:B, A1958, ODPIS!G:G)</f>
        <v/>
      </c>
      <c r="I1958" s="2">
        <f>F1958 + G1958 - H1958</f>
        <v/>
      </c>
    </row>
    <row r="1959">
      <c r="A1959" t="n">
        <v>4002</v>
      </c>
      <c r="B1959" t="inlineStr">
        <is>
          <t>ZENITH</t>
        </is>
      </c>
      <c r="C1959" t="n">
        <v>102</v>
      </c>
      <c r="D1959" t="n">
        <v>72</v>
      </c>
      <c r="E1959" t="n">
        <v>350</v>
      </c>
      <c r="F1959" t="n">
        <v>0</v>
      </c>
      <c r="G1959">
        <f>SUMIF(PRISPELO!B:B, A1959, PRISPELO!G:G)</f>
        <v/>
      </c>
      <c r="H1959">
        <f>SUMIF(ODPIS!B:B, A1959, ODPIS!G:G)</f>
        <v/>
      </c>
      <c r="I1959" s="2">
        <f>F1959 + G1959 - H1959</f>
        <v/>
      </c>
    </row>
    <row r="1960">
      <c r="A1960" t="n">
        <v>4003</v>
      </c>
      <c r="B1960" t="inlineStr">
        <is>
          <t>IQ print</t>
        </is>
      </c>
      <c r="C1960" t="n">
        <v>44.8</v>
      </c>
      <c r="D1960" t="n">
        <v>31.8</v>
      </c>
      <c r="E1960" t="n">
        <v>170</v>
      </c>
      <c r="F1960" t="n">
        <v>0</v>
      </c>
      <c r="G1960">
        <f>SUMIF(PRISPELO!B:B, A1960, PRISPELO!G:G)</f>
        <v/>
      </c>
      <c r="H1960">
        <f>SUMIF(ODPIS!B:B, A1960, ODPIS!G:G)</f>
        <v/>
      </c>
      <c r="I1960" s="2">
        <f>F1960 + G1960 - H1960</f>
        <v/>
      </c>
    </row>
    <row r="1961">
      <c r="A1961" t="n">
        <v>4004</v>
      </c>
      <c r="B1961" t="inlineStr">
        <is>
          <t>CHROMOSTAR</t>
        </is>
      </c>
      <c r="C1961" t="n">
        <v>72</v>
      </c>
      <c r="D1961" t="n">
        <v>102</v>
      </c>
      <c r="E1961" t="n">
        <v>235</v>
      </c>
      <c r="F1961" t="n">
        <v>0</v>
      </c>
      <c r="G1961">
        <f>SUMIF(PRISPELO!B:B, A1961, PRISPELO!G:G)</f>
        <v/>
      </c>
      <c r="H1961">
        <f>SUMIF(ODPIS!B:B, A1961, ODPIS!G:G)</f>
        <v/>
      </c>
      <c r="I1961" s="2">
        <f>F1961 + G1961 - H1961</f>
        <v/>
      </c>
    </row>
    <row r="1962">
      <c r="A1962" t="n">
        <v>4005</v>
      </c>
      <c r="B1962" t="inlineStr">
        <is>
          <t>Royalcoat premium silk</t>
        </is>
      </c>
      <c r="C1962" t="n">
        <v>70</v>
      </c>
      <c r="D1962" t="n">
        <v>100</v>
      </c>
      <c r="E1962" t="n">
        <v>200</v>
      </c>
      <c r="F1962" t="n">
        <v>0</v>
      </c>
      <c r="G1962">
        <f>SUMIF(PRISPELO!B:B, A1962, PRISPELO!G:G)</f>
        <v/>
      </c>
      <c r="H1962">
        <f>SUMIF(ODPIS!B:B, A1962, ODPIS!G:G)</f>
        <v/>
      </c>
      <c r="I1962" s="2">
        <f>F1962 + G1962 - H1962</f>
        <v/>
      </c>
    </row>
    <row r="1963">
      <c r="A1963" t="n">
        <v>4006</v>
      </c>
      <c r="B1963" t="inlineStr">
        <is>
          <t>ALGRO DEISGN DUO</t>
        </is>
      </c>
      <c r="C1963" t="n">
        <v>102</v>
      </c>
      <c r="D1963" t="n">
        <v>72</v>
      </c>
      <c r="E1963" t="n">
        <v>250</v>
      </c>
      <c r="F1963" t="n">
        <v>0</v>
      </c>
      <c r="G1963">
        <f>SUMIF(PRISPELO!B:B, A1963, PRISPELO!G:G)</f>
        <v/>
      </c>
      <c r="H1963">
        <f>SUMIF(ODPIS!B:B, A1963, ODPIS!G:G)</f>
        <v/>
      </c>
      <c r="I1963" s="2">
        <f>F1963 + G1963 - H1963</f>
        <v/>
      </c>
    </row>
    <row r="1964">
      <c r="A1964" t="n">
        <v>4008</v>
      </c>
      <c r="B1964" t="inlineStr">
        <is>
          <t>SORA matt</t>
        </is>
      </c>
      <c r="C1964" t="n">
        <v>100</v>
      </c>
      <c r="D1964" t="n">
        <v>70</v>
      </c>
      <c r="E1964" t="n">
        <v>80</v>
      </c>
      <c r="F1964" t="n">
        <v>0</v>
      </c>
      <c r="G1964">
        <f>SUMIF(PRISPELO!B:B, A1964, PRISPELO!G:G)</f>
        <v/>
      </c>
      <c r="H1964">
        <f>SUMIF(ODPIS!B:B, A1964, ODPIS!G:G)</f>
        <v/>
      </c>
      <c r="I1964" s="2">
        <f>F1964 + G1964 - H1964</f>
        <v/>
      </c>
    </row>
    <row r="1965">
      <c r="A1965" t="n">
        <v>4009</v>
      </c>
      <c r="B1965" t="inlineStr">
        <is>
          <t>ROYAL NEXT MATT</t>
        </is>
      </c>
      <c r="C1965" t="n">
        <v>100</v>
      </c>
      <c r="D1965" t="n">
        <v>70</v>
      </c>
      <c r="E1965" t="n">
        <v>170</v>
      </c>
      <c r="F1965" t="n">
        <v>0</v>
      </c>
      <c r="G1965">
        <f>SUMIF(PRISPELO!B:B, A1965, PRISPELO!G:G)</f>
        <v/>
      </c>
      <c r="H1965">
        <f>SUMIF(ODPIS!B:B, A1965, ODPIS!G:G)</f>
        <v/>
      </c>
      <c r="I1965" s="2">
        <f>F1965 + G1965 - H1965</f>
        <v/>
      </c>
    </row>
    <row r="1966">
      <c r="A1966" t="n">
        <v>4010</v>
      </c>
      <c r="B1966" t="inlineStr">
        <is>
          <t>SORA PRESS</t>
        </is>
      </c>
      <c r="C1966" t="n">
        <v>64</v>
      </c>
      <c r="D1966" t="n">
        <v>90</v>
      </c>
      <c r="E1966" t="n">
        <v>70</v>
      </c>
      <c r="F1966" t="n">
        <v>0</v>
      </c>
      <c r="G1966">
        <f>SUMIF(PRISPELO!B:B, A1966, PRISPELO!G:G)</f>
        <v/>
      </c>
      <c r="H1966">
        <f>SUMIF(ODPIS!B:B, A1966, ODPIS!G:G)</f>
        <v/>
      </c>
      <c r="I1966" s="2">
        <f>F1966 + G1966 - H1966</f>
        <v/>
      </c>
    </row>
    <row r="1967">
      <c r="A1967" t="n">
        <v>4011</v>
      </c>
      <c r="B1967" t="inlineStr">
        <is>
          <t>ROYAL NEXT MATT</t>
        </is>
      </c>
      <c r="C1967" t="n">
        <v>90</v>
      </c>
      <c r="D1967" t="n">
        <v>64</v>
      </c>
      <c r="E1967" t="n">
        <v>250</v>
      </c>
      <c r="F1967" t="n">
        <v>0</v>
      </c>
      <c r="G1967">
        <f>SUMIF(PRISPELO!B:B, A1967, PRISPELO!G:G)</f>
        <v/>
      </c>
      <c r="H1967">
        <f>SUMIF(ODPIS!B:B, A1967, ODPIS!G:G)</f>
        <v/>
      </c>
      <c r="I1967" s="2">
        <f>F1967 + G1967 - H1967</f>
        <v/>
      </c>
    </row>
    <row r="1968">
      <c r="A1968" t="n">
        <v>4012</v>
      </c>
      <c r="B1968" t="inlineStr">
        <is>
          <t>ROYAL OFFSET</t>
        </is>
      </c>
      <c r="C1968" t="n">
        <v>64</v>
      </c>
      <c r="D1968" t="n">
        <v>90</v>
      </c>
      <c r="E1968" t="n">
        <v>170</v>
      </c>
      <c r="F1968" t="n">
        <v>0</v>
      </c>
      <c r="G1968">
        <f>SUMIF(PRISPELO!B:B, A1968, PRISPELO!G:G)</f>
        <v/>
      </c>
      <c r="H1968">
        <f>SUMIF(ODPIS!B:B, A1968, ODPIS!G:G)</f>
        <v/>
      </c>
      <c r="I1968" s="2">
        <f>F1968 + G1968 - H1968</f>
        <v/>
      </c>
    </row>
    <row r="1969">
      <c r="A1969" t="n">
        <v>4013</v>
      </c>
      <c r="B1969" t="inlineStr">
        <is>
          <t>ROYALCOAT PREMIUM SILK</t>
        </is>
      </c>
      <c r="C1969" t="n">
        <v>45</v>
      </c>
      <c r="D1969" t="n">
        <v>64</v>
      </c>
      <c r="E1969" t="n">
        <v>150</v>
      </c>
      <c r="F1969" t="n">
        <v>0</v>
      </c>
      <c r="G1969">
        <f>SUMIF(PRISPELO!B:B, A1969, PRISPELO!G:G)</f>
        <v/>
      </c>
      <c r="H1969">
        <f>SUMIF(ODPIS!B:B, A1969, ODPIS!G:G)</f>
        <v/>
      </c>
      <c r="I1969" s="2">
        <f>F1969 + G1969 - H1969</f>
        <v/>
      </c>
    </row>
    <row r="1970">
      <c r="A1970" t="n">
        <v>4014</v>
      </c>
      <c r="B1970" t="inlineStr">
        <is>
          <t>Garda gloss</t>
        </is>
      </c>
      <c r="C1970" t="n">
        <v>70</v>
      </c>
      <c r="D1970" t="n">
        <v>100</v>
      </c>
      <c r="E1970" t="n">
        <v>350</v>
      </c>
      <c r="F1970" t="n">
        <v>0</v>
      </c>
      <c r="G1970">
        <f>SUMIF(PRISPELO!B:B, A1970, PRISPELO!G:G)</f>
        <v/>
      </c>
      <c r="H1970">
        <f>SUMIF(ODPIS!B:B, A1970, ODPIS!G:G)</f>
        <v/>
      </c>
      <c r="I1970" s="2">
        <f>F1970 + G1970 - H1970</f>
        <v/>
      </c>
    </row>
    <row r="1971">
      <c r="A1971" t="n">
        <v>4015</v>
      </c>
      <c r="B1971" t="inlineStr">
        <is>
          <t>Royalcoat premium gloss</t>
        </is>
      </c>
      <c r="C1971" t="n">
        <v>100</v>
      </c>
      <c r="D1971" t="n">
        <v>70</v>
      </c>
      <c r="E1971" t="n">
        <v>90</v>
      </c>
      <c r="F1971" t="n">
        <v>0</v>
      </c>
      <c r="G1971">
        <f>SUMIF(PRISPELO!B:B, A1971, PRISPELO!G:G)</f>
        <v/>
      </c>
      <c r="H1971">
        <f>SUMIF(ODPIS!B:B, A1971, ODPIS!G:G)</f>
        <v/>
      </c>
      <c r="I1971" s="2">
        <f>F1971 + G1971 - H1971</f>
        <v/>
      </c>
    </row>
    <row r="1972">
      <c r="A1972" t="n">
        <v>4016</v>
      </c>
      <c r="B1972" t="inlineStr">
        <is>
          <t>Royal NEXT GLOSS</t>
        </is>
      </c>
      <c r="C1972" t="n">
        <v>90</v>
      </c>
      <c r="D1972" t="n">
        <v>64</v>
      </c>
      <c r="E1972" t="n">
        <v>130</v>
      </c>
      <c r="F1972" t="n">
        <v>0</v>
      </c>
      <c r="G1972">
        <f>SUMIF(PRISPELO!B:B, A1972, PRISPELO!G:G)</f>
        <v/>
      </c>
      <c r="H1972">
        <f>SUMIF(ODPIS!B:B, A1972, ODPIS!G:G)</f>
        <v/>
      </c>
      <c r="I1972" s="2">
        <f>F1972 + G1972 - H1972</f>
        <v/>
      </c>
    </row>
    <row r="1973">
      <c r="A1973" t="n">
        <v>4017</v>
      </c>
      <c r="B1973" t="inlineStr">
        <is>
          <t>EaglePlus GC1 HIGH BULK</t>
        </is>
      </c>
      <c r="C1973" t="n">
        <v>102</v>
      </c>
      <c r="D1973" t="n">
        <v>72</v>
      </c>
      <c r="E1973" t="n">
        <v>235</v>
      </c>
      <c r="F1973" t="n">
        <v>0</v>
      </c>
      <c r="G1973">
        <f>SUMIF(PRISPELO!B:B, A1973, PRISPELO!G:G)</f>
        <v/>
      </c>
      <c r="H1973">
        <f>SUMIF(ODPIS!B:B, A1973, ODPIS!G:G)</f>
        <v/>
      </c>
      <c r="I1973" s="2">
        <f>F1973 + G1973 - H1973</f>
        <v/>
      </c>
    </row>
    <row r="1974">
      <c r="A1974" t="n">
        <v>4018</v>
      </c>
      <c r="B1974" t="inlineStr">
        <is>
          <t>Royalcoat premium gloss</t>
        </is>
      </c>
      <c r="C1974" t="n">
        <v>64</v>
      </c>
      <c r="D1974" t="n">
        <v>90</v>
      </c>
      <c r="E1974" t="n">
        <v>170</v>
      </c>
      <c r="F1974" t="n">
        <v>0</v>
      </c>
      <c r="G1974">
        <f>SUMIF(PRISPELO!B:B, A1974, PRISPELO!G:G)</f>
        <v/>
      </c>
      <c r="H1974">
        <f>SUMIF(ODPIS!B:B, A1974, ODPIS!G:G)</f>
        <v/>
      </c>
      <c r="I1974" s="2">
        <f>F1974 + G1974 - H1974</f>
        <v/>
      </c>
    </row>
    <row r="1975">
      <c r="A1975" t="n">
        <v>4019</v>
      </c>
      <c r="B1975" t="inlineStr">
        <is>
          <t>ROYAL NEXT GLOSS</t>
        </is>
      </c>
      <c r="C1975" t="n">
        <v>100</v>
      </c>
      <c r="D1975" t="n">
        <v>70</v>
      </c>
      <c r="E1975" t="n">
        <v>150</v>
      </c>
      <c r="F1975" t="n">
        <v>0</v>
      </c>
      <c r="G1975">
        <f>SUMIF(PRISPELO!B:B, A1975, PRISPELO!G:G)</f>
        <v/>
      </c>
      <c r="H1975">
        <f>SUMIF(ODPIS!B:B, A1975, ODPIS!G:G)</f>
        <v/>
      </c>
      <c r="I1975" s="2">
        <f>F1975 + G1975 - H1975</f>
        <v/>
      </c>
    </row>
    <row r="1976">
      <c r="A1976" t="n">
        <v>4020</v>
      </c>
      <c r="B1976" t="inlineStr">
        <is>
          <t>SIRIO ULTRA BLACK</t>
        </is>
      </c>
      <c r="C1976" t="n">
        <v>72</v>
      </c>
      <c r="D1976" t="n">
        <v>102</v>
      </c>
      <c r="E1976" t="n">
        <v>185</v>
      </c>
      <c r="F1976" t="n">
        <v>0</v>
      </c>
      <c r="G1976">
        <f>SUMIF(PRISPELO!B:B, A1976, PRISPELO!G:G)</f>
        <v/>
      </c>
      <c r="H1976">
        <f>SUMIF(ODPIS!B:B, A1976, ODPIS!G:G)</f>
        <v/>
      </c>
      <c r="I1976" s="2">
        <f>F1976 + G1976 - H1976</f>
        <v/>
      </c>
    </row>
    <row r="1977">
      <c r="A1977" t="n">
        <v>4021</v>
      </c>
      <c r="B1977" t="inlineStr">
        <is>
          <t>ROYALCOAT PREM.SILK</t>
        </is>
      </c>
      <c r="C1977" t="n">
        <v>64</v>
      </c>
      <c r="D1977" t="n">
        <v>45</v>
      </c>
      <c r="E1977" t="n">
        <v>150</v>
      </c>
      <c r="F1977" t="n">
        <v>0</v>
      </c>
      <c r="G1977">
        <f>SUMIF(PRISPELO!B:B, A1977, PRISPELO!G:G)</f>
        <v/>
      </c>
      <c r="H1977">
        <f>SUMIF(ODPIS!B:B, A1977, ODPIS!G:G)</f>
        <v/>
      </c>
      <c r="I1977" s="2">
        <f>F1977 + G1977 - H1977</f>
        <v/>
      </c>
    </row>
    <row r="1978">
      <c r="A1978" t="n">
        <v>4022</v>
      </c>
      <c r="B1978" t="inlineStr">
        <is>
          <t>ARENA WHITE SMOOTH</t>
        </is>
      </c>
      <c r="C1978" t="n">
        <v>72</v>
      </c>
      <c r="D1978" t="n">
        <v>102</v>
      </c>
      <c r="E1978" t="n">
        <v>300</v>
      </c>
      <c r="F1978" t="n">
        <v>0</v>
      </c>
      <c r="G1978">
        <f>SUMIF(PRISPELO!B:B, A1978, PRISPELO!G:G)</f>
        <v/>
      </c>
      <c r="H1978">
        <f>SUMIF(ODPIS!B:B, A1978, ODPIS!G:G)</f>
        <v/>
      </c>
      <c r="I1978" s="2">
        <f>F1978 + G1978 - H1978</f>
        <v/>
      </c>
    </row>
    <row r="1979">
      <c r="A1979" t="n">
        <v>4125</v>
      </c>
      <c r="B1979" t="inlineStr">
        <is>
          <t>AMBER GRAPHIC</t>
        </is>
      </c>
      <c r="C1979" t="n">
        <v>100</v>
      </c>
      <c r="D1979" t="n">
        <v>0</v>
      </c>
      <c r="E1979" t="n">
        <v>70</v>
      </c>
      <c r="F1979" t="n">
        <v>0</v>
      </c>
      <c r="G1979">
        <f>SUMIF(PRISPELO!B:B, A1979, PRISPELO!G:G)</f>
        <v/>
      </c>
      <c r="H1979">
        <f>SUMIF(ODPIS!B:B, A1979, ODPIS!G:G)</f>
        <v/>
      </c>
      <c r="I1979" s="2">
        <f>F1979 + G1979 - H1979</f>
        <v/>
      </c>
    </row>
    <row r="1980">
      <c r="A1980" t="n">
        <v>4023</v>
      </c>
      <c r="B1980" t="inlineStr">
        <is>
          <t>ROYAL NEXT MATT</t>
        </is>
      </c>
      <c r="C1980" t="n">
        <v>70</v>
      </c>
      <c r="D1980" t="n">
        <v>100</v>
      </c>
      <c r="E1980" t="n">
        <v>170</v>
      </c>
      <c r="F1980" t="n">
        <v>0</v>
      </c>
      <c r="G1980">
        <f>SUMIF(PRISPELO!B:B, A1980, PRISPELO!G:G)</f>
        <v/>
      </c>
      <c r="H1980">
        <f>SUMIF(ODPIS!B:B, A1980, ODPIS!G:G)</f>
        <v/>
      </c>
      <c r="I1980" s="2">
        <f>F1980 + G1980 - H1980</f>
        <v/>
      </c>
    </row>
    <row r="1981">
      <c r="A1981" t="n">
        <v>4024</v>
      </c>
      <c r="B1981" t="inlineStr">
        <is>
          <t>Royalcoat Premium gloss</t>
        </is>
      </c>
      <c r="C1981" t="n">
        <v>100</v>
      </c>
      <c r="D1981" t="n">
        <v>70</v>
      </c>
      <c r="E1981" t="n">
        <v>130</v>
      </c>
      <c r="F1981" t="n">
        <v>0</v>
      </c>
      <c r="G1981">
        <f>SUMIF(PRISPELO!B:B, A1981, PRISPELO!G:G)</f>
        <v/>
      </c>
      <c r="H1981">
        <f>SUMIF(ODPIS!B:B, A1981, ODPIS!G:G)</f>
        <v/>
      </c>
      <c r="I1981" s="2">
        <f>F1981 + G1981 - H1981</f>
        <v/>
      </c>
    </row>
    <row r="1982">
      <c r="A1982" t="n">
        <v>4025</v>
      </c>
      <c r="B1982" t="inlineStr">
        <is>
          <t>Royalcoat premium gloss</t>
        </is>
      </c>
      <c r="C1982" t="n">
        <v>64</v>
      </c>
      <c r="D1982" t="n">
        <v>90</v>
      </c>
      <c r="E1982" t="n">
        <v>250</v>
      </c>
      <c r="F1982" t="n">
        <v>0</v>
      </c>
      <c r="G1982">
        <f>SUMIF(PRISPELO!B:B, A1982, PRISPELO!G:G)</f>
        <v/>
      </c>
      <c r="H1982">
        <f>SUMIF(ODPIS!B:B, A1982, ODPIS!G:G)</f>
        <v/>
      </c>
      <c r="I1982" s="2">
        <f>F1982 + G1982 - H1982</f>
        <v/>
      </c>
    </row>
    <row r="1983">
      <c r="A1983" t="n">
        <v>4026</v>
      </c>
      <c r="B1983" t="inlineStr">
        <is>
          <t>KOEHLER ECO BLACK</t>
        </is>
      </c>
      <c r="C1983" t="n">
        <v>72</v>
      </c>
      <c r="D1983" t="n">
        <v>102</v>
      </c>
      <c r="E1983" t="n">
        <v>120</v>
      </c>
      <c r="F1983" t="n">
        <v>0</v>
      </c>
      <c r="G1983">
        <f>SUMIF(PRISPELO!B:B, A1983, PRISPELO!G:G)</f>
        <v/>
      </c>
      <c r="H1983">
        <f>SUMIF(ODPIS!B:B, A1983, ODPIS!G:G)</f>
        <v/>
      </c>
      <c r="I1983" s="2">
        <f>F1983 + G1983 - H1983</f>
        <v/>
      </c>
    </row>
    <row r="1984">
      <c r="A1984" t="n">
        <v>4027</v>
      </c>
      <c r="B1984" t="inlineStr">
        <is>
          <t>ACQUERELLO BIANCO</t>
        </is>
      </c>
      <c r="C1984" t="n">
        <v>72</v>
      </c>
      <c r="D1984" t="n">
        <v>102</v>
      </c>
      <c r="E1984" t="n">
        <v>240</v>
      </c>
      <c r="F1984" t="n">
        <v>0</v>
      </c>
      <c r="G1984">
        <f>SUMIF(PRISPELO!B:B, A1984, PRISPELO!G:G)</f>
        <v/>
      </c>
      <c r="H1984">
        <f>SUMIF(ODPIS!B:B, A1984, ODPIS!G:G)</f>
        <v/>
      </c>
      <c r="I1984" s="2">
        <f>F1984 + G1984 - H1984</f>
        <v/>
      </c>
    </row>
    <row r="1985">
      <c r="A1985" t="n">
        <v>4028</v>
      </c>
      <c r="B1985" t="inlineStr">
        <is>
          <t>SREBREN PLAST. PAPIR</t>
        </is>
      </c>
      <c r="C1985" t="n">
        <v>69.8</v>
      </c>
      <c r="D1985" t="n">
        <v>49.8</v>
      </c>
      <c r="E1985" t="n">
        <v>300</v>
      </c>
      <c r="F1985" t="n">
        <v>0</v>
      </c>
      <c r="G1985">
        <f>SUMIF(PRISPELO!B:B, A1985, PRISPELO!G:G)</f>
        <v/>
      </c>
      <c r="H1985">
        <f>SUMIF(ODPIS!B:B, A1985, ODPIS!G:G)</f>
        <v/>
      </c>
      <c r="I1985" s="2">
        <f>F1985 + G1985 - H1985</f>
        <v/>
      </c>
    </row>
    <row r="1986">
      <c r="A1986" t="n">
        <v>4029</v>
      </c>
      <c r="B1986" t="inlineStr">
        <is>
          <t>EAGLE HIGH BULK</t>
        </is>
      </c>
      <c r="C1986" t="n">
        <v>63.5</v>
      </c>
      <c r="D1986" t="n">
        <v>42.2</v>
      </c>
      <c r="E1986" t="n">
        <v>270</v>
      </c>
      <c r="F1986" t="n">
        <v>0</v>
      </c>
      <c r="G1986">
        <f>SUMIF(PRISPELO!B:B, A1986, PRISPELO!G:G)</f>
        <v/>
      </c>
      <c r="H1986">
        <f>SUMIF(ODPIS!B:B, A1986, ODPIS!G:G)</f>
        <v/>
      </c>
      <c r="I1986" s="2">
        <f>F1986 + G1986 - H1986</f>
        <v/>
      </c>
    </row>
    <row r="1987">
      <c r="A1987" t="n">
        <v>4030</v>
      </c>
      <c r="B1987" t="inlineStr">
        <is>
          <t>MULTICOLOR MIRABELL</t>
        </is>
      </c>
      <c r="C1987" t="n">
        <v>100</v>
      </c>
      <c r="D1987" t="n">
        <v>70</v>
      </c>
      <c r="E1987" t="n">
        <v>400</v>
      </c>
      <c r="F1987" t="n">
        <v>0</v>
      </c>
      <c r="G1987">
        <f>SUMIF(PRISPELO!B:B, A1987, PRISPELO!G:G)</f>
        <v/>
      </c>
      <c r="H1987">
        <f>SUMIF(ODPIS!B:B, A1987, ODPIS!G:G)</f>
        <v/>
      </c>
      <c r="I1987" s="2">
        <f>F1987 + G1987 - H1987</f>
        <v/>
      </c>
    </row>
    <row r="1988">
      <c r="A1988" t="n">
        <v>4031</v>
      </c>
      <c r="B1988" t="inlineStr">
        <is>
          <t>ROYAL NEXT GLOSS</t>
        </is>
      </c>
      <c r="C1988" t="n">
        <v>100</v>
      </c>
      <c r="D1988" t="n">
        <v>70</v>
      </c>
      <c r="E1988" t="n">
        <v>130</v>
      </c>
      <c r="F1988" t="n">
        <v>0</v>
      </c>
      <c r="G1988">
        <f>SUMIF(PRISPELO!B:B, A1988, PRISPELO!G:G)</f>
        <v/>
      </c>
      <c r="H1988">
        <f>SUMIF(ODPIS!B:B, A1988, ODPIS!G:G)</f>
        <v/>
      </c>
      <c r="I1988" s="2">
        <f>F1988 + G1988 - H1988</f>
        <v/>
      </c>
    </row>
    <row r="1989">
      <c r="A1989" t="n">
        <v>4032</v>
      </c>
      <c r="B1989" t="inlineStr">
        <is>
          <t>ROYAL OFFSET</t>
        </is>
      </c>
      <c r="C1989" t="n">
        <v>70</v>
      </c>
      <c r="D1989" t="n">
        <v>100</v>
      </c>
      <c r="E1989" t="n">
        <v>140</v>
      </c>
      <c r="F1989" t="n">
        <v>0</v>
      </c>
      <c r="G1989">
        <f>SUMIF(PRISPELO!B:B, A1989, PRISPELO!G:G)</f>
        <v/>
      </c>
      <c r="H1989">
        <f>SUMIF(ODPIS!B:B, A1989, ODPIS!G:G)</f>
        <v/>
      </c>
      <c r="I1989" s="2">
        <f>F1989 + G1989 - H1989</f>
        <v/>
      </c>
    </row>
    <row r="1990">
      <c r="A1990" t="n">
        <v>4033</v>
      </c>
      <c r="B1990" t="inlineStr">
        <is>
          <t>AMBER GRAPHIC</t>
        </is>
      </c>
      <c r="C1990" t="n">
        <v>64</v>
      </c>
      <c r="D1990" t="n">
        <v>45</v>
      </c>
      <c r="E1990" t="n">
        <v>80</v>
      </c>
      <c r="F1990" t="n">
        <v>0</v>
      </c>
      <c r="G1990">
        <f>SUMIF(PRISPELO!B:B, A1990, PRISPELO!G:G)</f>
        <v/>
      </c>
      <c r="H1990">
        <f>SUMIF(ODPIS!B:B, A1990, ODPIS!G:G)</f>
        <v/>
      </c>
      <c r="I1990" s="2">
        <f>F1990 + G1990 - H1990</f>
        <v/>
      </c>
    </row>
    <row r="1991">
      <c r="A1991" t="n">
        <v>4034</v>
      </c>
      <c r="B1991" t="inlineStr">
        <is>
          <t>ROYAL NEXT MATT</t>
        </is>
      </c>
      <c r="C1991" t="n">
        <v>90</v>
      </c>
      <c r="D1991" t="n">
        <v>64</v>
      </c>
      <c r="E1991" t="n">
        <v>150</v>
      </c>
      <c r="F1991" t="n">
        <v>0</v>
      </c>
      <c r="G1991">
        <f>SUMIF(PRISPELO!B:B, A1991, PRISPELO!G:G)</f>
        <v/>
      </c>
      <c r="H1991">
        <f>SUMIF(ODPIS!B:B, A1991, ODPIS!G:G)</f>
        <v/>
      </c>
      <c r="I1991" s="2">
        <f>F1991 + G1991 - H1991</f>
        <v/>
      </c>
    </row>
    <row r="1992">
      <c r="A1992" t="n">
        <v>4036</v>
      </c>
      <c r="B1992" t="inlineStr">
        <is>
          <t>MAGNO SATIN</t>
        </is>
      </c>
      <c r="C1992" t="n">
        <v>59.8</v>
      </c>
      <c r="D1992" t="n">
        <v>49.8</v>
      </c>
      <c r="E1992" t="n">
        <v>115</v>
      </c>
      <c r="F1992" t="n">
        <v>0</v>
      </c>
      <c r="G1992">
        <f>SUMIF(PRISPELO!B:B, A1992, PRISPELO!G:G)</f>
        <v/>
      </c>
      <c r="H1992">
        <f>SUMIF(ODPIS!B:B, A1992, ODPIS!G:G)</f>
        <v/>
      </c>
      <c r="I1992" s="2">
        <f>F1992 + G1992 - H1992</f>
        <v/>
      </c>
    </row>
    <row r="1993">
      <c r="A1993" t="n">
        <v>4037</v>
      </c>
      <c r="B1993" t="inlineStr">
        <is>
          <t>GARDA MATT</t>
        </is>
      </c>
      <c r="C1993" t="n">
        <v>44.8</v>
      </c>
      <c r="D1993" t="n">
        <v>63.8</v>
      </c>
      <c r="E1993" t="n">
        <v>170</v>
      </c>
      <c r="F1993" t="n">
        <v>0</v>
      </c>
      <c r="G1993">
        <f>SUMIF(PRISPELO!B:B, A1993, PRISPELO!G:G)</f>
        <v/>
      </c>
      <c r="H1993">
        <f>SUMIF(ODPIS!B:B, A1993, ODPIS!G:G)</f>
        <v/>
      </c>
      <c r="I1993" s="2">
        <f>F1993 + G1993 - H1993</f>
        <v/>
      </c>
    </row>
    <row r="1994">
      <c r="A1994" t="n">
        <v>4038</v>
      </c>
      <c r="B1994" t="inlineStr">
        <is>
          <t>ROYAL NEXT GLOSS</t>
        </is>
      </c>
      <c r="C1994" t="n">
        <v>64</v>
      </c>
      <c r="D1994" t="n">
        <v>90</v>
      </c>
      <c r="E1994" t="n">
        <v>130</v>
      </c>
      <c r="F1994" t="n">
        <v>0</v>
      </c>
      <c r="G1994">
        <f>SUMIF(PRISPELO!B:B, A1994, PRISPELO!G:G)</f>
        <v/>
      </c>
      <c r="H1994">
        <f>SUMIF(ODPIS!B:B, A1994, ODPIS!G:G)</f>
        <v/>
      </c>
      <c r="I1994" s="2">
        <f>F1994 + G1994 - H1994</f>
        <v/>
      </c>
    </row>
    <row r="1995">
      <c r="A1995" t="n">
        <v>4039</v>
      </c>
      <c r="B1995" t="inlineStr">
        <is>
          <t>ROYALSET OFFSET</t>
        </is>
      </c>
      <c r="C1995" t="n">
        <v>64</v>
      </c>
      <c r="D1995" t="n">
        <v>90</v>
      </c>
      <c r="E1995" t="n">
        <v>80</v>
      </c>
      <c r="F1995" t="n">
        <v>0</v>
      </c>
      <c r="G1995">
        <f>SUMIF(PRISPELO!B:B, A1995, PRISPELO!G:G)</f>
        <v/>
      </c>
      <c r="H1995">
        <f>SUMIF(ODPIS!B:B, A1995, ODPIS!G:G)</f>
        <v/>
      </c>
      <c r="I1995" s="2">
        <f>F1995 + G1995 - H1995</f>
        <v/>
      </c>
    </row>
    <row r="1996">
      <c r="A1996" t="n">
        <v>4040</v>
      </c>
      <c r="B1996" t="inlineStr">
        <is>
          <t>KUVERTA MUNKEN KRISTAL</t>
        </is>
      </c>
      <c r="C1996" t="n">
        <v>160</v>
      </c>
      <c r="D1996" t="n">
        <v>160</v>
      </c>
      <c r="E1996" t="n">
        <v>120</v>
      </c>
      <c r="F1996" t="n">
        <v>0</v>
      </c>
      <c r="G1996">
        <f>SUMIF(PRISPELO!B:B, A1996, PRISPELO!G:G)</f>
        <v/>
      </c>
      <c r="H1996">
        <f>SUMIF(ODPIS!B:B, A1996, ODPIS!G:G)</f>
        <v/>
      </c>
      <c r="I1996" s="2">
        <f>F1996 + G1996 - H1996</f>
        <v/>
      </c>
    </row>
    <row r="1997">
      <c r="A1997" t="n">
        <v>4041</v>
      </c>
      <c r="B1997" t="inlineStr">
        <is>
          <t>UPM FINE</t>
        </is>
      </c>
      <c r="C1997" t="n">
        <v>70</v>
      </c>
      <c r="D1997" t="n">
        <v>100</v>
      </c>
      <c r="E1997" t="n">
        <v>60</v>
      </c>
      <c r="F1997" t="n">
        <v>0</v>
      </c>
      <c r="G1997">
        <f>SUMIF(PRISPELO!B:B, A1997, PRISPELO!G:G)</f>
        <v/>
      </c>
      <c r="H1997">
        <f>SUMIF(ODPIS!B:B, A1997, ODPIS!G:G)</f>
        <v/>
      </c>
      <c r="I1997" s="2">
        <f>F1997 + G1997 - H1997</f>
        <v/>
      </c>
    </row>
    <row r="1998">
      <c r="A1998" t="n">
        <v>4042</v>
      </c>
      <c r="B1998" t="inlineStr">
        <is>
          <t>EaglePlus</t>
        </is>
      </c>
      <c r="C1998" t="n">
        <v>102</v>
      </c>
      <c r="D1998" t="n">
        <v>72</v>
      </c>
      <c r="E1998" t="n">
        <v>270</v>
      </c>
      <c r="F1998" t="n">
        <v>0</v>
      </c>
      <c r="G1998">
        <f>SUMIF(PRISPELO!B:B, A1998, PRISPELO!G:G)</f>
        <v/>
      </c>
      <c r="H1998">
        <f>SUMIF(ODPIS!B:B, A1998, ODPIS!G:G)</f>
        <v/>
      </c>
      <c r="I1998" s="2">
        <f>F1998 + G1998 - H1998</f>
        <v/>
      </c>
    </row>
    <row r="1999">
      <c r="A1999" t="n">
        <v>4043</v>
      </c>
      <c r="B1999" t="inlineStr">
        <is>
          <t>GARDA MATT</t>
        </is>
      </c>
      <c r="C1999" t="n">
        <v>44.8</v>
      </c>
      <c r="D1999" t="n">
        <v>63.8</v>
      </c>
      <c r="E1999" t="n">
        <v>170</v>
      </c>
      <c r="F1999" t="n">
        <v>0</v>
      </c>
      <c r="G1999">
        <f>SUMIF(PRISPELO!B:B, A1999, PRISPELO!G:G)</f>
        <v/>
      </c>
      <c r="H1999">
        <f>SUMIF(ODPIS!B:B, A1999, ODPIS!G:G)</f>
        <v/>
      </c>
      <c r="I1999" s="2">
        <f>F1999 + G1999 - H1999</f>
        <v/>
      </c>
    </row>
    <row r="2000">
      <c r="A2000" t="n">
        <v>4044</v>
      </c>
      <c r="B2000" t="inlineStr">
        <is>
          <t>CORAL BOOK WHITE OFFSET</t>
        </is>
      </c>
      <c r="C2000" t="n">
        <v>70</v>
      </c>
      <c r="D2000" t="n">
        <v>100</v>
      </c>
      <c r="E2000" t="n">
        <v>300</v>
      </c>
      <c r="F2000" t="n">
        <v>0</v>
      </c>
      <c r="G2000">
        <f>SUMIF(PRISPELO!B:B, A2000, PRISPELO!G:G)</f>
        <v/>
      </c>
      <c r="H2000">
        <f>SUMIF(ODPIS!B:B, A2000, ODPIS!G:G)</f>
        <v/>
      </c>
      <c r="I2000" s="2">
        <f>F2000 + G2000 - H2000</f>
        <v/>
      </c>
    </row>
    <row r="2001">
      <c r="A2001" t="n">
        <v>4045</v>
      </c>
      <c r="B2001" t="inlineStr">
        <is>
          <t>GRAFOPAK</t>
        </is>
      </c>
      <c r="C2001" t="n">
        <v>71</v>
      </c>
      <c r="D2001" t="n">
        <v>101</v>
      </c>
      <c r="E2001" t="n">
        <v>280</v>
      </c>
      <c r="F2001" t="n">
        <v>0</v>
      </c>
      <c r="G2001">
        <f>SUMIF(PRISPELO!B:B, A2001, PRISPELO!G:G)</f>
        <v/>
      </c>
      <c r="H2001">
        <f>SUMIF(ODPIS!B:B, A2001, ODPIS!G:G)</f>
        <v/>
      </c>
      <c r="I2001" s="2">
        <f>F2001 + G2001 - H2001</f>
        <v/>
      </c>
    </row>
    <row r="2002">
      <c r="A2002" t="n">
        <v>4046</v>
      </c>
      <c r="B2002" t="inlineStr">
        <is>
          <t>ROYALCOAT PREMIUM SILK</t>
        </is>
      </c>
      <c r="C2002" t="n">
        <v>102</v>
      </c>
      <c r="D2002" t="n">
        <v>72</v>
      </c>
      <c r="E2002" t="n">
        <v>130</v>
      </c>
      <c r="F2002" t="n">
        <v>0</v>
      </c>
      <c r="G2002">
        <f>SUMIF(PRISPELO!B:B, A2002, PRISPELO!G:G)</f>
        <v/>
      </c>
      <c r="H2002">
        <f>SUMIF(ODPIS!B:B, A2002, ODPIS!G:G)</f>
        <v/>
      </c>
      <c r="I2002" s="2">
        <f>F2002 + G2002 - H2002</f>
        <v/>
      </c>
    </row>
    <row r="2003">
      <c r="A2003" t="n">
        <v>4047</v>
      </c>
      <c r="B2003" t="inlineStr">
        <is>
          <t>Royal nex gloss</t>
        </is>
      </c>
      <c r="C2003" t="n">
        <v>100</v>
      </c>
      <c r="D2003" t="n">
        <v>70</v>
      </c>
      <c r="E2003" t="n">
        <v>90</v>
      </c>
      <c r="F2003" t="n">
        <v>0</v>
      </c>
      <c r="G2003">
        <f>SUMIF(PRISPELO!B:B, A2003, PRISPELO!G:G)</f>
        <v/>
      </c>
      <c r="H2003">
        <f>SUMIF(ODPIS!B:B, A2003, ODPIS!G:G)</f>
        <v/>
      </c>
      <c r="I2003" s="2">
        <f>F2003 + G2003 - H2003</f>
        <v/>
      </c>
    </row>
    <row r="2004">
      <c r="A2004" t="n">
        <v>4048</v>
      </c>
      <c r="B2004" t="inlineStr">
        <is>
          <t>SIRIO LAMONE</t>
        </is>
      </c>
      <c r="C2004" t="n">
        <v>700</v>
      </c>
      <c r="D2004" t="n">
        <v>100</v>
      </c>
      <c r="E2004" t="n">
        <v>350</v>
      </c>
      <c r="F2004" t="n">
        <v>0</v>
      </c>
      <c r="G2004">
        <f>SUMIF(PRISPELO!B:B, A2004, PRISPELO!G:G)</f>
        <v/>
      </c>
      <c r="H2004">
        <f>SUMIF(ODPIS!B:B, A2004, ODPIS!G:G)</f>
        <v/>
      </c>
      <c r="I2004" s="2">
        <f>F2004 + G2004 - H2004</f>
        <v/>
      </c>
    </row>
    <row r="2005">
      <c r="A2005" t="n">
        <v>4049</v>
      </c>
      <c r="B2005" t="inlineStr">
        <is>
          <t>Royal next gloss</t>
        </is>
      </c>
      <c r="C2005" t="n">
        <v>90</v>
      </c>
      <c r="D2005" t="n">
        <v>64</v>
      </c>
      <c r="E2005" t="n">
        <v>150</v>
      </c>
      <c r="F2005" t="n">
        <v>0</v>
      </c>
      <c r="G2005">
        <f>SUMIF(PRISPELO!B:B, A2005, PRISPELO!G:G)</f>
        <v/>
      </c>
      <c r="H2005">
        <f>SUMIF(ODPIS!B:B, A2005, ODPIS!G:G)</f>
        <v/>
      </c>
      <c r="I2005" s="2">
        <f>F2005 + G2005 - H2005</f>
        <v/>
      </c>
    </row>
    <row r="2006">
      <c r="A2006" t="n">
        <v>4050</v>
      </c>
      <c r="B2006" t="inlineStr">
        <is>
          <t>CHROMOSTAR</t>
        </is>
      </c>
      <c r="C2006" t="n">
        <v>69.8</v>
      </c>
      <c r="D2006" t="n">
        <v>49.8</v>
      </c>
      <c r="E2006" t="n">
        <v>250</v>
      </c>
      <c r="F2006" t="n">
        <v>0</v>
      </c>
      <c r="G2006">
        <f>SUMIF(PRISPELO!B:B, A2006, PRISPELO!G:G)</f>
        <v/>
      </c>
      <c r="H2006">
        <f>SUMIF(ODPIS!B:B, A2006, ODPIS!G:G)</f>
        <v/>
      </c>
      <c r="I2006" s="2">
        <f>F2006 + G2006 - H2006</f>
        <v/>
      </c>
    </row>
    <row r="2007">
      <c r="A2007" t="n">
        <v>4054</v>
      </c>
      <c r="B2007" t="inlineStr">
        <is>
          <t>samolepilni papir VELUM 85 podlaga</t>
        </is>
      </c>
      <c r="C2007" t="n">
        <v>50</v>
      </c>
      <c r="D2007" t="n">
        <v>70</v>
      </c>
      <c r="E2007" t="n">
        <v>230</v>
      </c>
      <c r="F2007" t="n">
        <v>0</v>
      </c>
      <c r="G2007">
        <f>SUMIF(PRISPELO!B:B, A2007, PRISPELO!G:G)</f>
        <v/>
      </c>
      <c r="H2007">
        <f>SUMIF(ODPIS!B:B, A2007, ODPIS!G:G)</f>
        <v/>
      </c>
      <c r="I2007" s="2">
        <f>F2007 + G2007 - H2007</f>
        <v/>
      </c>
    </row>
    <row r="2008">
      <c r="A2008" t="n">
        <v>4055</v>
      </c>
      <c r="B2008" t="inlineStr">
        <is>
          <t>ROYALCOAT PREMIUM GLOSS</t>
        </is>
      </c>
      <c r="C2008" t="n">
        <v>70</v>
      </c>
      <c r="D2008" t="n">
        <v>100</v>
      </c>
      <c r="E2008" t="n">
        <v>350</v>
      </c>
      <c r="F2008" t="n">
        <v>0</v>
      </c>
      <c r="G2008">
        <f>SUMIF(PRISPELO!B:B, A2008, PRISPELO!G:G)</f>
        <v/>
      </c>
      <c r="H2008">
        <f>SUMIF(ODPIS!B:B, A2008, ODPIS!G:G)</f>
        <v/>
      </c>
      <c r="I2008" s="2">
        <f>F2008 + G2008 - H2008</f>
        <v/>
      </c>
    </row>
    <row r="2009">
      <c r="A2009" t="n">
        <v>4056</v>
      </c>
      <c r="B2009" t="inlineStr">
        <is>
          <t>GLAM SILVER</t>
        </is>
      </c>
      <c r="C2009" t="n">
        <v>72</v>
      </c>
      <c r="D2009" t="n">
        <v>102</v>
      </c>
      <c r="E2009" t="n">
        <v>120</v>
      </c>
      <c r="F2009" t="n">
        <v>0</v>
      </c>
      <c r="G2009">
        <f>SUMIF(PRISPELO!B:B, A2009, PRISPELO!G:G)</f>
        <v/>
      </c>
      <c r="H2009">
        <f>SUMIF(ODPIS!B:B, A2009, ODPIS!G:G)</f>
        <v/>
      </c>
      <c r="I2009" s="2">
        <f>F2009 + G2009 - H2009</f>
        <v/>
      </c>
    </row>
    <row r="2010">
      <c r="A2010" t="n">
        <v>4057</v>
      </c>
      <c r="B2010" t="inlineStr">
        <is>
          <t>Royal next gloss</t>
        </is>
      </c>
      <c r="C2010" t="n">
        <v>90</v>
      </c>
      <c r="D2010" t="n">
        <v>64</v>
      </c>
      <c r="E2010" t="n">
        <v>170</v>
      </c>
      <c r="F2010" t="n">
        <v>0</v>
      </c>
      <c r="G2010">
        <f>SUMIF(PRISPELO!B:B, A2010, PRISPELO!G:G)</f>
        <v/>
      </c>
      <c r="H2010">
        <f>SUMIF(ODPIS!B:B, A2010, ODPIS!G:G)</f>
        <v/>
      </c>
      <c r="I2010" s="2">
        <f>F2010 + G2010 - H2010</f>
        <v/>
      </c>
    </row>
    <row r="2011">
      <c r="A2011" t="n">
        <v>4058</v>
      </c>
      <c r="B2011" t="inlineStr">
        <is>
          <t>Royal next gloss</t>
        </is>
      </c>
      <c r="C2011" t="n">
        <v>70</v>
      </c>
      <c r="D2011" t="n">
        <v>100</v>
      </c>
      <c r="E2011" t="n">
        <v>90</v>
      </c>
      <c r="F2011" t="n">
        <v>0</v>
      </c>
      <c r="G2011">
        <f>SUMIF(PRISPELO!B:B, A2011, PRISPELO!G:G)</f>
        <v/>
      </c>
      <c r="H2011">
        <f>SUMIF(ODPIS!B:B, A2011, ODPIS!G:G)</f>
        <v/>
      </c>
      <c r="I2011" s="2">
        <f>F2011 + G2011 - H2011</f>
        <v/>
      </c>
    </row>
    <row r="2012">
      <c r="A2012" t="n">
        <v>4059</v>
      </c>
      <c r="B2012" t="inlineStr">
        <is>
          <t>SIRIO CASHMIRE</t>
        </is>
      </c>
      <c r="C2012" t="n">
        <v>70</v>
      </c>
      <c r="D2012" t="n">
        <v>100</v>
      </c>
      <c r="E2012" t="n">
        <v>350</v>
      </c>
      <c r="F2012" t="n">
        <v>0</v>
      </c>
      <c r="G2012">
        <f>SUMIF(PRISPELO!B:B, A2012, PRISPELO!G:G)</f>
        <v/>
      </c>
      <c r="H2012">
        <f>SUMIF(ODPIS!B:B, A2012, ODPIS!G:G)</f>
        <v/>
      </c>
      <c r="I2012" s="2">
        <f>F2012 + G2012 - H2012</f>
        <v/>
      </c>
    </row>
    <row r="2013">
      <c r="A2013" t="n">
        <v>4060</v>
      </c>
      <c r="B2013" t="inlineStr">
        <is>
          <t>SORA MEDICA</t>
        </is>
      </c>
      <c r="C2013" t="n">
        <v>56</v>
      </c>
      <c r="D2013" t="n">
        <v>86</v>
      </c>
      <c r="E2013" t="n">
        <v>50</v>
      </c>
      <c r="F2013" t="n">
        <v>0</v>
      </c>
      <c r="G2013">
        <f>SUMIF(PRISPELO!B:B, A2013, PRISPELO!G:G)</f>
        <v/>
      </c>
      <c r="H2013">
        <f>SUMIF(ODPIS!B:B, A2013, ODPIS!G:G)</f>
        <v/>
      </c>
      <c r="I2013" s="2">
        <f>F2013 + G2013 - H2013</f>
        <v/>
      </c>
    </row>
    <row r="2014">
      <c r="A2014" t="n">
        <v>4061</v>
      </c>
      <c r="B2014" t="inlineStr">
        <is>
          <t>CUTIOUS ICE GOLD</t>
        </is>
      </c>
      <c r="C2014" t="n">
        <v>72</v>
      </c>
      <c r="D2014" t="n">
        <v>102</v>
      </c>
      <c r="E2014" t="n">
        <v>300</v>
      </c>
      <c r="F2014" t="n">
        <v>0</v>
      </c>
      <c r="G2014">
        <f>SUMIF(PRISPELO!B:B, A2014, PRISPELO!G:G)</f>
        <v/>
      </c>
      <c r="H2014">
        <f>SUMIF(ODPIS!B:B, A2014, ODPIS!G:G)</f>
        <v/>
      </c>
      <c r="I2014" s="2">
        <f>F2014 + G2014 - H2014</f>
        <v/>
      </c>
    </row>
    <row r="2015">
      <c r="A2015" t="n">
        <v>4062</v>
      </c>
      <c r="B2015" t="inlineStr">
        <is>
          <t>SIRIO PEARL ICE WHITE</t>
        </is>
      </c>
      <c r="C2015" t="n">
        <v>72</v>
      </c>
      <c r="D2015" t="n">
        <v>102</v>
      </c>
      <c r="E2015" t="n">
        <v>125</v>
      </c>
      <c r="F2015" t="n">
        <v>0</v>
      </c>
      <c r="G2015">
        <f>SUMIF(PRISPELO!B:B, A2015, PRISPELO!G:G)</f>
        <v/>
      </c>
      <c r="H2015">
        <f>SUMIF(ODPIS!B:B, A2015, ODPIS!G:G)</f>
        <v/>
      </c>
      <c r="I2015" s="2">
        <f>F2015 + G2015 - H2015</f>
        <v/>
      </c>
    </row>
    <row r="2016">
      <c r="A2016" t="n">
        <v>4063</v>
      </c>
      <c r="B2016" t="inlineStr">
        <is>
          <t>NIKLA SELEKT</t>
        </is>
      </c>
      <c r="C2016" t="n">
        <v>71</v>
      </c>
      <c r="D2016" t="n">
        <v>100</v>
      </c>
      <c r="E2016" t="n">
        <v>90</v>
      </c>
      <c r="F2016" t="n">
        <v>0</v>
      </c>
      <c r="G2016">
        <f>SUMIF(PRISPELO!B:B, A2016, PRISPELO!G:G)</f>
        <v/>
      </c>
      <c r="H2016">
        <f>SUMIF(ODPIS!B:B, A2016, ODPIS!G:G)</f>
        <v/>
      </c>
      <c r="I2016" s="2">
        <f>F2016 + G2016 - H2016</f>
        <v/>
      </c>
    </row>
    <row r="2017">
      <c r="A2017" t="n">
        <v>4064</v>
      </c>
      <c r="B2017" t="inlineStr">
        <is>
          <t>MULTICOLOR MIRABELL</t>
        </is>
      </c>
      <c r="C2017" t="n">
        <v>100</v>
      </c>
      <c r="D2017" t="n">
        <v>70</v>
      </c>
      <c r="E2017" t="n">
        <v>350</v>
      </c>
      <c r="F2017" t="n">
        <v>0</v>
      </c>
      <c r="G2017">
        <f>SUMIF(PRISPELO!B:B, A2017, PRISPELO!G:G)</f>
        <v/>
      </c>
      <c r="H2017">
        <f>SUMIF(ODPIS!B:B, A2017, ODPIS!G:G)</f>
        <v/>
      </c>
      <c r="I2017" s="2">
        <f>F2017 + G2017 - H2017</f>
        <v/>
      </c>
    </row>
    <row r="2018">
      <c r="A2018" t="n">
        <v>4065</v>
      </c>
      <c r="B2018" t="inlineStr">
        <is>
          <t>Royal NEXT gloss</t>
        </is>
      </c>
      <c r="C2018" t="n">
        <v>90</v>
      </c>
      <c r="D2018" t="n">
        <v>64</v>
      </c>
      <c r="E2018" t="n">
        <v>130</v>
      </c>
      <c r="F2018" t="n">
        <v>0</v>
      </c>
      <c r="G2018">
        <f>SUMIF(PRISPELO!B:B, A2018, PRISPELO!G:G)</f>
        <v/>
      </c>
      <c r="H2018">
        <f>SUMIF(ODPIS!B:B, A2018, ODPIS!G:G)</f>
        <v/>
      </c>
      <c r="I2018" s="2">
        <f>F2018 + G2018 - H2018</f>
        <v/>
      </c>
    </row>
    <row r="2019">
      <c r="A2019" t="n">
        <v>4066</v>
      </c>
      <c r="B2019" t="inlineStr">
        <is>
          <t>Royal NEXT matt</t>
        </is>
      </c>
      <c r="C2019" t="n">
        <v>100</v>
      </c>
      <c r="D2019" t="n">
        <v>70</v>
      </c>
      <c r="E2019" t="n">
        <v>150</v>
      </c>
      <c r="F2019" t="n">
        <v>0</v>
      </c>
      <c r="G2019">
        <f>SUMIF(PRISPELO!B:B, A2019, PRISPELO!G:G)</f>
        <v/>
      </c>
      <c r="H2019">
        <f>SUMIF(ODPIS!B:B, A2019, ODPIS!G:G)</f>
        <v/>
      </c>
      <c r="I2019" s="2">
        <f>F2019 + G2019 - H2019</f>
        <v/>
      </c>
    </row>
    <row r="2020">
      <c r="A2020" t="n">
        <v>4067</v>
      </c>
      <c r="B2020" t="inlineStr">
        <is>
          <t>CROMOSTAR</t>
        </is>
      </c>
      <c r="C2020" t="n">
        <v>72</v>
      </c>
      <c r="D2020" t="n">
        <v>102</v>
      </c>
      <c r="E2020" t="n">
        <v>270</v>
      </c>
      <c r="F2020" t="n">
        <v>0</v>
      </c>
      <c r="G2020">
        <f>SUMIF(PRISPELO!B:B, A2020, PRISPELO!G:G)</f>
        <v/>
      </c>
      <c r="H2020">
        <f>SUMIF(ODPIS!B:B, A2020, ODPIS!G:G)</f>
        <v/>
      </c>
      <c r="I2020" s="2">
        <f>F2020 + G2020 - H2020</f>
        <v/>
      </c>
    </row>
    <row r="2021">
      <c r="A2021" t="n">
        <v>4068</v>
      </c>
      <c r="B2021" t="inlineStr">
        <is>
          <t>OLIN REGULAR BRIGHT WHITE</t>
        </is>
      </c>
      <c r="C2021" t="n">
        <v>72</v>
      </c>
      <c r="D2021" t="n">
        <v>102</v>
      </c>
      <c r="E2021" t="n">
        <v>300</v>
      </c>
      <c r="F2021" t="n">
        <v>0</v>
      </c>
      <c r="G2021">
        <f>SUMIF(PRISPELO!B:B, A2021, PRISPELO!G:G)</f>
        <v/>
      </c>
      <c r="H2021">
        <f>SUMIF(ODPIS!B:B, A2021, ODPIS!G:G)</f>
        <v/>
      </c>
      <c r="I2021" s="2">
        <f>F2021 + G2021 - H2021</f>
        <v/>
      </c>
    </row>
    <row r="2022">
      <c r="A2022" t="n">
        <v>4069</v>
      </c>
      <c r="B2022" t="inlineStr">
        <is>
          <t>CROMOSTAR</t>
        </is>
      </c>
      <c r="C2022" t="n">
        <v>63.5</v>
      </c>
      <c r="D2022" t="n">
        <v>42.2</v>
      </c>
      <c r="E2022" t="n">
        <v>270</v>
      </c>
      <c r="F2022" t="n">
        <v>0</v>
      </c>
      <c r="G2022">
        <f>SUMIF(PRISPELO!B:B, A2022, PRISPELO!G:G)</f>
        <v/>
      </c>
      <c r="H2022">
        <f>SUMIF(ODPIS!B:B, A2022, ODPIS!G:G)</f>
        <v/>
      </c>
      <c r="I2022" s="2">
        <f>F2022 + G2022 - H2022</f>
        <v/>
      </c>
    </row>
    <row r="2023">
      <c r="A2023" t="n">
        <v>4070</v>
      </c>
      <c r="B2023" t="inlineStr">
        <is>
          <t>CROMOSTAR</t>
        </is>
      </c>
      <c r="C2023" t="n">
        <v>72</v>
      </c>
      <c r="D2023" t="n">
        <v>102</v>
      </c>
      <c r="E2023" t="n">
        <v>325</v>
      </c>
      <c r="F2023" t="n">
        <v>0</v>
      </c>
      <c r="G2023">
        <f>SUMIF(PRISPELO!B:B, A2023, PRISPELO!G:G)</f>
        <v/>
      </c>
      <c r="H2023">
        <f>SUMIF(ODPIS!B:B, A2023, ODPIS!G:G)</f>
        <v/>
      </c>
      <c r="I2023" s="2">
        <f>F2023 + G2023 - H2023</f>
        <v/>
      </c>
    </row>
    <row r="2024">
      <c r="A2024" t="n">
        <v>4071</v>
      </c>
      <c r="B2024" t="inlineStr">
        <is>
          <t>KUVERTE VIA LAID PURE WHITE</t>
        </is>
      </c>
      <c r="C2024" t="n">
        <v>114</v>
      </c>
      <c r="D2024" t="n">
        <v>229</v>
      </c>
      <c r="E2024" t="n">
        <v>120</v>
      </c>
      <c r="F2024" t="n">
        <v>0</v>
      </c>
      <c r="G2024">
        <f>SUMIF(PRISPELO!B:B, A2024, PRISPELO!G:G)</f>
        <v/>
      </c>
      <c r="H2024">
        <f>SUMIF(ODPIS!B:B, A2024, ODPIS!G:G)</f>
        <v/>
      </c>
      <c r="I2024" s="2">
        <f>F2024 + G2024 - H2024</f>
        <v/>
      </c>
    </row>
    <row r="2025">
      <c r="A2025" t="n">
        <v>4072</v>
      </c>
      <c r="B2025" t="inlineStr">
        <is>
          <t>ROYAL COAT PREMIUM GLOSS</t>
        </is>
      </c>
      <c r="C2025" t="n">
        <v>70</v>
      </c>
      <c r="D2025" t="n">
        <v>100</v>
      </c>
      <c r="E2025" t="n">
        <v>300</v>
      </c>
      <c r="F2025" t="n">
        <v>0</v>
      </c>
      <c r="G2025">
        <f>SUMIF(PRISPELO!B:B, A2025, PRISPELO!G:G)</f>
        <v/>
      </c>
      <c r="H2025">
        <f>SUMIF(ODPIS!B:B, A2025, ODPIS!G:G)</f>
        <v/>
      </c>
      <c r="I2025" s="2">
        <f>F2025 + G2025 - H2025</f>
        <v/>
      </c>
    </row>
    <row r="2026">
      <c r="A2026" t="n">
        <v>4073</v>
      </c>
      <c r="B2026" t="inlineStr">
        <is>
          <t>ROYALCOAT PREMIUM SILK</t>
        </is>
      </c>
      <c r="C2026" t="n">
        <v>70</v>
      </c>
      <c r="D2026" t="n">
        <v>51</v>
      </c>
      <c r="E2026" t="n">
        <v>115</v>
      </c>
      <c r="F2026" t="n">
        <v>0</v>
      </c>
      <c r="G2026">
        <f>SUMIF(PRISPELO!B:B, A2026, PRISPELO!G:G)</f>
        <v/>
      </c>
      <c r="H2026">
        <f>SUMIF(ODPIS!B:B, A2026, ODPIS!G:G)</f>
        <v/>
      </c>
      <c r="I2026" s="2">
        <f>F2026 + G2026 - H2026</f>
        <v/>
      </c>
    </row>
    <row r="2027">
      <c r="A2027" t="n">
        <v>4075</v>
      </c>
      <c r="B2027" t="inlineStr">
        <is>
          <t>ROYAL NEXT GLOSS</t>
        </is>
      </c>
      <c r="C2027" t="n">
        <v>64</v>
      </c>
      <c r="D2027" t="n">
        <v>90</v>
      </c>
      <c r="E2027" t="n">
        <v>150</v>
      </c>
      <c r="F2027" t="n">
        <v>0</v>
      </c>
      <c r="G2027">
        <f>SUMIF(PRISPELO!B:B, A2027, PRISPELO!G:G)</f>
        <v/>
      </c>
      <c r="H2027">
        <f>SUMIF(ODPIS!B:B, A2027, ODPIS!G:G)</f>
        <v/>
      </c>
      <c r="I2027" s="2">
        <f>F2027 + G2027 - H2027</f>
        <v/>
      </c>
    </row>
    <row r="2028">
      <c r="A2028" t="n">
        <v>4076</v>
      </c>
      <c r="B2028" t="inlineStr">
        <is>
          <t>AMBER PREPRINT OCR</t>
        </is>
      </c>
      <c r="C2028" t="n">
        <v>70</v>
      </c>
      <c r="D2028" t="n">
        <v>100</v>
      </c>
      <c r="E2028" t="n">
        <v>90</v>
      </c>
      <c r="F2028" t="n">
        <v>0</v>
      </c>
      <c r="G2028">
        <f>SUMIF(PRISPELO!B:B, A2028, PRISPELO!G:G)</f>
        <v/>
      </c>
      <c r="H2028">
        <f>SUMIF(ODPIS!B:B, A2028, ODPIS!G:G)</f>
        <v/>
      </c>
      <c r="I2028" s="2">
        <f>F2028 + G2028 - H2028</f>
        <v/>
      </c>
    </row>
    <row r="2029">
      <c r="A2029" t="n">
        <v>4077</v>
      </c>
      <c r="B2029" t="inlineStr">
        <is>
          <t>GIROFORM CF ZELEN</t>
        </is>
      </c>
      <c r="C2029" t="n">
        <v>45</v>
      </c>
      <c r="D2029" t="n">
        <v>64</v>
      </c>
      <c r="E2029" t="n">
        <v>60</v>
      </c>
      <c r="F2029" t="n">
        <v>0</v>
      </c>
      <c r="G2029">
        <f>SUMIF(PRISPELO!B:B, A2029, PRISPELO!G:G)</f>
        <v/>
      </c>
      <c r="H2029">
        <f>SUMIF(ODPIS!B:B, A2029, ODPIS!G:G)</f>
        <v/>
      </c>
      <c r="I2029" s="2">
        <f>F2029 + G2029 - H2029</f>
        <v/>
      </c>
    </row>
    <row r="2030">
      <c r="A2030" t="n">
        <v>4080</v>
      </c>
      <c r="B2030" t="inlineStr">
        <is>
          <t>TERRAPRINT GLOSS</t>
        </is>
      </c>
      <c r="C2030" t="n">
        <v>64</v>
      </c>
      <c r="D2030" t="n">
        <v>90</v>
      </c>
      <c r="E2030" t="n">
        <v>70</v>
      </c>
      <c r="F2030" t="n">
        <v>0</v>
      </c>
      <c r="G2030">
        <f>SUMIF(PRISPELO!B:B, A2030, PRISPELO!G:G)</f>
        <v/>
      </c>
      <c r="H2030">
        <f>SUMIF(ODPIS!B:B, A2030, ODPIS!G:G)</f>
        <v/>
      </c>
      <c r="I2030" s="2">
        <f>F2030 + G2030 - H2030</f>
        <v/>
      </c>
    </row>
    <row r="2031">
      <c r="A2031" t="n">
        <v>4081</v>
      </c>
      <c r="B2031" t="inlineStr">
        <is>
          <t>TERRAPRINT GLOSS</t>
        </is>
      </c>
      <c r="C2031" t="n">
        <v>70</v>
      </c>
      <c r="D2031" t="n">
        <v>100</v>
      </c>
      <c r="E2031" t="n">
        <v>70</v>
      </c>
      <c r="F2031" t="n">
        <v>0</v>
      </c>
      <c r="G2031">
        <f>SUMIF(PRISPELO!B:B, A2031, PRISPELO!G:G)</f>
        <v/>
      </c>
      <c r="H2031">
        <f>SUMIF(ODPIS!B:B, A2031, ODPIS!G:G)</f>
        <v/>
      </c>
      <c r="I2031" s="2">
        <f>F2031 + G2031 - H2031</f>
        <v/>
      </c>
    </row>
    <row r="2032">
      <c r="A2032" t="n">
        <v>4082</v>
      </c>
      <c r="B2032" t="inlineStr">
        <is>
          <t>ROYALCOAT PREMIUM SILK</t>
        </is>
      </c>
      <c r="C2032" t="n">
        <v>72</v>
      </c>
      <c r="D2032" t="n">
        <v>102</v>
      </c>
      <c r="E2032" t="n">
        <v>135</v>
      </c>
      <c r="F2032" t="n">
        <v>0</v>
      </c>
      <c r="G2032">
        <f>SUMIF(PRISPELO!B:B, A2032, PRISPELO!G:G)</f>
        <v/>
      </c>
      <c r="H2032">
        <f>SUMIF(ODPIS!B:B, A2032, ODPIS!G:G)</f>
        <v/>
      </c>
      <c r="I2032" s="2">
        <f>F2032 + G2032 - H2032</f>
        <v/>
      </c>
    </row>
    <row r="2033">
      <c r="A2033" t="n">
        <v>4083</v>
      </c>
      <c r="B2033" t="inlineStr">
        <is>
          <t>ROYALCOAT PREMIUM SILK</t>
        </is>
      </c>
      <c r="C2033" t="n">
        <v>100</v>
      </c>
      <c r="D2033" t="n">
        <v>70</v>
      </c>
      <c r="E2033" t="n">
        <v>300</v>
      </c>
      <c r="F2033" t="n">
        <v>0</v>
      </c>
      <c r="G2033">
        <f>SUMIF(PRISPELO!B:B, A2033, PRISPELO!G:G)</f>
        <v/>
      </c>
      <c r="H2033">
        <f>SUMIF(ODPIS!B:B, A2033, ODPIS!G:G)</f>
        <v/>
      </c>
      <c r="I2033" s="2">
        <f>F2033 + G2033 - H2033</f>
        <v/>
      </c>
    </row>
    <row r="2034">
      <c r="A2034" t="n">
        <v>4084</v>
      </c>
      <c r="B2034" t="inlineStr">
        <is>
          <t>ROYAL CFB</t>
        </is>
      </c>
      <c r="C2034" t="n">
        <v>86</v>
      </c>
      <c r="D2034" t="n">
        <v>61</v>
      </c>
      <c r="E2034" t="n">
        <v>58</v>
      </c>
      <c r="F2034" t="n">
        <v>0</v>
      </c>
      <c r="G2034">
        <f>SUMIF(PRISPELO!B:B, A2034, PRISPELO!G:G)</f>
        <v/>
      </c>
      <c r="H2034">
        <f>SUMIF(ODPIS!B:B, A2034, ODPIS!G:G)</f>
        <v/>
      </c>
      <c r="I2034" s="2">
        <f>F2034 + G2034 - H2034</f>
        <v/>
      </c>
    </row>
    <row r="2035">
      <c r="A2035" t="n">
        <v>4085</v>
      </c>
      <c r="B2035" t="inlineStr">
        <is>
          <t>Magno Satin</t>
        </is>
      </c>
      <c r="C2035" t="n">
        <v>70</v>
      </c>
      <c r="D2035" t="n">
        <v>53</v>
      </c>
      <c r="E2035" t="n">
        <v>115</v>
      </c>
      <c r="F2035" t="n">
        <v>0</v>
      </c>
      <c r="G2035">
        <f>SUMIF(PRISPELO!B:B, A2035, PRISPELO!G:G)</f>
        <v/>
      </c>
      <c r="H2035">
        <f>SUMIF(ODPIS!B:B, A2035, ODPIS!G:G)</f>
        <v/>
      </c>
      <c r="I2035" s="2">
        <f>F2035 + G2035 - H2035</f>
        <v/>
      </c>
    </row>
    <row r="2036">
      <c r="A2036" t="n">
        <v>4086</v>
      </c>
      <c r="B2036" t="inlineStr">
        <is>
          <t>sam. Mufflon Standart P KR 80</t>
        </is>
      </c>
      <c r="C2036" t="n">
        <v>50</v>
      </c>
      <c r="D2036" t="n">
        <v>70</v>
      </c>
      <c r="E2036" t="n">
        <v>80</v>
      </c>
      <c r="F2036" t="n">
        <v>0</v>
      </c>
      <c r="G2036">
        <f>SUMIF(PRISPELO!B:B, A2036, PRISPELO!G:G)</f>
        <v/>
      </c>
      <c r="H2036">
        <f>SUMIF(ODPIS!B:B, A2036, ODPIS!G:G)</f>
        <v/>
      </c>
      <c r="I2036" s="2">
        <f>F2036 + G2036 - H2036</f>
        <v/>
      </c>
    </row>
    <row r="2037">
      <c r="A2037" t="n">
        <v>4087</v>
      </c>
      <c r="B2037" t="inlineStr">
        <is>
          <t>Royal Coat Premium gloss</t>
        </is>
      </c>
      <c r="C2037" t="n">
        <v>64</v>
      </c>
      <c r="D2037" t="n">
        <v>90</v>
      </c>
      <c r="E2037" t="n">
        <v>300</v>
      </c>
      <c r="F2037" t="n">
        <v>0</v>
      </c>
      <c r="G2037">
        <f>SUMIF(PRISPELO!B:B, A2037, PRISPELO!G:G)</f>
        <v/>
      </c>
      <c r="H2037">
        <f>SUMIF(ODPIS!B:B, A2037, ODPIS!G:G)</f>
        <v/>
      </c>
      <c r="I2037" s="2">
        <f>F2037 + G2037 - H2037</f>
        <v/>
      </c>
    </row>
    <row r="2038">
      <c r="A2038" t="n">
        <v>4088</v>
      </c>
      <c r="B2038" t="inlineStr">
        <is>
          <t>SAMOLEPILNI ITALSTICK ZAREZAN</t>
        </is>
      </c>
      <c r="C2038" t="n">
        <v>50</v>
      </c>
      <c r="D2038" t="n">
        <v>70</v>
      </c>
      <c r="E2038" t="n">
        <v>120</v>
      </c>
      <c r="F2038" t="n">
        <v>0</v>
      </c>
      <c r="G2038">
        <f>SUMIF(PRISPELO!B:B, A2038, PRISPELO!G:G)</f>
        <v/>
      </c>
      <c r="H2038">
        <f>SUMIF(ODPIS!B:B, A2038, ODPIS!G:G)</f>
        <v/>
      </c>
      <c r="I2038" s="2">
        <f>F2038 + G2038 - H2038</f>
        <v/>
      </c>
    </row>
    <row r="2039">
      <c r="A2039" t="n">
        <v>2994</v>
      </c>
      <c r="B2039" t="inlineStr">
        <is>
          <t>Kuverta c6 BD SI</t>
        </is>
      </c>
      <c r="C2039" t="n">
        <v>11.4</v>
      </c>
      <c r="D2039" t="n">
        <v>16.2</v>
      </c>
      <c r="E2039" t="n">
        <v>90</v>
      </c>
      <c r="F2039" t="n">
        <v>0</v>
      </c>
      <c r="G2039">
        <f>SUMIF(PRISPELO!B:B, A2039, PRISPELO!G:G)</f>
        <v/>
      </c>
      <c r="H2039">
        <f>SUMIF(ODPIS!B:B, A2039, ODPIS!G:G)</f>
        <v/>
      </c>
      <c r="I2039" s="2">
        <f>F2039 + G2039 - H2039</f>
        <v/>
      </c>
    </row>
    <row r="2040">
      <c r="A2040" t="n">
        <v>4302</v>
      </c>
      <c r="B2040" t="inlineStr">
        <is>
          <t>GARDA MATT</t>
        </is>
      </c>
      <c r="C2040" t="n">
        <v>31.8</v>
      </c>
      <c r="D2040" t="n">
        <v>44.8</v>
      </c>
      <c r="E2040" t="n">
        <v>300</v>
      </c>
      <c r="F2040" t="n">
        <v>0</v>
      </c>
      <c r="G2040">
        <f>SUMIF(PRISPELO!B:B, A2040, PRISPELO!G:G)</f>
        <v/>
      </c>
      <c r="H2040">
        <f>SUMIF(ODPIS!B:B, A2040, ODPIS!G:G)</f>
        <v/>
      </c>
      <c r="I2040" s="2">
        <f>F2040 + G2040 - H2040</f>
        <v/>
      </c>
    </row>
    <row r="2041">
      <c r="A2041" t="n">
        <v>4089</v>
      </c>
      <c r="B2041" t="inlineStr">
        <is>
          <t>ROYALCOAT PREMIUM SILK</t>
        </is>
      </c>
      <c r="C2041" t="n">
        <v>72</v>
      </c>
      <c r="D2041" t="n">
        <v>102</v>
      </c>
      <c r="E2041" t="n">
        <v>150</v>
      </c>
      <c r="F2041" t="n">
        <v>0</v>
      </c>
      <c r="G2041">
        <f>SUMIF(PRISPELO!B:B, A2041, PRISPELO!G:G)</f>
        <v/>
      </c>
      <c r="H2041">
        <f>SUMIF(ODPIS!B:B, A2041, ODPIS!G:G)</f>
        <v/>
      </c>
      <c r="I2041" s="2">
        <f>F2041 + G2041 - H2041</f>
        <v/>
      </c>
    </row>
    <row r="2042">
      <c r="A2042" t="n">
        <v>4090</v>
      </c>
      <c r="B2042" t="inlineStr">
        <is>
          <t>AMBER OFFSET</t>
        </is>
      </c>
      <c r="C2042" t="n">
        <v>64</v>
      </c>
      <c r="D2042" t="n">
        <v>90</v>
      </c>
      <c r="E2042" t="n">
        <v>140</v>
      </c>
      <c r="F2042" t="n">
        <v>0</v>
      </c>
      <c r="G2042">
        <f>SUMIF(PRISPELO!B:B, A2042, PRISPELO!G:G)</f>
        <v/>
      </c>
      <c r="H2042">
        <f>SUMIF(ODPIS!B:B, A2042, ODPIS!G:G)</f>
        <v/>
      </c>
      <c r="I2042" s="2">
        <f>F2042 + G2042 - H2042</f>
        <v/>
      </c>
    </row>
    <row r="2043">
      <c r="A2043" t="n">
        <v>4091</v>
      </c>
      <c r="B2043" t="inlineStr">
        <is>
          <t>IQ COLOR MIDIUM BLUE</t>
        </is>
      </c>
      <c r="C2043" t="n">
        <v>210</v>
      </c>
      <c r="D2043" t="n">
        <v>297</v>
      </c>
      <c r="E2043" t="n">
        <v>80</v>
      </c>
      <c r="F2043" t="n">
        <v>0</v>
      </c>
      <c r="G2043">
        <f>SUMIF(PRISPELO!B:B, A2043, PRISPELO!G:G)</f>
        <v/>
      </c>
      <c r="H2043">
        <f>SUMIF(ODPIS!B:B, A2043, ODPIS!G:G)</f>
        <v/>
      </c>
      <c r="I2043" s="2">
        <f>F2043 + G2043 - H2043</f>
        <v/>
      </c>
    </row>
    <row r="2044">
      <c r="A2044" t="n">
        <v>4092</v>
      </c>
      <c r="B2044" t="inlineStr">
        <is>
          <t>SORA MEDICO</t>
        </is>
      </c>
      <c r="C2044" t="n">
        <v>75</v>
      </c>
      <c r="D2044" t="n">
        <v>57</v>
      </c>
      <c r="E2044" t="n">
        <v>50</v>
      </c>
      <c r="F2044" t="n">
        <v>0</v>
      </c>
      <c r="G2044">
        <f>SUMIF(PRISPELO!B:B, A2044, PRISPELO!G:G)</f>
        <v/>
      </c>
      <c r="H2044">
        <f>SUMIF(ODPIS!B:B, A2044, ODPIS!G:G)</f>
        <v/>
      </c>
      <c r="I2044" s="2">
        <f>F2044 + G2044 - H2044</f>
        <v/>
      </c>
    </row>
    <row r="2045">
      <c r="A2045" t="n">
        <v>4093</v>
      </c>
      <c r="B2045" t="inlineStr">
        <is>
          <t>ROYALCOAT PREMIUM SILK</t>
        </is>
      </c>
      <c r="C2045" t="n">
        <v>90</v>
      </c>
      <c r="D2045" t="n">
        <v>64</v>
      </c>
      <c r="E2045" t="n">
        <v>115</v>
      </c>
      <c r="F2045" t="n">
        <v>0</v>
      </c>
      <c r="G2045">
        <f>SUMIF(PRISPELO!B:B, A2045, PRISPELO!G:G)</f>
        <v/>
      </c>
      <c r="H2045">
        <f>SUMIF(ODPIS!B:B, A2045, ODPIS!G:G)</f>
        <v/>
      </c>
      <c r="I2045" s="2">
        <f>F2045 + G2045 - H2045</f>
        <v/>
      </c>
    </row>
    <row r="2046">
      <c r="A2046" t="n">
        <v>4094</v>
      </c>
      <c r="B2046" t="inlineStr">
        <is>
          <t>GARDA MATT</t>
        </is>
      </c>
      <c r="C2046" t="n">
        <v>88</v>
      </c>
      <c r="D2046" t="n">
        <v>63</v>
      </c>
      <c r="E2046" t="n">
        <v>350</v>
      </c>
      <c r="F2046" t="n">
        <v>0</v>
      </c>
      <c r="G2046">
        <f>SUMIF(PRISPELO!B:B, A2046, PRISPELO!G:G)</f>
        <v/>
      </c>
      <c r="H2046">
        <f>SUMIF(ODPIS!B:B, A2046, ODPIS!G:G)</f>
        <v/>
      </c>
      <c r="I2046" s="2">
        <f>F2046 + G2046 - H2046</f>
        <v/>
      </c>
    </row>
    <row r="2047">
      <c r="A2047" t="n">
        <v>4095</v>
      </c>
      <c r="B2047" t="inlineStr">
        <is>
          <t>CROMOSTAR</t>
        </is>
      </c>
      <c r="C2047" t="n">
        <v>102</v>
      </c>
      <c r="D2047" t="n">
        <v>72</v>
      </c>
      <c r="E2047" t="n">
        <v>350</v>
      </c>
      <c r="F2047" t="n">
        <v>0</v>
      </c>
      <c r="G2047">
        <f>SUMIF(PRISPELO!B:B, A2047, PRISPELO!G:G)</f>
        <v/>
      </c>
      <c r="H2047">
        <f>SUMIF(ODPIS!B:B, A2047, ODPIS!G:G)</f>
        <v/>
      </c>
      <c r="I2047" s="2">
        <f>F2047 + G2047 - H2047</f>
        <v/>
      </c>
    </row>
    <row r="2048">
      <c r="A2048" t="n">
        <v>4096</v>
      </c>
      <c r="B2048" t="inlineStr">
        <is>
          <t>IQ PRINT</t>
        </is>
      </c>
      <c r="C2048" t="n">
        <v>45</v>
      </c>
      <c r="D2048" t="n">
        <v>64</v>
      </c>
      <c r="E2048" t="n">
        <v>140</v>
      </c>
      <c r="F2048" t="n">
        <v>0</v>
      </c>
      <c r="G2048">
        <f>SUMIF(PRISPELO!B:B, A2048, PRISPELO!G:G)</f>
        <v/>
      </c>
      <c r="H2048">
        <f>SUMIF(ODPIS!B:B, A2048, ODPIS!G:G)</f>
        <v/>
      </c>
      <c r="I2048" s="2">
        <f>F2048 + G2048 - H2048</f>
        <v/>
      </c>
    </row>
    <row r="2049">
      <c r="A2049" t="n">
        <v>4097</v>
      </c>
      <c r="B2049" t="inlineStr">
        <is>
          <t>ROYAL EXTRA BULK</t>
        </is>
      </c>
      <c r="C2049" t="n">
        <v>90</v>
      </c>
      <c r="D2049" t="n">
        <v>64</v>
      </c>
      <c r="E2049" t="n">
        <v>90</v>
      </c>
      <c r="F2049" t="n">
        <v>0</v>
      </c>
      <c r="G2049">
        <f>SUMIF(PRISPELO!B:B, A2049, PRISPELO!G:G)</f>
        <v/>
      </c>
      <c r="H2049">
        <f>SUMIF(ODPIS!B:B, A2049, ODPIS!G:G)</f>
        <v/>
      </c>
      <c r="I2049" s="2">
        <f>F2049 + G2049 - H2049</f>
        <v/>
      </c>
    </row>
    <row r="2050">
      <c r="A2050" t="n">
        <v>4098</v>
      </c>
      <c r="B2050" t="inlineStr">
        <is>
          <t>AMBER OFFSET</t>
        </is>
      </c>
      <c r="C2050" t="n">
        <v>64</v>
      </c>
      <c r="D2050" t="n">
        <v>90</v>
      </c>
      <c r="E2050" t="n">
        <v>170</v>
      </c>
      <c r="F2050" t="n">
        <v>0</v>
      </c>
      <c r="G2050">
        <f>SUMIF(PRISPELO!B:B, A2050, PRISPELO!G:G)</f>
        <v/>
      </c>
      <c r="H2050">
        <f>SUMIF(ODPIS!B:B, A2050, ODPIS!G:G)</f>
        <v/>
      </c>
      <c r="I2050" s="2">
        <f>F2050 + G2050 - H2050</f>
        <v/>
      </c>
    </row>
    <row r="2051">
      <c r="A2051" t="n">
        <v>4099</v>
      </c>
      <c r="B2051" t="inlineStr">
        <is>
          <t>IQ COLOR YELLOW</t>
        </is>
      </c>
      <c r="C2051" t="n">
        <v>92</v>
      </c>
      <c r="D2051" t="n">
        <v>65</v>
      </c>
      <c r="E2051" t="n">
        <v>80</v>
      </c>
      <c r="F2051" t="n">
        <v>0</v>
      </c>
      <c r="G2051">
        <f>SUMIF(PRISPELO!B:B, A2051, PRISPELO!G:G)</f>
        <v/>
      </c>
      <c r="H2051">
        <f>SUMIF(ODPIS!B:B, A2051, ODPIS!G:G)</f>
        <v/>
      </c>
      <c r="I2051" s="2">
        <f>F2051 + G2051 - H2051</f>
        <v/>
      </c>
    </row>
    <row r="2052">
      <c r="A2052" t="n">
        <v>4100</v>
      </c>
      <c r="B2052" t="inlineStr">
        <is>
          <t>KOEHLER ECO BLACK</t>
        </is>
      </c>
      <c r="C2052" t="n">
        <v>72</v>
      </c>
      <c r="D2052" t="n">
        <v>102</v>
      </c>
      <c r="E2052" t="n">
        <v>270</v>
      </c>
      <c r="F2052" t="n">
        <v>0</v>
      </c>
      <c r="G2052">
        <f>SUMIF(PRISPELO!B:B, A2052, PRISPELO!G:G)</f>
        <v/>
      </c>
      <c r="H2052">
        <f>SUMIF(ODPIS!B:B, A2052, ODPIS!G:G)</f>
        <v/>
      </c>
      <c r="I2052" s="2">
        <f>F2052 + G2052 - H2052</f>
        <v/>
      </c>
    </row>
    <row r="2053">
      <c r="A2053" t="n">
        <v>4101</v>
      </c>
      <c r="B2053" t="inlineStr">
        <is>
          <t>ROYAL EXTRA BULK</t>
        </is>
      </c>
      <c r="C2053" t="n">
        <v>45</v>
      </c>
      <c r="D2053" t="n">
        <v>64</v>
      </c>
      <c r="E2053" t="n">
        <v>170</v>
      </c>
      <c r="F2053" t="n">
        <v>0</v>
      </c>
      <c r="G2053">
        <f>SUMIF(PRISPELO!B:B, A2053, PRISPELO!G:G)</f>
        <v/>
      </c>
      <c r="H2053">
        <f>SUMIF(ODPIS!B:B, A2053, ODPIS!G:G)</f>
        <v/>
      </c>
      <c r="I2053" s="2">
        <f>F2053 + G2053 - H2053</f>
        <v/>
      </c>
    </row>
    <row r="2054">
      <c r="A2054" t="n">
        <v>4102</v>
      </c>
      <c r="B2054" t="inlineStr">
        <is>
          <t>ROYAL OFFSET</t>
        </is>
      </c>
      <c r="C2054" t="n">
        <v>70</v>
      </c>
      <c r="D2054" t="n">
        <v>100</v>
      </c>
      <c r="E2054" t="n">
        <v>80</v>
      </c>
      <c r="F2054" t="n">
        <v>0</v>
      </c>
      <c r="G2054">
        <f>SUMIF(PRISPELO!B:B, A2054, PRISPELO!G:G)</f>
        <v/>
      </c>
      <c r="H2054">
        <f>SUMIF(ODPIS!B:B, A2054, ODPIS!G:G)</f>
        <v/>
      </c>
      <c r="I2054" s="2">
        <f>F2054 + G2054 - H2054</f>
        <v/>
      </c>
    </row>
    <row r="2055">
      <c r="A2055" t="n">
        <v>4103</v>
      </c>
      <c r="B2055" t="inlineStr">
        <is>
          <t>SAM. VELUM REMUVABLE ZASEKAN HRBET</t>
        </is>
      </c>
      <c r="C2055" t="n">
        <v>70</v>
      </c>
      <c r="D2055" t="n">
        <v>100</v>
      </c>
      <c r="E2055" t="n">
        <v>200</v>
      </c>
      <c r="F2055" t="n">
        <v>0</v>
      </c>
      <c r="G2055">
        <f>SUMIF(PRISPELO!B:B, A2055, PRISPELO!G:G)</f>
        <v/>
      </c>
      <c r="H2055">
        <f>SUMIF(ODPIS!B:B, A2055, ODPIS!G:G)</f>
        <v/>
      </c>
      <c r="I2055" s="2">
        <f>F2055 + G2055 - H2055</f>
        <v/>
      </c>
    </row>
    <row r="2056">
      <c r="A2056" t="n">
        <v>4104</v>
      </c>
      <c r="B2056" t="inlineStr">
        <is>
          <t>ROYAL PREMUM SILK</t>
        </is>
      </c>
      <c r="C2056" t="n">
        <v>90</v>
      </c>
      <c r="D2056" t="n">
        <v>64</v>
      </c>
      <c r="E2056" t="n">
        <v>170</v>
      </c>
      <c r="F2056" t="n">
        <v>0</v>
      </c>
      <c r="G2056">
        <f>SUMIF(PRISPELO!B:B, A2056, PRISPELO!G:G)</f>
        <v/>
      </c>
      <c r="H2056">
        <f>SUMIF(ODPIS!B:B, A2056, ODPIS!G:G)</f>
        <v/>
      </c>
      <c r="I2056" s="2">
        <f>F2056 + G2056 - H2056</f>
        <v/>
      </c>
    </row>
    <row r="2057">
      <c r="A2057" t="n">
        <v>4105</v>
      </c>
      <c r="B2057" t="inlineStr">
        <is>
          <t>ROYALCOAT PREMIUM GLOSS</t>
        </is>
      </c>
      <c r="C2057" t="n">
        <v>90</v>
      </c>
      <c r="D2057" t="n">
        <v>64</v>
      </c>
      <c r="E2057" t="n">
        <v>170</v>
      </c>
      <c r="F2057" t="n">
        <v>0</v>
      </c>
      <c r="G2057">
        <f>SUMIF(PRISPELO!B:B, A2057, PRISPELO!G:G)</f>
        <v/>
      </c>
      <c r="H2057">
        <f>SUMIF(ODPIS!B:B, A2057, ODPIS!G:G)</f>
        <v/>
      </c>
      <c r="I2057" s="2">
        <f>F2057 + G2057 - H2057</f>
        <v/>
      </c>
    </row>
    <row r="2058">
      <c r="A2058" t="n">
        <v>4106</v>
      </c>
      <c r="B2058" t="inlineStr">
        <is>
          <t>ROYAL NCR CFB</t>
        </is>
      </c>
      <c r="C2058" t="n">
        <v>90</v>
      </c>
      <c r="D2058" t="n">
        <v>64</v>
      </c>
      <c r="E2058" t="n">
        <v>58</v>
      </c>
      <c r="F2058" t="n">
        <v>0</v>
      </c>
      <c r="G2058">
        <f>SUMIF(PRISPELO!B:B, A2058, PRISPELO!G:G)</f>
        <v/>
      </c>
      <c r="H2058">
        <f>SUMIF(ODPIS!B:B, A2058, ODPIS!G:G)</f>
        <v/>
      </c>
      <c r="I2058" s="2">
        <f>F2058 + G2058 - H2058</f>
        <v/>
      </c>
    </row>
    <row r="2059">
      <c r="A2059" t="n">
        <v>4107</v>
      </c>
      <c r="B2059" t="inlineStr">
        <is>
          <t>ROYALCOAT PREMIUM SILK</t>
        </is>
      </c>
      <c r="C2059" t="n">
        <v>70</v>
      </c>
      <c r="D2059" t="n">
        <v>100</v>
      </c>
      <c r="E2059" t="n">
        <v>90</v>
      </c>
      <c r="F2059" t="n">
        <v>0</v>
      </c>
      <c r="G2059">
        <f>SUMIF(PRISPELO!B:B, A2059, PRISPELO!G:G)</f>
        <v/>
      </c>
      <c r="H2059">
        <f>SUMIF(ODPIS!B:B, A2059, ODPIS!G:G)</f>
        <v/>
      </c>
      <c r="I2059" s="2">
        <f>F2059 + G2059 - H2059</f>
        <v/>
      </c>
    </row>
    <row r="2060">
      <c r="A2060" t="n">
        <v>4108</v>
      </c>
      <c r="B2060" t="inlineStr">
        <is>
          <t>ALGRO DESIGN-DUO</t>
        </is>
      </c>
      <c r="C2060" t="n">
        <v>102</v>
      </c>
      <c r="D2060" t="n">
        <v>72</v>
      </c>
      <c r="E2060" t="n">
        <v>270</v>
      </c>
      <c r="F2060" t="n">
        <v>0</v>
      </c>
      <c r="G2060">
        <f>SUMIF(PRISPELO!B:B, A2060, PRISPELO!G:G)</f>
        <v/>
      </c>
      <c r="H2060">
        <f>SUMIF(ODPIS!B:B, A2060, ODPIS!G:G)</f>
        <v/>
      </c>
      <c r="I2060" s="2">
        <f>F2060 + G2060 - H2060</f>
        <v/>
      </c>
    </row>
    <row r="2061">
      <c r="A2061" t="n">
        <v>4109</v>
      </c>
      <c r="B2061" t="inlineStr">
        <is>
          <t>MAGNO SATIN</t>
        </is>
      </c>
      <c r="C2061" t="n">
        <v>70</v>
      </c>
      <c r="D2061" t="n">
        <v>106</v>
      </c>
      <c r="E2061" t="n">
        <v>90</v>
      </c>
      <c r="F2061" t="n">
        <v>0</v>
      </c>
      <c r="G2061">
        <f>SUMIF(PRISPELO!B:B, A2061, PRISPELO!G:G)</f>
        <v/>
      </c>
      <c r="H2061">
        <f>SUMIF(ODPIS!B:B, A2061, ODPIS!G:G)</f>
        <v/>
      </c>
      <c r="I2061" s="2">
        <f>F2061 + G2061 - H2061</f>
        <v/>
      </c>
    </row>
    <row r="2062">
      <c r="A2062" t="n">
        <v>4110</v>
      </c>
      <c r="B2062" t="inlineStr">
        <is>
          <t>GARDAMATT ART</t>
        </is>
      </c>
      <c r="C2062" t="n">
        <v>90</v>
      </c>
      <c r="D2062" t="n">
        <v>64</v>
      </c>
      <c r="E2062" t="n">
        <v>130</v>
      </c>
      <c r="F2062" t="n">
        <v>0</v>
      </c>
      <c r="G2062">
        <f>SUMIF(PRISPELO!B:B, A2062, PRISPELO!G:G)</f>
        <v/>
      </c>
      <c r="H2062">
        <f>SUMIF(ODPIS!B:B, A2062, ODPIS!G:G)</f>
        <v/>
      </c>
      <c r="I2062" s="2">
        <f>F2062 + G2062 - H2062</f>
        <v/>
      </c>
    </row>
    <row r="2063">
      <c r="A2063" t="n">
        <v>4112</v>
      </c>
      <c r="B2063" t="inlineStr">
        <is>
          <t xml:space="preserve"> FEDRIGONI COCTAIL WHITE LADY</t>
        </is>
      </c>
      <c r="C2063" t="n">
        <v>70</v>
      </c>
      <c r="D2063" t="n">
        <v>100</v>
      </c>
      <c r="E2063" t="n">
        <v>290</v>
      </c>
      <c r="F2063" t="n">
        <v>0</v>
      </c>
      <c r="G2063">
        <f>SUMIF(PRISPELO!B:B, A2063, PRISPELO!G:G)</f>
        <v/>
      </c>
      <c r="H2063">
        <f>SUMIF(ODPIS!B:B, A2063, ODPIS!G:G)</f>
        <v/>
      </c>
      <c r="I2063" s="2">
        <f>F2063 + G2063 - H2063</f>
        <v/>
      </c>
    </row>
    <row r="2064">
      <c r="A2064" t="n">
        <v>4113</v>
      </c>
      <c r="B2064" t="inlineStr">
        <is>
          <t>ALGRO DESIGN 1S</t>
        </is>
      </c>
      <c r="C2064" t="n">
        <v>72</v>
      </c>
      <c r="D2064" t="n">
        <v>102</v>
      </c>
      <c r="E2064" t="n">
        <v>350</v>
      </c>
      <c r="F2064" t="n">
        <v>0</v>
      </c>
      <c r="G2064">
        <f>SUMIF(PRISPELO!B:B, A2064, PRISPELO!G:G)</f>
        <v/>
      </c>
      <c r="H2064">
        <f>SUMIF(ODPIS!B:B, A2064, ODPIS!G:G)</f>
        <v/>
      </c>
      <c r="I2064" s="2">
        <f>F2064 + G2064 - H2064</f>
        <v/>
      </c>
    </row>
    <row r="2065">
      <c r="A2065" t="n">
        <v>4114</v>
      </c>
      <c r="B2065" t="inlineStr">
        <is>
          <t>MultiOffeset</t>
        </is>
      </c>
      <c r="C2065" t="n">
        <v>70</v>
      </c>
      <c r="D2065" t="n">
        <v>100</v>
      </c>
      <c r="E2065" t="n">
        <v>60</v>
      </c>
      <c r="F2065" t="n">
        <v>0</v>
      </c>
      <c r="G2065">
        <f>SUMIF(PRISPELO!B:B, A2065, PRISPELO!G:G)</f>
        <v/>
      </c>
      <c r="H2065">
        <f>SUMIF(ODPIS!B:B, A2065, ODPIS!G:G)</f>
        <v/>
      </c>
      <c r="I2065" s="2">
        <f>F2065 + G2065 - H2065</f>
        <v/>
      </c>
    </row>
    <row r="2066">
      <c r="A2066" t="n">
        <v>4115</v>
      </c>
      <c r="B2066" t="inlineStr">
        <is>
          <t>GRAFOPAK</t>
        </is>
      </c>
      <c r="C2066" t="n">
        <v>101</v>
      </c>
      <c r="D2066" t="n">
        <v>71</v>
      </c>
      <c r="E2066" t="n">
        <v>400</v>
      </c>
      <c r="F2066" t="n">
        <v>0</v>
      </c>
      <c r="G2066">
        <f>SUMIF(PRISPELO!B:B, A2066, PRISPELO!G:G)</f>
        <v/>
      </c>
      <c r="H2066">
        <f>SUMIF(ODPIS!B:B, A2066, ODPIS!G:G)</f>
        <v/>
      </c>
      <c r="I2066" s="2">
        <f>F2066 + G2066 - H2066</f>
        <v/>
      </c>
    </row>
    <row r="2067">
      <c r="A2067" t="n">
        <v>4116</v>
      </c>
      <c r="B2067" t="inlineStr">
        <is>
          <t>KRAFT PAK (RJAVI PAPIR)</t>
        </is>
      </c>
      <c r="C2067" t="n">
        <v>102</v>
      </c>
      <c r="D2067" t="n">
        <v>72</v>
      </c>
      <c r="E2067" t="n">
        <v>332</v>
      </c>
      <c r="F2067" t="n">
        <v>0</v>
      </c>
      <c r="G2067">
        <f>SUMIF(PRISPELO!B:B, A2067, PRISPELO!G:G)</f>
        <v/>
      </c>
      <c r="H2067">
        <f>SUMIF(ODPIS!B:B, A2067, ODPIS!G:G)</f>
        <v/>
      </c>
      <c r="I2067" s="2">
        <f>F2067 + G2067 - H2067</f>
        <v/>
      </c>
    </row>
    <row r="2068">
      <c r="A2068" t="n">
        <v>4119</v>
      </c>
      <c r="B2068" t="inlineStr">
        <is>
          <t>OFFESET LIRIS</t>
        </is>
      </c>
      <c r="C2068" t="n">
        <v>90</v>
      </c>
      <c r="D2068" t="n">
        <v>64</v>
      </c>
      <c r="E2068" t="n">
        <v>120</v>
      </c>
      <c r="F2068" t="n">
        <v>0</v>
      </c>
      <c r="G2068">
        <f>SUMIF(PRISPELO!B:B, A2068, PRISPELO!G:G)</f>
        <v/>
      </c>
      <c r="H2068">
        <f>SUMIF(ODPIS!B:B, A2068, ODPIS!G:G)</f>
        <v/>
      </c>
      <c r="I2068" s="2">
        <f>F2068 + G2068 - H2068</f>
        <v/>
      </c>
    </row>
    <row r="2069">
      <c r="A2069" t="n">
        <v>4120</v>
      </c>
      <c r="B2069" t="inlineStr">
        <is>
          <t>ROYAL NCR CB</t>
        </is>
      </c>
      <c r="C2069" t="n">
        <v>90</v>
      </c>
      <c r="D2069" t="n">
        <v>64</v>
      </c>
      <c r="E2069" t="n">
        <v>60</v>
      </c>
      <c r="F2069" t="n">
        <v>0</v>
      </c>
      <c r="G2069">
        <f>SUMIF(PRISPELO!B:B, A2069, PRISPELO!G:G)</f>
        <v/>
      </c>
      <c r="H2069">
        <f>SUMIF(ODPIS!B:B, A2069, ODPIS!G:G)</f>
        <v/>
      </c>
      <c r="I2069" s="2">
        <f>F2069 + G2069 - H2069</f>
        <v/>
      </c>
    </row>
    <row r="2070">
      <c r="A2070" t="n">
        <v>4121</v>
      </c>
      <c r="B2070" t="inlineStr">
        <is>
          <t>ROYAL NCR CF</t>
        </is>
      </c>
      <c r="C2070" t="n">
        <v>90</v>
      </c>
      <c r="D2070" t="n">
        <v>64</v>
      </c>
      <c r="E2070" t="n">
        <v>60</v>
      </c>
      <c r="F2070" t="n">
        <v>0</v>
      </c>
      <c r="G2070">
        <f>SUMIF(PRISPELO!B:B, A2070, PRISPELO!G:G)</f>
        <v/>
      </c>
      <c r="H2070">
        <f>SUMIF(ODPIS!B:B, A2070, ODPIS!G:G)</f>
        <v/>
      </c>
      <c r="I2070" s="2">
        <f>F2070 + G2070 - H2070</f>
        <v/>
      </c>
    </row>
    <row r="2071">
      <c r="A2071" t="n">
        <v>4123</v>
      </c>
      <c r="B2071" t="inlineStr">
        <is>
          <t>GC1 BOHUI EAGLE PLUS</t>
        </is>
      </c>
      <c r="C2071" t="n">
        <v>72</v>
      </c>
      <c r="D2071" t="n">
        <v>102</v>
      </c>
      <c r="E2071" t="n">
        <v>300</v>
      </c>
      <c r="F2071" t="n">
        <v>0</v>
      </c>
      <c r="G2071">
        <f>SUMIF(PRISPELO!B:B, A2071, PRISPELO!G:G)</f>
        <v/>
      </c>
      <c r="H2071">
        <f>SUMIF(ODPIS!B:B, A2071, ODPIS!G:G)</f>
        <v/>
      </c>
      <c r="I2071" s="2">
        <f>F2071 + G2071 - H2071</f>
        <v/>
      </c>
    </row>
    <row r="2072">
      <c r="A2072" t="n">
        <v>4124</v>
      </c>
      <c r="B2072" t="inlineStr">
        <is>
          <t>SORA PRESS</t>
        </is>
      </c>
      <c r="C2072" t="n">
        <v>90</v>
      </c>
      <c r="D2072" t="n">
        <v>64</v>
      </c>
      <c r="E2072" t="n">
        <v>120</v>
      </c>
      <c r="F2072" t="n">
        <v>0</v>
      </c>
      <c r="G2072">
        <f>SUMIF(PRISPELO!B:B, A2072, PRISPELO!G:G)</f>
        <v/>
      </c>
      <c r="H2072">
        <f>SUMIF(ODPIS!B:B, A2072, ODPIS!G:G)</f>
        <v/>
      </c>
      <c r="I2072" s="2">
        <f>F2072 + G2072 - H2072</f>
        <v/>
      </c>
    </row>
    <row r="2073">
      <c r="A2073" t="n">
        <v>4126</v>
      </c>
      <c r="B2073" t="inlineStr">
        <is>
          <t>LEPENKA ESKABOARD 2,0 MM</t>
        </is>
      </c>
      <c r="C2073" t="n">
        <v>72</v>
      </c>
      <c r="D2073" t="n">
        <v>102</v>
      </c>
      <c r="E2073" t="n">
        <v>455</v>
      </c>
      <c r="F2073" t="n">
        <v>0</v>
      </c>
      <c r="G2073">
        <f>SUMIF(PRISPELO!B:B, A2073, PRISPELO!G:G)</f>
        <v/>
      </c>
      <c r="H2073">
        <f>SUMIF(ODPIS!B:B, A2073, ODPIS!G:G)</f>
        <v/>
      </c>
      <c r="I2073" s="2">
        <f>F2073 + G2073 - H2073</f>
        <v/>
      </c>
    </row>
    <row r="2074">
      <c r="A2074" t="n">
        <v>4128</v>
      </c>
      <c r="B2074" t="inlineStr">
        <is>
          <t>PERIGOLD MATT</t>
        </is>
      </c>
      <c r="C2074" t="n">
        <v>70</v>
      </c>
      <c r="D2074" t="n">
        <v>100</v>
      </c>
      <c r="E2074" t="n">
        <v>200</v>
      </c>
      <c r="F2074" t="n">
        <v>0</v>
      </c>
      <c r="G2074">
        <f>SUMIF(PRISPELO!B:B, A2074, PRISPELO!G:G)</f>
        <v/>
      </c>
      <c r="H2074">
        <f>SUMIF(ODPIS!B:B, A2074, ODPIS!G:G)</f>
        <v/>
      </c>
      <c r="I2074" s="2">
        <f>F2074 + G2074 - H2074</f>
        <v/>
      </c>
    </row>
    <row r="2075">
      <c r="A2075" t="n">
        <v>4129</v>
      </c>
      <c r="B2075" t="inlineStr">
        <is>
          <t>Impact Natural</t>
        </is>
      </c>
      <c r="C2075" t="n">
        <v>90</v>
      </c>
      <c r="D2075" t="n">
        <v>64</v>
      </c>
      <c r="E2075" t="n">
        <v>135</v>
      </c>
      <c r="F2075" t="n">
        <v>0</v>
      </c>
      <c r="G2075">
        <f>SUMIF(PRISPELO!B:B, A2075, PRISPELO!G:G)</f>
        <v/>
      </c>
      <c r="H2075">
        <f>SUMIF(ODPIS!B:B, A2075, ODPIS!G:G)</f>
        <v/>
      </c>
      <c r="I2075" s="2">
        <f>F2075 + G2075 - H2075</f>
        <v/>
      </c>
    </row>
    <row r="2076">
      <c r="A2076" t="n">
        <v>4130</v>
      </c>
      <c r="B2076" t="inlineStr">
        <is>
          <t>IQ COLOR IVORY</t>
        </is>
      </c>
      <c r="C2076" t="n">
        <v>70</v>
      </c>
      <c r="D2076" t="n">
        <v>100</v>
      </c>
      <c r="E2076" t="n">
        <v>120</v>
      </c>
      <c r="F2076" t="n">
        <v>0</v>
      </c>
      <c r="G2076">
        <f>SUMIF(PRISPELO!B:B, A2076, PRISPELO!G:G)</f>
        <v/>
      </c>
      <c r="H2076">
        <f>SUMIF(ODPIS!B:B, A2076, ODPIS!G:G)</f>
        <v/>
      </c>
      <c r="I2076" s="2">
        <f>F2076 + G2076 - H2076</f>
        <v/>
      </c>
    </row>
    <row r="2077">
      <c r="A2077" t="n">
        <v>4131</v>
      </c>
      <c r="B2077" t="inlineStr">
        <is>
          <t>GARDA MATT ART</t>
        </is>
      </c>
      <c r="C2077" t="n">
        <v>64</v>
      </c>
      <c r="D2077" t="n">
        <v>90</v>
      </c>
      <c r="E2077" t="n">
        <v>200</v>
      </c>
      <c r="F2077" t="n">
        <v>0</v>
      </c>
      <c r="G2077">
        <f>SUMIF(PRISPELO!B:B, A2077, PRISPELO!G:G)</f>
        <v/>
      </c>
      <c r="H2077">
        <f>SUMIF(ODPIS!B:B, A2077, ODPIS!G:G)</f>
        <v/>
      </c>
      <c r="I2077" s="2">
        <f>F2077 + G2077 - H2077</f>
        <v/>
      </c>
    </row>
    <row r="2078">
      <c r="A2078" t="n">
        <v>4132</v>
      </c>
      <c r="B2078" t="inlineStr">
        <is>
          <t>ROYALCOAT PREMIUM SILK</t>
        </is>
      </c>
      <c r="C2078" t="n">
        <v>56</v>
      </c>
      <c r="D2078" t="n">
        <v>50</v>
      </c>
      <c r="E2078" t="n">
        <v>250</v>
      </c>
      <c r="F2078" t="n">
        <v>0</v>
      </c>
      <c r="G2078">
        <f>SUMIF(PRISPELO!B:B, A2078, PRISPELO!G:G)</f>
        <v/>
      </c>
      <c r="H2078">
        <f>SUMIF(ODPIS!B:B, A2078, ODPIS!G:G)</f>
        <v/>
      </c>
      <c r="I2078" s="2">
        <f>F2078 + G2078 - H2078</f>
        <v/>
      </c>
    </row>
    <row r="2079">
      <c r="A2079" t="n">
        <v>4133</v>
      </c>
      <c r="B2079" t="inlineStr">
        <is>
          <t>JADE PROTECT</t>
        </is>
      </c>
      <c r="C2079" t="n">
        <v>70</v>
      </c>
      <c r="D2079" t="n">
        <v>100</v>
      </c>
      <c r="E2079" t="n">
        <v>370</v>
      </c>
      <c r="F2079" t="n">
        <v>0</v>
      </c>
      <c r="G2079">
        <f>SUMIF(PRISPELO!B:B, A2079, PRISPELO!G:G)</f>
        <v/>
      </c>
      <c r="H2079">
        <f>SUMIF(ODPIS!B:B, A2079, ODPIS!G:G)</f>
        <v/>
      </c>
      <c r="I2079" s="2">
        <f>F2079 + G2079 - H2079</f>
        <v/>
      </c>
    </row>
    <row r="2080">
      <c r="A2080" t="n">
        <v>4134</v>
      </c>
      <c r="B2080" t="inlineStr">
        <is>
          <t>RESPECTA SATIN</t>
        </is>
      </c>
      <c r="C2080" t="n">
        <v>102</v>
      </c>
      <c r="D2080" t="n">
        <v>72</v>
      </c>
      <c r="E2080" t="n">
        <v>300</v>
      </c>
      <c r="F2080" t="n">
        <v>0</v>
      </c>
      <c r="G2080">
        <f>SUMIF(PRISPELO!B:B, A2080, PRISPELO!G:G)</f>
        <v/>
      </c>
      <c r="H2080">
        <f>SUMIF(ODPIS!B:B, A2080, ODPIS!G:G)</f>
        <v/>
      </c>
      <c r="I2080" s="2">
        <f>F2080 + G2080 - H2080</f>
        <v/>
      </c>
    </row>
    <row r="2081">
      <c r="A2081" t="n">
        <v>2713</v>
      </c>
      <c r="B2081" t="inlineStr">
        <is>
          <t>Kuverta C5 BO Nova kuverta</t>
        </is>
      </c>
      <c r="C2081" t="n">
        <v>16.2</v>
      </c>
      <c r="D2081" t="n">
        <v>22.9</v>
      </c>
      <c r="E2081" t="n">
        <v>90</v>
      </c>
      <c r="F2081" t="n">
        <v>0</v>
      </c>
      <c r="G2081">
        <f>SUMIF(PRISPELO!B:B, A2081, PRISPELO!G:G)</f>
        <v/>
      </c>
      <c r="H2081">
        <f>SUMIF(ODPIS!B:B, A2081, ODPIS!G:G)</f>
        <v/>
      </c>
      <c r="I2081" s="2">
        <f>F2081 + G2081 - H2081</f>
        <v/>
      </c>
    </row>
    <row r="2082">
      <c r="A2082" t="n">
        <v>1979</v>
      </c>
      <c r="B2082" t="inlineStr">
        <is>
          <t>Kuverta C4 BD Si</t>
        </is>
      </c>
      <c r="C2082" t="n">
        <v>32.4</v>
      </c>
      <c r="D2082" t="n">
        <v>22.9</v>
      </c>
      <c r="E2082" t="n">
        <v>90</v>
      </c>
      <c r="F2082" t="n">
        <v>0</v>
      </c>
      <c r="G2082">
        <f>SUMIF(PRISPELO!B:B, A2082, PRISPELO!G:G)</f>
        <v/>
      </c>
      <c r="H2082">
        <f>SUMIF(ODPIS!B:B, A2082, ODPIS!G:G)</f>
        <v/>
      </c>
      <c r="I2082" s="2">
        <f>F2082 + G2082 - H2082</f>
        <v/>
      </c>
    </row>
    <row r="2083">
      <c r="A2083" t="n">
        <v>4135</v>
      </c>
      <c r="B2083" t="inlineStr">
        <is>
          <t>IQ color medium blue</t>
        </is>
      </c>
      <c r="C2083" t="n">
        <v>92</v>
      </c>
      <c r="D2083" t="n">
        <v>65</v>
      </c>
      <c r="E2083" t="n">
        <v>80</v>
      </c>
      <c r="F2083" t="n">
        <v>0</v>
      </c>
      <c r="G2083">
        <f>SUMIF(PRISPELO!B:B, A2083, PRISPELO!G:G)</f>
        <v/>
      </c>
      <c r="H2083">
        <f>SUMIF(ODPIS!B:B, A2083, ODPIS!G:G)</f>
        <v/>
      </c>
      <c r="I2083" s="2">
        <f>F2083 + G2083 - H2083</f>
        <v/>
      </c>
    </row>
    <row r="2084">
      <c r="A2084" t="n">
        <v>4136</v>
      </c>
      <c r="B2084" t="inlineStr">
        <is>
          <t>FEDRIGONI MATERICA KRAFT</t>
        </is>
      </c>
      <c r="C2084" t="n">
        <v>70</v>
      </c>
      <c r="D2084" t="n">
        <v>100</v>
      </c>
      <c r="E2084" t="n">
        <v>180</v>
      </c>
      <c r="F2084" t="n">
        <v>0</v>
      </c>
      <c r="G2084">
        <f>SUMIF(PRISPELO!B:B, A2084, PRISPELO!G:G)</f>
        <v/>
      </c>
      <c r="H2084">
        <f>SUMIF(ODPIS!B:B, A2084, ODPIS!G:G)</f>
        <v/>
      </c>
      <c r="I2084" s="2">
        <f>F2084 + G2084 - H2084</f>
        <v/>
      </c>
    </row>
    <row r="2085">
      <c r="A2085" t="n">
        <v>4137</v>
      </c>
      <c r="B2085" t="inlineStr">
        <is>
          <t>VELUM 70 EP KR 125  (MUFLON)</t>
        </is>
      </c>
      <c r="C2085" t="n">
        <v>50</v>
      </c>
      <c r="D2085" t="n">
        <v>70</v>
      </c>
      <c r="E2085" t="n">
        <v>70</v>
      </c>
      <c r="F2085" t="n">
        <v>0</v>
      </c>
      <c r="G2085">
        <f>SUMIF(PRISPELO!B:B, A2085, PRISPELO!G:G)</f>
        <v/>
      </c>
      <c r="H2085">
        <f>SUMIF(ODPIS!B:B, A2085, ODPIS!G:G)</f>
        <v/>
      </c>
      <c r="I2085" s="2">
        <f>F2085 + G2085 - H2085</f>
        <v/>
      </c>
    </row>
    <row r="2086">
      <c r="A2086" t="n">
        <v>4138</v>
      </c>
      <c r="B2086" t="inlineStr">
        <is>
          <t>OFFSET LIRIS</t>
        </is>
      </c>
      <c r="C2086" t="n">
        <v>100</v>
      </c>
      <c r="D2086" t="n">
        <v>70</v>
      </c>
      <c r="E2086" t="n">
        <v>140</v>
      </c>
      <c r="F2086" t="n">
        <v>0</v>
      </c>
      <c r="G2086">
        <f>SUMIF(PRISPELO!B:B, A2086, PRISPELO!G:G)</f>
        <v/>
      </c>
      <c r="H2086">
        <f>SUMIF(ODPIS!B:B, A2086, ODPIS!G:G)</f>
        <v/>
      </c>
      <c r="I2086" s="2">
        <f>F2086 + G2086 - H2086</f>
        <v/>
      </c>
    </row>
    <row r="2087">
      <c r="A2087" t="n">
        <v>4139</v>
      </c>
      <c r="B2087" t="inlineStr">
        <is>
          <t>ROYAL COAT PREMIUM SILK</t>
        </is>
      </c>
      <c r="C2087" t="n">
        <v>49.8</v>
      </c>
      <c r="D2087" t="n">
        <v>69.8</v>
      </c>
      <c r="E2087" t="n">
        <v>350</v>
      </c>
      <c r="F2087" t="n">
        <v>0</v>
      </c>
      <c r="G2087">
        <f>SUMIF(PRISPELO!B:B, A2087, PRISPELO!G:G)</f>
        <v/>
      </c>
      <c r="H2087">
        <f>SUMIF(ODPIS!B:B, A2087, ODPIS!G:G)</f>
        <v/>
      </c>
      <c r="I2087" s="2">
        <f>F2087 + G2087 - H2087</f>
        <v/>
      </c>
    </row>
    <row r="2088">
      <c r="A2088" t="n">
        <v>4140</v>
      </c>
      <c r="B2088" t="inlineStr">
        <is>
          <t>NIVIS SATIN</t>
        </is>
      </c>
      <c r="C2088" t="n">
        <v>70</v>
      </c>
      <c r="D2088" t="n">
        <v>100</v>
      </c>
      <c r="E2088" t="n">
        <v>350</v>
      </c>
      <c r="F2088" t="n">
        <v>0</v>
      </c>
      <c r="G2088">
        <f>SUMIF(PRISPELO!B:B, A2088, PRISPELO!G:G)</f>
        <v/>
      </c>
      <c r="H2088">
        <f>SUMIF(ODPIS!B:B, A2088, ODPIS!G:G)</f>
        <v/>
      </c>
      <c r="I2088" s="2">
        <f>F2088 + G2088 - H2088</f>
        <v/>
      </c>
    </row>
    <row r="2089">
      <c r="A2089" t="n">
        <v>4143</v>
      </c>
      <c r="B2089" t="inlineStr">
        <is>
          <t>WHITE OFFSET SUPERTACK Adhesive</t>
        </is>
      </c>
      <c r="C2089" t="n">
        <v>50</v>
      </c>
      <c r="D2089" t="n">
        <v>70</v>
      </c>
      <c r="E2089" t="n">
        <v>80</v>
      </c>
      <c r="F2089" t="n">
        <v>0</v>
      </c>
      <c r="G2089">
        <f>SUMIF(PRISPELO!B:B, A2089, PRISPELO!G:G)</f>
        <v/>
      </c>
      <c r="H2089">
        <f>SUMIF(ODPIS!B:B, A2089, ODPIS!G:G)</f>
        <v/>
      </c>
      <c r="I2089" s="2">
        <f>F2089 + G2089 - H2089</f>
        <v/>
      </c>
    </row>
    <row r="2090">
      <c r="A2090" t="n">
        <v>4144</v>
      </c>
      <c r="B2090" t="inlineStr">
        <is>
          <t>GARDA GLOSS</t>
        </is>
      </c>
      <c r="C2090" t="n">
        <v>63.8</v>
      </c>
      <c r="D2090" t="n">
        <v>44.8</v>
      </c>
      <c r="E2090" t="n">
        <v>250</v>
      </c>
      <c r="F2090" t="n">
        <v>0</v>
      </c>
      <c r="G2090">
        <f>SUMIF(PRISPELO!B:B, A2090, PRISPELO!G:G)</f>
        <v/>
      </c>
      <c r="H2090">
        <f>SUMIF(ODPIS!B:B, A2090, ODPIS!G:G)</f>
        <v/>
      </c>
      <c r="I2090" s="2">
        <f>F2090 + G2090 - H2090</f>
        <v/>
      </c>
    </row>
    <row r="2091">
      <c r="A2091" t="n">
        <v>4145</v>
      </c>
      <c r="B2091" t="inlineStr">
        <is>
          <t>Amber Graphic - Offset Amber</t>
        </is>
      </c>
      <c r="C2091" t="n">
        <v>70</v>
      </c>
      <c r="D2091" t="n">
        <v>100</v>
      </c>
      <c r="E2091" t="n">
        <v>140</v>
      </c>
      <c r="F2091" t="n">
        <v>0</v>
      </c>
      <c r="G2091">
        <f>SUMIF(PRISPELO!B:B, A2091, PRISPELO!G:G)</f>
        <v/>
      </c>
      <c r="H2091">
        <f>SUMIF(ODPIS!B:B, A2091, ODPIS!G:G)</f>
        <v/>
      </c>
      <c r="I2091" s="2">
        <f>F2091 + G2091 - H2091</f>
        <v/>
      </c>
    </row>
    <row r="2092">
      <c r="A2092" t="n">
        <v>4146</v>
      </c>
      <c r="B2092" t="inlineStr">
        <is>
          <t>Liris Offset</t>
        </is>
      </c>
      <c r="C2092" t="n">
        <v>70</v>
      </c>
      <c r="D2092" t="n">
        <v>100</v>
      </c>
      <c r="E2092" t="n">
        <v>170</v>
      </c>
      <c r="F2092" t="n">
        <v>0</v>
      </c>
      <c r="G2092">
        <f>SUMIF(PRISPELO!B:B, A2092, PRISPELO!G:G)</f>
        <v/>
      </c>
      <c r="H2092">
        <f>SUMIF(ODPIS!B:B, A2092, ODPIS!G:G)</f>
        <v/>
      </c>
      <c r="I2092" s="2">
        <f>F2092 + G2092 - H2092</f>
        <v/>
      </c>
    </row>
    <row r="2093">
      <c r="A2093" t="n">
        <v>4147</v>
      </c>
      <c r="B2093" t="inlineStr">
        <is>
          <t>SH Recycling brown</t>
        </is>
      </c>
      <c r="C2093" t="n">
        <v>70</v>
      </c>
      <c r="D2093" t="n">
        <v>100</v>
      </c>
      <c r="E2093" t="n">
        <v>350</v>
      </c>
      <c r="F2093" t="n">
        <v>0</v>
      </c>
      <c r="G2093">
        <f>SUMIF(PRISPELO!B:B, A2093, PRISPELO!G:G)</f>
        <v/>
      </c>
      <c r="H2093">
        <f>SUMIF(ODPIS!B:B, A2093, ODPIS!G:G)</f>
        <v/>
      </c>
      <c r="I2093" s="2">
        <f>F2093 + G2093 - H2093</f>
        <v/>
      </c>
    </row>
    <row r="2094">
      <c r="A2094" t="n">
        <v>4148</v>
      </c>
      <c r="B2094" t="inlineStr">
        <is>
          <t>ROYAKCOAT PREMUM GLOSS</t>
        </is>
      </c>
      <c r="C2094" t="n">
        <v>70</v>
      </c>
      <c r="D2094" t="n">
        <v>100</v>
      </c>
      <c r="E2094" t="n">
        <v>130</v>
      </c>
      <c r="F2094" t="n">
        <v>0</v>
      </c>
      <c r="G2094">
        <f>SUMIF(PRISPELO!B:B, A2094, PRISPELO!G:G)</f>
        <v/>
      </c>
      <c r="H2094">
        <f>SUMIF(ODPIS!B:B, A2094, ODPIS!G:G)</f>
        <v/>
      </c>
      <c r="I2094" s="2">
        <f>F2094 + G2094 - H2094</f>
        <v/>
      </c>
    </row>
    <row r="2095">
      <c r="A2095" t="n">
        <v>4149</v>
      </c>
      <c r="B2095" t="inlineStr">
        <is>
          <t>NEVIA GLOSS</t>
        </is>
      </c>
      <c r="C2095" t="n">
        <v>90</v>
      </c>
      <c r="D2095" t="n">
        <v>64</v>
      </c>
      <c r="E2095" t="n">
        <v>150</v>
      </c>
      <c r="F2095" t="n">
        <v>0</v>
      </c>
      <c r="G2095">
        <f>SUMIF(PRISPELO!B:B, A2095, PRISPELO!G:G)</f>
        <v/>
      </c>
      <c r="H2095">
        <f>SUMIF(ODPIS!B:B, A2095, ODPIS!G:G)</f>
        <v/>
      </c>
      <c r="I2095" s="2">
        <f>F2095 + G2095 - H2095</f>
        <v/>
      </c>
    </row>
    <row r="2096">
      <c r="A2096" t="n">
        <v>4150</v>
      </c>
      <c r="B2096" t="inlineStr">
        <is>
          <t>lYRIS offset</t>
        </is>
      </c>
      <c r="C2096" t="n">
        <v>64</v>
      </c>
      <c r="D2096" t="n">
        <v>90</v>
      </c>
      <c r="E2096" t="n">
        <v>140</v>
      </c>
      <c r="F2096" t="n">
        <v>0</v>
      </c>
      <c r="G2096">
        <f>SUMIF(PRISPELO!B:B, A2096, PRISPELO!G:G)</f>
        <v/>
      </c>
      <c r="H2096">
        <f>SUMIF(ODPIS!B:B, A2096, ODPIS!G:G)</f>
        <v/>
      </c>
      <c r="I2096" s="2">
        <f>F2096 + G2096 - H2096</f>
        <v/>
      </c>
    </row>
    <row r="2097">
      <c r="A2097" t="n">
        <v>2412</v>
      </c>
      <c r="B2097" t="inlineStr">
        <is>
          <t>Kuverta amerikanka LO S.trak Nova K</t>
        </is>
      </c>
      <c r="C2097" t="n">
        <v>11</v>
      </c>
      <c r="D2097" t="n">
        <v>23</v>
      </c>
      <c r="E2097" t="n">
        <v>90</v>
      </c>
      <c r="F2097" t="n">
        <v>1600</v>
      </c>
      <c r="G2097">
        <f>SUMIF(PRISPELO!B:B, A2097, PRISPELO!G:G)</f>
        <v/>
      </c>
      <c r="H2097">
        <f>SUMIF(ODPIS!B:B, A2097, ODPIS!G:G)</f>
        <v/>
      </c>
      <c r="I2097" s="2">
        <f>F2097 + G2097 - H2097</f>
        <v/>
      </c>
    </row>
    <row r="2098">
      <c r="A2098" t="n">
        <v>4151</v>
      </c>
      <c r="B2098" t="inlineStr">
        <is>
          <t>Royal offset tera</t>
        </is>
      </c>
      <c r="C2098" t="n">
        <v>64</v>
      </c>
      <c r="D2098" t="n">
        <v>90</v>
      </c>
      <c r="E2098" t="n">
        <v>80</v>
      </c>
      <c r="F2098" t="n">
        <v>0</v>
      </c>
      <c r="G2098">
        <f>SUMIF(PRISPELO!B:B, A2098, PRISPELO!G:G)</f>
        <v/>
      </c>
      <c r="H2098">
        <f>SUMIF(ODPIS!B:B, A2098, ODPIS!G:G)</f>
        <v/>
      </c>
      <c r="I2098" s="2">
        <f>F2098 + G2098 - H2098</f>
        <v/>
      </c>
    </row>
    <row r="2099">
      <c r="A2099" t="n">
        <v>4152</v>
      </c>
      <c r="B2099" t="inlineStr">
        <is>
          <t>Remake Oyster</t>
        </is>
      </c>
      <c r="C2099" t="n">
        <v>71</v>
      </c>
      <c r="D2099" t="n">
        <v>101</v>
      </c>
      <c r="E2099" t="n">
        <v>250</v>
      </c>
      <c r="F2099" t="n">
        <v>0</v>
      </c>
      <c r="G2099">
        <f>SUMIF(PRISPELO!B:B, A2099, PRISPELO!G:G)</f>
        <v/>
      </c>
      <c r="H2099">
        <f>SUMIF(ODPIS!B:B, A2099, ODPIS!G:G)</f>
        <v/>
      </c>
      <c r="I2099" s="2">
        <f>F2099 + G2099 - H2099</f>
        <v/>
      </c>
    </row>
    <row r="2100">
      <c r="A2100" t="n">
        <v>4154</v>
      </c>
      <c r="B2100" t="inlineStr">
        <is>
          <t>MCA BROWN</t>
        </is>
      </c>
      <c r="C2100" t="n">
        <v>100</v>
      </c>
      <c r="D2100" t="n">
        <v>70</v>
      </c>
      <c r="E2100" t="n">
        <v>450</v>
      </c>
      <c r="F2100" t="n">
        <v>0</v>
      </c>
      <c r="G2100">
        <f>SUMIF(PRISPELO!B:B, A2100, PRISPELO!G:G)</f>
        <v/>
      </c>
      <c r="H2100">
        <f>SUMIF(ODPIS!B:B, A2100, ODPIS!G:G)</f>
        <v/>
      </c>
      <c r="I2100" s="2">
        <f>F2100 + G2100 - H2100</f>
        <v/>
      </c>
    </row>
    <row r="2101">
      <c r="A2101" t="n">
        <v>4155</v>
      </c>
      <c r="B2101" t="inlineStr">
        <is>
          <t>Via laid pure white</t>
        </is>
      </c>
      <c r="C2101" t="n">
        <v>70</v>
      </c>
      <c r="D2101" t="n">
        <v>100</v>
      </c>
      <c r="E2101" t="n">
        <v>120</v>
      </c>
      <c r="F2101" t="n">
        <v>0</v>
      </c>
      <c r="G2101">
        <f>SUMIF(PRISPELO!B:B, A2101, PRISPELO!G:G)</f>
        <v/>
      </c>
      <c r="H2101">
        <f>SUMIF(ODPIS!B:B, A2101, ODPIS!G:G)</f>
        <v/>
      </c>
      <c r="I2101" s="2">
        <f>F2101 + G2101 - H2101</f>
        <v/>
      </c>
    </row>
    <row r="2102">
      <c r="A2102" t="n">
        <v>4156</v>
      </c>
      <c r="B2102" t="inlineStr">
        <is>
          <t>fedrigoni arena white smooth</t>
        </is>
      </c>
      <c r="C2102" t="n">
        <v>72</v>
      </c>
      <c r="D2102" t="n">
        <v>102</v>
      </c>
      <c r="E2102" t="n">
        <v>300</v>
      </c>
      <c r="F2102" t="n">
        <v>0</v>
      </c>
      <c r="G2102">
        <f>SUMIF(PRISPELO!B:B, A2102, PRISPELO!G:G)</f>
        <v/>
      </c>
      <c r="H2102">
        <f>SUMIF(ODPIS!B:B, A2102, ODPIS!G:G)</f>
        <v/>
      </c>
      <c r="I2102" s="2">
        <f>F2102 + G2102 - H2102</f>
        <v/>
      </c>
    </row>
    <row r="2103">
      <c r="A2103" t="n">
        <v>4157</v>
      </c>
      <c r="B2103" t="inlineStr">
        <is>
          <t>magno satin</t>
        </is>
      </c>
      <c r="C2103" t="n">
        <v>61</v>
      </c>
      <c r="D2103" t="n">
        <v>86</v>
      </c>
      <c r="E2103" t="n">
        <v>350</v>
      </c>
      <c r="F2103" t="n">
        <v>0</v>
      </c>
      <c r="G2103">
        <f>SUMIF(PRISPELO!B:B, A2103, PRISPELO!G:G)</f>
        <v/>
      </c>
      <c r="H2103">
        <f>SUMIF(ODPIS!B:B, A2103, ODPIS!G:G)</f>
        <v/>
      </c>
      <c r="I2103" s="2">
        <f>F2103 + G2103 - H2103</f>
        <v/>
      </c>
    </row>
    <row r="2104">
      <c r="A2104" t="n">
        <v>4158</v>
      </c>
      <c r="B2104" t="inlineStr">
        <is>
          <t>MAGNO SATIN</t>
        </is>
      </c>
      <c r="C2104" t="n">
        <v>61</v>
      </c>
      <c r="D2104" t="n">
        <v>86</v>
      </c>
      <c r="E2104" t="n">
        <v>350</v>
      </c>
      <c r="F2104" t="n">
        <v>0</v>
      </c>
      <c r="G2104">
        <f>SUMIF(PRISPELO!B:B, A2104, PRISPELO!G:G)</f>
        <v/>
      </c>
      <c r="H2104">
        <f>SUMIF(ODPIS!B:B, A2104, ODPIS!G:G)</f>
        <v/>
      </c>
      <c r="I2104" s="2">
        <f>F2104 + G2104 - H2104</f>
        <v/>
      </c>
    </row>
    <row r="2105">
      <c r="A2105" t="n">
        <v>4159</v>
      </c>
      <c r="B2105" t="inlineStr">
        <is>
          <t>SORA PRESS OFSET</t>
        </is>
      </c>
      <c r="C2105" t="n">
        <v>64</v>
      </c>
      <c r="D2105" t="n">
        <v>90</v>
      </c>
      <c r="E2105" t="n">
        <v>120</v>
      </c>
      <c r="F2105" t="n">
        <v>0</v>
      </c>
      <c r="G2105">
        <f>SUMIF(PRISPELO!B:B, A2105, PRISPELO!G:G)</f>
        <v/>
      </c>
      <c r="H2105">
        <f>SUMIF(ODPIS!B:B, A2105, ODPIS!G:G)</f>
        <v/>
      </c>
      <c r="I2105" s="2">
        <f>F2105 + G2105 - H2105</f>
        <v/>
      </c>
    </row>
    <row r="2106">
      <c r="A2106" t="n">
        <v>4160</v>
      </c>
      <c r="B2106" t="inlineStr">
        <is>
          <t>ROYAL NEXT MATT</t>
        </is>
      </c>
      <c r="C2106" t="n">
        <v>69.8</v>
      </c>
      <c r="D2106" t="n">
        <v>49.8</v>
      </c>
      <c r="E2106" t="n">
        <v>200</v>
      </c>
      <c r="F2106" t="n">
        <v>0</v>
      </c>
      <c r="G2106">
        <f>SUMIF(PRISPELO!B:B, A2106, PRISPELO!G:G)</f>
        <v/>
      </c>
      <c r="H2106">
        <f>SUMIF(ODPIS!B:B, A2106, ODPIS!G:G)</f>
        <v/>
      </c>
      <c r="I2106" s="2">
        <f>F2106 + G2106 - H2106</f>
        <v/>
      </c>
    </row>
    <row r="2107">
      <c r="A2107" t="n">
        <v>2352</v>
      </c>
      <c r="B2107" t="inlineStr">
        <is>
          <t>Kuverta B4 BD Si BO</t>
        </is>
      </c>
      <c r="C2107" t="n">
        <v>25</v>
      </c>
      <c r="D2107" t="n">
        <v>35.2</v>
      </c>
      <c r="E2107" t="n">
        <v>100</v>
      </c>
      <c r="F2107" t="n">
        <v>0</v>
      </c>
      <c r="G2107">
        <f>SUMIF(PRISPELO!B:B, A2107, PRISPELO!G:G)</f>
        <v/>
      </c>
      <c r="H2107">
        <f>SUMIF(ODPIS!B:B, A2107, ODPIS!G:G)</f>
        <v/>
      </c>
      <c r="I2107" s="2">
        <f>F2107 + G2107 - H2107</f>
        <v/>
      </c>
    </row>
    <row r="2108">
      <c r="A2108" t="n">
        <v>4161</v>
      </c>
      <c r="B2108" t="inlineStr">
        <is>
          <t>RESPACTA SATIN</t>
        </is>
      </c>
      <c r="C2108" t="n">
        <v>72</v>
      </c>
      <c r="D2108" t="n">
        <v>102</v>
      </c>
      <c r="E2108" t="n">
        <v>300</v>
      </c>
      <c r="F2108" t="n">
        <v>0</v>
      </c>
      <c r="G2108">
        <f>SUMIF(PRISPELO!B:B, A2108, PRISPELO!G:G)</f>
        <v/>
      </c>
      <c r="H2108">
        <f>SUMIF(ODPIS!B:B, A2108, ODPIS!G:G)</f>
        <v/>
      </c>
      <c r="I2108" s="2">
        <f>F2108 + G2108 - H2108</f>
        <v/>
      </c>
    </row>
    <row r="2109">
      <c r="A2109" t="n">
        <v>4162</v>
      </c>
      <c r="B2109" t="inlineStr">
        <is>
          <t>SORA PRESS</t>
        </is>
      </c>
      <c r="C2109" t="n">
        <v>100</v>
      </c>
      <c r="D2109" t="n">
        <v>70</v>
      </c>
      <c r="E2109" t="n">
        <v>120</v>
      </c>
      <c r="F2109" t="n">
        <v>0</v>
      </c>
      <c r="G2109">
        <f>SUMIF(PRISPELO!B:B, A2109, PRISPELO!G:G)</f>
        <v/>
      </c>
      <c r="H2109">
        <f>SUMIF(ODPIS!B:B, A2109, ODPIS!G:G)</f>
        <v/>
      </c>
      <c r="I2109" s="2">
        <f>F2109 + G2109 - H2109</f>
        <v/>
      </c>
    </row>
    <row r="2110">
      <c r="A2110" t="n">
        <v>4163</v>
      </c>
      <c r="B2110" t="inlineStr">
        <is>
          <t>NARTON AVANA</t>
        </is>
      </c>
      <c r="C2110" t="n">
        <v>92</v>
      </c>
      <c r="D2110" t="n">
        <v>126</v>
      </c>
      <c r="E2110" t="n">
        <v>90</v>
      </c>
      <c r="F2110" t="n">
        <v>0</v>
      </c>
      <c r="G2110">
        <f>SUMIF(PRISPELO!B:B, A2110, PRISPELO!G:G)</f>
        <v/>
      </c>
      <c r="H2110">
        <f>SUMIF(ODPIS!B:B, A2110, ODPIS!G:G)</f>
        <v/>
      </c>
      <c r="I2110" s="2">
        <f>F2110 + G2110 - H2110</f>
        <v/>
      </c>
    </row>
    <row r="2111">
      <c r="A2111" t="n">
        <v>4164</v>
      </c>
      <c r="B2111" t="inlineStr">
        <is>
          <t>KUV.MAJESTIC MARBLE WHITE</t>
        </is>
      </c>
      <c r="C2111" t="n">
        <v>11</v>
      </c>
      <c r="D2111" t="n">
        <v>22</v>
      </c>
      <c r="E2111" t="n">
        <v>120</v>
      </c>
      <c r="F2111" t="n">
        <v>0</v>
      </c>
      <c r="G2111">
        <f>SUMIF(PRISPELO!B:B, A2111, PRISPELO!G:G)</f>
        <v/>
      </c>
      <c r="H2111">
        <f>SUMIF(ODPIS!B:B, A2111, ODPIS!G:G)</f>
        <v/>
      </c>
      <c r="I2111" s="2">
        <f>F2111 + G2111 - H2111</f>
        <v/>
      </c>
    </row>
    <row r="2112">
      <c r="A2112" t="n">
        <v>4165</v>
      </c>
      <c r="B2112" t="inlineStr">
        <is>
          <t>royal next gloss</t>
        </is>
      </c>
      <c r="C2112" t="n">
        <v>70</v>
      </c>
      <c r="D2112" t="n">
        <v>100</v>
      </c>
      <c r="E2112" t="n">
        <v>150</v>
      </c>
      <c r="F2112" t="n">
        <v>0</v>
      </c>
      <c r="G2112">
        <f>SUMIF(PRISPELO!B:B, A2112, PRISPELO!G:G)</f>
        <v/>
      </c>
      <c r="H2112">
        <f>SUMIF(ODPIS!B:B, A2112, ODPIS!G:G)</f>
        <v/>
      </c>
      <c r="I2112" s="2">
        <f>F2112 + G2112 - H2112</f>
        <v/>
      </c>
    </row>
    <row r="2113">
      <c r="A2113" t="n">
        <v>4166</v>
      </c>
      <c r="B2113" t="inlineStr">
        <is>
          <t>NIVIS SATIN</t>
        </is>
      </c>
      <c r="C2113" t="n">
        <v>90</v>
      </c>
      <c r="D2113" t="n">
        <v>64</v>
      </c>
      <c r="E2113" t="n">
        <v>200</v>
      </c>
      <c r="F2113" t="n">
        <v>0</v>
      </c>
      <c r="G2113">
        <f>SUMIF(PRISPELO!B:B, A2113, PRISPELO!G:G)</f>
        <v/>
      </c>
      <c r="H2113">
        <f>SUMIF(ODPIS!B:B, A2113, ODPIS!G:G)</f>
        <v/>
      </c>
      <c r="I2113" s="2">
        <f>F2113 + G2113 - H2113</f>
        <v/>
      </c>
    </row>
    <row r="2114">
      <c r="A2114" t="n">
        <v>4167</v>
      </c>
      <c r="B2114" t="inlineStr">
        <is>
          <t>VOLUME MATT COATED</t>
        </is>
      </c>
      <c r="C2114" t="n">
        <v>100</v>
      </c>
      <c r="D2114" t="n">
        <v>70</v>
      </c>
      <c r="E2114" t="n">
        <v>90</v>
      </c>
      <c r="F2114" t="n">
        <v>0</v>
      </c>
      <c r="G2114">
        <f>SUMIF(PRISPELO!B:B, A2114, PRISPELO!G:G)</f>
        <v/>
      </c>
      <c r="H2114">
        <f>SUMIF(ODPIS!B:B, A2114, ODPIS!G:G)</f>
        <v/>
      </c>
      <c r="I2114" s="2">
        <f>F2114 + G2114 - H2114</f>
        <v/>
      </c>
    </row>
    <row r="2115">
      <c r="A2115" t="n">
        <v>4168</v>
      </c>
      <c r="B2115" t="inlineStr">
        <is>
          <t>ROYAL NEXT MATT</t>
        </is>
      </c>
      <c r="C2115" t="n">
        <v>70</v>
      </c>
      <c r="D2115" t="n">
        <v>100</v>
      </c>
      <c r="E2115" t="n">
        <v>115</v>
      </c>
      <c r="F2115" t="n">
        <v>0</v>
      </c>
      <c r="G2115">
        <f>SUMIF(PRISPELO!B:B, A2115, PRISPELO!G:G)</f>
        <v/>
      </c>
      <c r="H2115">
        <f>SUMIF(ODPIS!B:B, A2115, ODPIS!G:G)</f>
        <v/>
      </c>
      <c r="I2115" s="2">
        <f>F2115 + G2115 - H2115</f>
        <v/>
      </c>
    </row>
    <row r="2116">
      <c r="A2116" t="n">
        <v>4169</v>
      </c>
      <c r="B2116" t="inlineStr">
        <is>
          <t>NIVIS SATIN</t>
        </is>
      </c>
      <c r="C2116" t="n">
        <v>70</v>
      </c>
      <c r="D2116" t="n">
        <v>100</v>
      </c>
      <c r="E2116" t="n">
        <v>250</v>
      </c>
      <c r="F2116" t="n">
        <v>0</v>
      </c>
      <c r="G2116">
        <f>SUMIF(PRISPELO!B:B, A2116, PRISPELO!G:G)</f>
        <v/>
      </c>
      <c r="H2116">
        <f>SUMIF(ODPIS!B:B, A2116, ODPIS!G:G)</f>
        <v/>
      </c>
      <c r="I2116" s="2">
        <f>F2116 + G2116 - H2116</f>
        <v/>
      </c>
    </row>
    <row r="2117">
      <c r="A2117" t="n">
        <v>2381</v>
      </c>
      <c r="B2117" t="inlineStr">
        <is>
          <t>Kuverta C5 BD LO Si</t>
        </is>
      </c>
      <c r="C2117" t="n">
        <v>16.2</v>
      </c>
      <c r="D2117" t="n">
        <v>22.9</v>
      </c>
      <c r="E2117" t="n">
        <v>90</v>
      </c>
      <c r="F2117" t="n">
        <v>500</v>
      </c>
      <c r="G2117">
        <f>SUMIF(PRISPELO!B:B, A2117, PRISPELO!G:G)</f>
        <v/>
      </c>
      <c r="H2117">
        <f>SUMIF(ODPIS!B:B, A2117, ODPIS!G:G)</f>
        <v/>
      </c>
      <c r="I2117" s="2">
        <f>F2117 + G2117 - H2117</f>
        <v/>
      </c>
    </row>
    <row r="2118">
      <c r="A2118" t="n">
        <v>4170</v>
      </c>
      <c r="B2118" t="inlineStr">
        <is>
          <t>NIVIS SATIN</t>
        </is>
      </c>
      <c r="C2118" t="n">
        <v>100</v>
      </c>
      <c r="D2118" t="n">
        <v>70</v>
      </c>
      <c r="E2118" t="n">
        <v>250</v>
      </c>
      <c r="F2118" t="n">
        <v>0</v>
      </c>
      <c r="G2118">
        <f>SUMIF(PRISPELO!B:B, A2118, PRISPELO!G:G)</f>
        <v/>
      </c>
      <c r="H2118">
        <f>SUMIF(ODPIS!B:B, A2118, ODPIS!G:G)</f>
        <v/>
      </c>
      <c r="I2118" s="2">
        <f>F2118 + G2118 - H2118</f>
        <v/>
      </c>
    </row>
    <row r="2119">
      <c r="A2119" t="n">
        <v>4171</v>
      </c>
      <c r="B2119" t="inlineStr">
        <is>
          <t>NIVIS SATIN</t>
        </is>
      </c>
      <c r="C2119" t="n">
        <v>100</v>
      </c>
      <c r="D2119" t="n">
        <v>70</v>
      </c>
      <c r="E2119" t="n">
        <v>300</v>
      </c>
      <c r="F2119" t="n">
        <v>0</v>
      </c>
      <c r="G2119">
        <f>SUMIF(PRISPELO!B:B, A2119, PRISPELO!G:G)</f>
        <v/>
      </c>
      <c r="H2119">
        <f>SUMIF(ODPIS!B:B, A2119, ODPIS!G:G)</f>
        <v/>
      </c>
      <c r="I2119" s="2">
        <f>F2119 + G2119 - H2119</f>
        <v/>
      </c>
    </row>
    <row r="2120">
      <c r="A2120" t="n">
        <v>4172</v>
      </c>
      <c r="B2120" t="inlineStr">
        <is>
          <t>MAGNO SATIN</t>
        </is>
      </c>
      <c r="C2120" t="n">
        <v>69.8</v>
      </c>
      <c r="D2120" t="n">
        <v>33.2</v>
      </c>
      <c r="E2120" t="n">
        <v>250</v>
      </c>
      <c r="F2120" t="n">
        <v>0</v>
      </c>
      <c r="G2120">
        <f>SUMIF(PRISPELO!B:B, A2120, PRISPELO!G:G)</f>
        <v/>
      </c>
      <c r="H2120">
        <f>SUMIF(ODPIS!B:B, A2120, ODPIS!G:G)</f>
        <v/>
      </c>
      <c r="I2120" s="2">
        <f>F2120 + G2120 - H2120</f>
        <v/>
      </c>
    </row>
    <row r="2121">
      <c r="A2121" t="n">
        <v>4174</v>
      </c>
      <c r="B2121" t="inlineStr">
        <is>
          <t>MAGNO SATIN</t>
        </is>
      </c>
      <c r="C2121" t="n">
        <v>69.8</v>
      </c>
      <c r="D2121" t="n">
        <v>49.8</v>
      </c>
      <c r="E2121" t="n">
        <v>250</v>
      </c>
      <c r="F2121" t="n">
        <v>0</v>
      </c>
      <c r="G2121">
        <f>SUMIF(PRISPELO!B:B, A2121, PRISPELO!G:G)</f>
        <v/>
      </c>
      <c r="H2121">
        <f>SUMIF(ODPIS!B:B, A2121, ODPIS!G:G)</f>
        <v/>
      </c>
      <c r="I2121" s="2">
        <f>F2121 + G2121 - H2121</f>
        <v/>
      </c>
    </row>
    <row r="2122">
      <c r="A2122" t="n">
        <v>4175</v>
      </c>
      <c r="B2122" t="inlineStr">
        <is>
          <t>AMBER GRAFIC</t>
        </is>
      </c>
      <c r="C2122" t="n">
        <v>69.8</v>
      </c>
      <c r="D2122" t="n">
        <v>44.8</v>
      </c>
      <c r="E2122" t="n">
        <v>150</v>
      </c>
      <c r="F2122" t="n">
        <v>0</v>
      </c>
      <c r="G2122">
        <f>SUMIF(PRISPELO!B:B, A2122, PRISPELO!G:G)</f>
        <v/>
      </c>
      <c r="H2122">
        <f>SUMIF(ODPIS!B:B, A2122, ODPIS!G:G)</f>
        <v/>
      </c>
      <c r="I2122" s="2">
        <f>F2122 + G2122 - H2122</f>
        <v/>
      </c>
    </row>
    <row r="2123">
      <c r="A2123" t="n">
        <v>4177</v>
      </c>
      <c r="B2123" t="inlineStr">
        <is>
          <t>PRIME FBB BRITH</t>
        </is>
      </c>
      <c r="C2123" t="n">
        <v>102</v>
      </c>
      <c r="D2123" t="n">
        <v>72</v>
      </c>
      <c r="E2123" t="n">
        <v>235</v>
      </c>
      <c r="F2123" t="n">
        <v>0</v>
      </c>
      <c r="G2123">
        <f>SUMIF(PRISPELO!B:B, A2123, PRISPELO!G:G)</f>
        <v/>
      </c>
      <c r="H2123">
        <f>SUMIF(ODPIS!B:B, A2123, ODPIS!G:G)</f>
        <v/>
      </c>
      <c r="I2123" s="2">
        <f>F2123 + G2123 - H2123</f>
        <v/>
      </c>
    </row>
    <row r="2124">
      <c r="A2124" t="n">
        <v>4178</v>
      </c>
      <c r="B2124" t="inlineStr">
        <is>
          <t>AMBER PREPRINT</t>
        </is>
      </c>
      <c r="C2124" t="n">
        <v>70</v>
      </c>
      <c r="D2124" t="n">
        <v>100</v>
      </c>
      <c r="E2124" t="n">
        <v>170</v>
      </c>
      <c r="F2124" t="n">
        <v>0</v>
      </c>
      <c r="G2124">
        <f>SUMIF(PRISPELO!B:B, A2124, PRISPELO!G:G)</f>
        <v/>
      </c>
      <c r="H2124">
        <f>SUMIF(ODPIS!B:B, A2124, ODPIS!G:G)</f>
        <v/>
      </c>
      <c r="I2124" s="2">
        <f>F2124 + G2124 - H2124</f>
        <v/>
      </c>
    </row>
    <row r="2125">
      <c r="A2125" t="n">
        <v>4179</v>
      </c>
      <c r="B2125" t="inlineStr">
        <is>
          <t>AMBER PREPRINT</t>
        </is>
      </c>
      <c r="C2125" t="n">
        <v>100</v>
      </c>
      <c r="D2125" t="n">
        <v>70</v>
      </c>
      <c r="E2125" t="n">
        <v>170</v>
      </c>
      <c r="F2125" t="n">
        <v>0</v>
      </c>
      <c r="G2125">
        <f>SUMIF(PRISPELO!B:B, A2125, PRISPELO!G:G)</f>
        <v/>
      </c>
      <c r="H2125">
        <f>SUMIF(ODPIS!B:B, A2125, ODPIS!G:G)</f>
        <v/>
      </c>
      <c r="I2125" s="2">
        <f>F2125 + G2125 - H2125</f>
        <v/>
      </c>
    </row>
    <row r="2126">
      <c r="A2126" t="n">
        <v>4180</v>
      </c>
      <c r="B2126" t="inlineStr">
        <is>
          <t>NATURAL UNCOATED</t>
        </is>
      </c>
      <c r="C2126" t="n">
        <v>100</v>
      </c>
      <c r="D2126" t="n">
        <v>70</v>
      </c>
      <c r="E2126" t="n">
        <v>250</v>
      </c>
      <c r="F2126" t="n">
        <v>0</v>
      </c>
      <c r="G2126">
        <f>SUMIF(PRISPELO!B:B, A2126, PRISPELO!G:G)</f>
        <v/>
      </c>
      <c r="H2126">
        <f>SUMIF(ODPIS!B:B, A2126, ODPIS!G:G)</f>
        <v/>
      </c>
      <c r="I2126" s="2">
        <f>F2126 + G2126 - H2126</f>
        <v/>
      </c>
    </row>
    <row r="2127">
      <c r="A2127" t="n">
        <v>4181</v>
      </c>
      <c r="B2127" t="inlineStr">
        <is>
          <t>AMBER OFFSET</t>
        </is>
      </c>
      <c r="C2127" t="n">
        <v>70</v>
      </c>
      <c r="D2127" t="n">
        <v>100</v>
      </c>
      <c r="E2127" t="n">
        <v>200</v>
      </c>
      <c r="F2127" t="n">
        <v>0</v>
      </c>
      <c r="G2127">
        <f>SUMIF(PRISPELO!B:B, A2127, PRISPELO!G:G)</f>
        <v/>
      </c>
      <c r="H2127">
        <f>SUMIF(ODPIS!B:B, A2127, ODPIS!G:G)</f>
        <v/>
      </c>
      <c r="I2127" s="2">
        <f>F2127 + G2127 - H2127</f>
        <v/>
      </c>
    </row>
    <row r="2128">
      <c r="A2128" t="n">
        <v>4182</v>
      </c>
      <c r="B2128" t="inlineStr">
        <is>
          <t>AMBER PREPRINT</t>
        </is>
      </c>
      <c r="C2128" t="n">
        <v>64</v>
      </c>
      <c r="D2128" t="n">
        <v>90</v>
      </c>
      <c r="E2128" t="n">
        <v>170</v>
      </c>
      <c r="F2128" t="n">
        <v>0</v>
      </c>
      <c r="G2128">
        <f>SUMIF(PRISPELO!B:B, A2128, PRISPELO!G:G)</f>
        <v/>
      </c>
      <c r="H2128">
        <f>SUMIF(ODPIS!B:B, A2128, ODPIS!G:G)</f>
        <v/>
      </c>
      <c r="I2128" s="2">
        <f>F2128 + G2128 - H2128</f>
        <v/>
      </c>
    </row>
    <row r="2129">
      <c r="A2129" t="n">
        <v>4183</v>
      </c>
      <c r="B2129" t="inlineStr">
        <is>
          <t>AMBER GRAFIC</t>
        </is>
      </c>
      <c r="C2129" t="n">
        <v>64</v>
      </c>
      <c r="D2129" t="n">
        <v>90</v>
      </c>
      <c r="E2129" t="n">
        <v>90</v>
      </c>
      <c r="F2129" t="n">
        <v>0</v>
      </c>
      <c r="G2129">
        <f>SUMIF(PRISPELO!B:B, A2129, PRISPELO!G:G)</f>
        <v/>
      </c>
      <c r="H2129">
        <f>SUMIF(ODPIS!B:B, A2129, ODPIS!G:G)</f>
        <v/>
      </c>
      <c r="I2129" s="2">
        <f>F2129 + G2129 - H2129</f>
        <v/>
      </c>
    </row>
    <row r="2130">
      <c r="A2130" t="n">
        <v>4184</v>
      </c>
      <c r="B2130" t="inlineStr">
        <is>
          <t>IQ OFFSET</t>
        </is>
      </c>
      <c r="C2130" t="n">
        <v>70</v>
      </c>
      <c r="D2130" t="n">
        <v>100</v>
      </c>
      <c r="E2130" t="n">
        <v>140</v>
      </c>
      <c r="F2130" t="n">
        <v>0</v>
      </c>
      <c r="G2130">
        <f>SUMIF(PRISPELO!B:B, A2130, PRISPELO!G:G)</f>
        <v/>
      </c>
      <c r="H2130">
        <f>SUMIF(ODPIS!B:B, A2130, ODPIS!G:G)</f>
        <v/>
      </c>
      <c r="I2130" s="2">
        <f>F2130 + G2130 - H2130</f>
        <v/>
      </c>
    </row>
    <row r="2131">
      <c r="A2131" t="n">
        <v>4185</v>
      </c>
      <c r="B2131" t="inlineStr">
        <is>
          <t>OFFSET LIRIS</t>
        </is>
      </c>
      <c r="C2131" t="n">
        <v>100</v>
      </c>
      <c r="D2131" t="n">
        <v>70</v>
      </c>
      <c r="E2131" t="n">
        <v>300</v>
      </c>
      <c r="F2131" t="n">
        <v>0</v>
      </c>
      <c r="G2131">
        <f>SUMIF(PRISPELO!B:B, A2131, PRISPELO!G:G)</f>
        <v/>
      </c>
      <c r="H2131">
        <f>SUMIF(ODPIS!B:B, A2131, ODPIS!G:G)</f>
        <v/>
      </c>
      <c r="I2131" s="2">
        <f>F2131 + G2131 - H2131</f>
        <v/>
      </c>
    </row>
    <row r="2132">
      <c r="A2132" t="n">
        <v>4186</v>
      </c>
      <c r="B2132" t="inlineStr">
        <is>
          <t>OFFSET LIRIS</t>
        </is>
      </c>
      <c r="C2132" t="n">
        <v>70</v>
      </c>
      <c r="D2132" t="n">
        <v>100</v>
      </c>
      <c r="E2132" t="n">
        <v>300</v>
      </c>
      <c r="F2132" t="n">
        <v>0</v>
      </c>
      <c r="G2132">
        <f>SUMIF(PRISPELO!B:B, A2132, PRISPELO!G:G)</f>
        <v/>
      </c>
      <c r="H2132">
        <f>SUMIF(ODPIS!B:B, A2132, ODPIS!G:G)</f>
        <v/>
      </c>
      <c r="I2132" s="2">
        <f>F2132 + G2132 - H2132</f>
        <v/>
      </c>
    </row>
    <row r="2133">
      <c r="A2133" t="n">
        <v>4187</v>
      </c>
      <c r="B2133" t="inlineStr">
        <is>
          <t>RESPECTA SATIN</t>
        </is>
      </c>
      <c r="C2133" t="n">
        <v>35.6</v>
      </c>
      <c r="D2133" t="n">
        <v>50.8</v>
      </c>
      <c r="E2133" t="n">
        <v>300</v>
      </c>
      <c r="F2133" t="n">
        <v>0</v>
      </c>
      <c r="G2133">
        <f>SUMIF(PRISPELO!B:B, A2133, PRISPELO!G:G)</f>
        <v/>
      </c>
      <c r="H2133">
        <f>SUMIF(ODPIS!B:B, A2133, ODPIS!G:G)</f>
        <v/>
      </c>
      <c r="I2133" s="2">
        <f>F2133 + G2133 - H2133</f>
        <v/>
      </c>
    </row>
    <row r="2134">
      <c r="A2134" t="n">
        <v>4188</v>
      </c>
      <c r="B2134" t="inlineStr">
        <is>
          <t>EAGLE+</t>
        </is>
      </c>
      <c r="C2134" t="n">
        <v>69.8</v>
      </c>
      <c r="D2134" t="n">
        <v>53.5</v>
      </c>
      <c r="E2134" t="n">
        <v>270</v>
      </c>
      <c r="F2134" t="n">
        <v>0</v>
      </c>
      <c r="G2134">
        <f>SUMIF(PRISPELO!B:B, A2134, PRISPELO!G:G)</f>
        <v/>
      </c>
      <c r="H2134">
        <f>SUMIF(ODPIS!B:B, A2134, ODPIS!G:G)</f>
        <v/>
      </c>
      <c r="I2134" s="2">
        <f>F2134 + G2134 - H2134</f>
        <v/>
      </c>
    </row>
    <row r="2135">
      <c r="A2135" t="n">
        <v>4189</v>
      </c>
      <c r="B2135" t="inlineStr">
        <is>
          <t>OLIN REGULAR ULTIMATE WHITE</t>
        </is>
      </c>
      <c r="C2135" t="n">
        <v>72</v>
      </c>
      <c r="D2135" t="n">
        <v>102</v>
      </c>
      <c r="E2135" t="n">
        <v>240</v>
      </c>
      <c r="F2135" t="n">
        <v>0</v>
      </c>
      <c r="G2135">
        <f>SUMIF(PRISPELO!B:B, A2135, PRISPELO!G:G)</f>
        <v/>
      </c>
      <c r="H2135">
        <f>SUMIF(ODPIS!B:B, A2135, ODPIS!G:G)</f>
        <v/>
      </c>
      <c r="I2135" s="2">
        <f>F2135 + G2135 - H2135</f>
        <v/>
      </c>
    </row>
    <row r="2136">
      <c r="A2136" t="n">
        <v>4190</v>
      </c>
      <c r="B2136" t="inlineStr">
        <is>
          <t>VELUM 73 EP KR 80T</t>
        </is>
      </c>
      <c r="C2136" t="n">
        <v>50</v>
      </c>
      <c r="D2136" t="n">
        <v>70</v>
      </c>
      <c r="E2136" t="n">
        <v>80</v>
      </c>
      <c r="F2136" t="n">
        <v>0</v>
      </c>
      <c r="G2136">
        <f>SUMIF(PRISPELO!B:B, A2136, PRISPELO!G:G)</f>
        <v/>
      </c>
      <c r="H2136">
        <f>SUMIF(ODPIS!B:B, A2136, ODPIS!G:G)</f>
        <v/>
      </c>
      <c r="I2136" s="2">
        <f>F2136 + G2136 - H2136</f>
        <v/>
      </c>
    </row>
    <row r="2137">
      <c r="A2137" t="n">
        <v>4191</v>
      </c>
      <c r="B2137" t="inlineStr">
        <is>
          <t>GLAM ICE WHITE</t>
        </is>
      </c>
      <c r="C2137" t="n">
        <v>72</v>
      </c>
      <c r="D2137" t="n">
        <v>102</v>
      </c>
      <c r="E2137" t="n">
        <v>290</v>
      </c>
      <c r="F2137" t="n">
        <v>0</v>
      </c>
      <c r="G2137">
        <f>SUMIF(PRISPELO!B:B, A2137, PRISPELO!G:G)</f>
        <v/>
      </c>
      <c r="H2137">
        <f>SUMIF(ODPIS!B:B, A2137, ODPIS!G:G)</f>
        <v/>
      </c>
      <c r="I2137" s="2">
        <f>F2137 + G2137 - H2137</f>
        <v/>
      </c>
    </row>
    <row r="2138">
      <c r="A2138" t="n">
        <v>4192</v>
      </c>
      <c r="B2138" t="inlineStr">
        <is>
          <t>KUVERTA A23 BD SI</t>
        </is>
      </c>
      <c r="C2138" t="n">
        <v>110</v>
      </c>
      <c r="D2138" t="n">
        <v>230</v>
      </c>
      <c r="E2138" t="n">
        <v>90</v>
      </c>
      <c r="F2138" t="n">
        <v>0</v>
      </c>
      <c r="G2138">
        <f>SUMIF(PRISPELO!B:B, A2138, PRISPELO!G:G)</f>
        <v/>
      </c>
      <c r="H2138">
        <f>SUMIF(ODPIS!B:B, A2138, ODPIS!G:G)</f>
        <v/>
      </c>
      <c r="I2138" s="2">
        <f>F2138 + G2138 - H2138</f>
        <v/>
      </c>
    </row>
    <row r="2139">
      <c r="A2139" t="n">
        <v>4194</v>
      </c>
      <c r="B2139" t="inlineStr">
        <is>
          <t>IQ PRINT</t>
        </is>
      </c>
      <c r="C2139" t="n">
        <v>70</v>
      </c>
      <c r="D2139" t="n">
        <v>100</v>
      </c>
      <c r="E2139" t="n">
        <v>250</v>
      </c>
      <c r="F2139" t="n">
        <v>0</v>
      </c>
      <c r="G2139">
        <f>SUMIF(PRISPELO!B:B, A2139, PRISPELO!G:G)</f>
        <v/>
      </c>
      <c r="H2139">
        <f>SUMIF(ODPIS!B:B, A2139, ODPIS!G:G)</f>
        <v/>
      </c>
      <c r="I2139" s="2">
        <f>F2139 + G2139 - H2139</f>
        <v/>
      </c>
    </row>
    <row r="2140">
      <c r="A2140" t="n">
        <v>4195</v>
      </c>
      <c r="B2140" t="inlineStr">
        <is>
          <t>METALIZIRAN PAPIR</t>
        </is>
      </c>
      <c r="C2140" t="n">
        <v>70</v>
      </c>
      <c r="D2140" t="n">
        <v>100</v>
      </c>
      <c r="E2140" t="n">
        <v>300</v>
      </c>
      <c r="F2140" t="n">
        <v>0</v>
      </c>
      <c r="G2140">
        <f>SUMIF(PRISPELO!B:B, A2140, PRISPELO!G:G)</f>
        <v/>
      </c>
      <c r="H2140">
        <f>SUMIF(ODPIS!B:B, A2140, ODPIS!G:G)</f>
        <v/>
      </c>
      <c r="I2140" s="2">
        <f>F2140 + G2140 - H2140</f>
        <v/>
      </c>
    </row>
    <row r="2141">
      <c r="A2141" t="n">
        <v>4196</v>
      </c>
      <c r="B2141" t="inlineStr">
        <is>
          <t>MAGNO SATIN</t>
        </is>
      </c>
      <c r="C2141" t="n">
        <v>56</v>
      </c>
      <c r="D2141" t="n">
        <v>50</v>
      </c>
      <c r="E2141" t="n">
        <v>250</v>
      </c>
      <c r="F2141" t="n">
        <v>0</v>
      </c>
      <c r="G2141">
        <f>SUMIF(PRISPELO!B:B, A2141, PRISPELO!G:G)</f>
        <v/>
      </c>
      <c r="H2141">
        <f>SUMIF(ODPIS!B:B, A2141, ODPIS!G:G)</f>
        <v/>
      </c>
      <c r="I2141" s="2">
        <f>F2141 + G2141 - H2141</f>
        <v/>
      </c>
    </row>
    <row r="2142">
      <c r="A2142" t="n">
        <v>4197</v>
      </c>
      <c r="B2142" t="inlineStr">
        <is>
          <t>SORA PRESS</t>
        </is>
      </c>
      <c r="C2142" t="n">
        <v>64</v>
      </c>
      <c r="D2142" t="n">
        <v>90</v>
      </c>
      <c r="E2142" t="n">
        <v>80</v>
      </c>
      <c r="F2142" t="n">
        <v>0</v>
      </c>
      <c r="G2142">
        <f>SUMIF(PRISPELO!B:B, A2142, PRISPELO!G:G)</f>
        <v/>
      </c>
      <c r="H2142">
        <f>SUMIF(ODPIS!B:B, A2142, ODPIS!G:G)</f>
        <v/>
      </c>
      <c r="I2142" s="2">
        <f>F2142 + G2142 - H2142</f>
        <v/>
      </c>
    </row>
    <row r="2143">
      <c r="A2143" t="n">
        <v>4198</v>
      </c>
      <c r="B2143" t="inlineStr">
        <is>
          <t>SYMBOL CARD 2SC</t>
        </is>
      </c>
      <c r="C2143" t="n">
        <v>72</v>
      </c>
      <c r="D2143" t="n">
        <v>102</v>
      </c>
      <c r="E2143" t="n">
        <v>580</v>
      </c>
      <c r="F2143" t="n">
        <v>0</v>
      </c>
      <c r="G2143">
        <f>SUMIF(PRISPELO!B:B, A2143, PRISPELO!G:G)</f>
        <v/>
      </c>
      <c r="H2143">
        <f>SUMIF(ODPIS!B:B, A2143, ODPIS!G:G)</f>
        <v/>
      </c>
      <c r="I2143" s="2">
        <f>F2143 + G2143 - H2143</f>
        <v/>
      </c>
    </row>
    <row r="2144">
      <c r="A2144" t="n">
        <v>4199</v>
      </c>
      <c r="B2144" t="inlineStr">
        <is>
          <t>OFFSET LIRIS</t>
        </is>
      </c>
      <c r="C2144" t="n">
        <v>64</v>
      </c>
      <c r="D2144" t="n">
        <v>90</v>
      </c>
      <c r="E2144" t="n">
        <v>170</v>
      </c>
      <c r="F2144" t="n">
        <v>0</v>
      </c>
      <c r="G2144">
        <f>SUMIF(PRISPELO!B:B, A2144, PRISPELO!G:G)</f>
        <v/>
      </c>
      <c r="H2144">
        <f>SUMIF(ODPIS!B:B, A2144, ODPIS!G:G)</f>
        <v/>
      </c>
      <c r="I2144" s="2">
        <f>F2144 + G2144 - H2144</f>
        <v/>
      </c>
    </row>
    <row r="2145">
      <c r="A2145" t="n">
        <v>4200</v>
      </c>
      <c r="B2145" t="inlineStr">
        <is>
          <t>ROYALCOAT PREMIUM GLOSS</t>
        </is>
      </c>
      <c r="C2145" t="n">
        <v>100</v>
      </c>
      <c r="D2145" t="n">
        <v>70</v>
      </c>
      <c r="E2145" t="n">
        <v>250</v>
      </c>
      <c r="F2145" t="n">
        <v>0</v>
      </c>
      <c r="G2145">
        <f>SUMIF(PRISPELO!B:B, A2145, PRISPELO!G:G)</f>
        <v/>
      </c>
      <c r="H2145">
        <f>SUMIF(ODPIS!B:B, A2145, ODPIS!G:G)</f>
        <v/>
      </c>
      <c r="I2145" s="2">
        <f>F2145 + G2145 - H2145</f>
        <v/>
      </c>
    </row>
    <row r="2146">
      <c r="A2146" t="n">
        <v>4201</v>
      </c>
      <c r="B2146" t="inlineStr">
        <is>
          <t>DALI BLUMARINE</t>
        </is>
      </c>
      <c r="C2146" t="n">
        <v>72</v>
      </c>
      <c r="D2146" t="n">
        <v>102</v>
      </c>
      <c r="E2146" t="n">
        <v>285</v>
      </c>
      <c r="F2146" t="n">
        <v>0</v>
      </c>
      <c r="G2146">
        <f>SUMIF(PRISPELO!B:B, A2146, PRISPELO!G:G)</f>
        <v/>
      </c>
      <c r="H2146">
        <f>SUMIF(ODPIS!B:B, A2146, ODPIS!G:G)</f>
        <v/>
      </c>
      <c r="I2146" s="2">
        <f>F2146 + G2146 - H2146</f>
        <v/>
      </c>
    </row>
    <row r="2147">
      <c r="A2147" t="n">
        <v>4202</v>
      </c>
      <c r="B2147" t="inlineStr">
        <is>
          <t>NIVIS SATIN</t>
        </is>
      </c>
      <c r="C2147" t="n">
        <v>100</v>
      </c>
      <c r="D2147" t="n">
        <v>70</v>
      </c>
      <c r="E2147" t="n">
        <v>170</v>
      </c>
      <c r="F2147" t="n">
        <v>0</v>
      </c>
      <c r="G2147">
        <f>SUMIF(PRISPELO!B:B, A2147, PRISPELO!G:G)</f>
        <v/>
      </c>
      <c r="H2147">
        <f>SUMIF(ODPIS!B:B, A2147, ODPIS!G:G)</f>
        <v/>
      </c>
      <c r="I2147" s="2">
        <f>F2147 + G2147 - H2147</f>
        <v/>
      </c>
    </row>
    <row r="2148">
      <c r="A2148" t="n">
        <v>4203</v>
      </c>
      <c r="B2148" t="inlineStr">
        <is>
          <t>OFFSET LIRIS</t>
        </is>
      </c>
      <c r="C2148" t="n">
        <v>70</v>
      </c>
      <c r="D2148" t="n">
        <v>100</v>
      </c>
      <c r="E2148" t="n">
        <v>190</v>
      </c>
      <c r="F2148" t="n">
        <v>0</v>
      </c>
      <c r="G2148">
        <f>SUMIF(PRISPELO!B:B, A2148, PRISPELO!G:G)</f>
        <v/>
      </c>
      <c r="H2148">
        <f>SUMIF(ODPIS!B:B, A2148, ODPIS!G:G)</f>
        <v/>
      </c>
      <c r="I2148" s="2">
        <f>F2148 + G2148 - H2148</f>
        <v/>
      </c>
    </row>
    <row r="2149">
      <c r="A2149" t="n">
        <v>4205</v>
      </c>
      <c r="B2149" t="inlineStr">
        <is>
          <t>SPLENDORGEL E.W.</t>
        </is>
      </c>
      <c r="C2149" t="n">
        <v>71</v>
      </c>
      <c r="D2149" t="n">
        <v>100</v>
      </c>
      <c r="E2149" t="n">
        <v>100</v>
      </c>
      <c r="F2149" t="n">
        <v>0</v>
      </c>
      <c r="G2149">
        <f>SUMIF(PRISPELO!B:B, A2149, PRISPELO!G:G)</f>
        <v/>
      </c>
      <c r="H2149">
        <f>SUMIF(ODPIS!B:B, A2149, ODPIS!G:G)</f>
        <v/>
      </c>
      <c r="I2149" s="2">
        <f>F2149 + G2149 - H2149</f>
        <v/>
      </c>
    </row>
    <row r="2150">
      <c r="A2150" t="n">
        <v>4206</v>
      </c>
      <c r="B2150" t="inlineStr">
        <is>
          <t>SPLENDORGEL E.W.</t>
        </is>
      </c>
      <c r="C2150" t="n">
        <v>71</v>
      </c>
      <c r="D2150" t="n">
        <v>100</v>
      </c>
      <c r="E2150" t="n">
        <v>270</v>
      </c>
      <c r="F2150" t="n">
        <v>0</v>
      </c>
      <c r="G2150">
        <f>SUMIF(PRISPELO!B:B, A2150, PRISPELO!G:G)</f>
        <v/>
      </c>
      <c r="H2150">
        <f>SUMIF(ODPIS!B:B, A2150, ODPIS!G:G)</f>
        <v/>
      </c>
      <c r="I2150" s="2">
        <f>F2150 + G2150 - H2150</f>
        <v/>
      </c>
    </row>
    <row r="2151">
      <c r="A2151" t="n">
        <v>4207</v>
      </c>
      <c r="B2151" t="inlineStr">
        <is>
          <t>SPLEDORGEL E.W.</t>
        </is>
      </c>
      <c r="C2151" t="n">
        <v>71</v>
      </c>
      <c r="D2151" t="n">
        <v>100</v>
      </c>
      <c r="E2151" t="n">
        <v>300</v>
      </c>
      <c r="F2151" t="n">
        <v>0</v>
      </c>
      <c r="G2151">
        <f>SUMIF(PRISPELO!B:B, A2151, PRISPELO!G:G)</f>
        <v/>
      </c>
      <c r="H2151">
        <f>SUMIF(ODPIS!B:B, A2151, ODPIS!G:G)</f>
        <v/>
      </c>
      <c r="I2151" s="2">
        <f>F2151 + G2151 - H2151</f>
        <v/>
      </c>
    </row>
    <row r="2152">
      <c r="A2152" t="n">
        <v>4208</v>
      </c>
      <c r="B2152" t="inlineStr">
        <is>
          <t>SIRIO PERLA</t>
        </is>
      </c>
      <c r="C2152" t="n">
        <v>70</v>
      </c>
      <c r="D2152" t="n">
        <v>100</v>
      </c>
      <c r="E2152" t="n">
        <v>170</v>
      </c>
      <c r="F2152" t="n">
        <v>0</v>
      </c>
      <c r="G2152">
        <f>SUMIF(PRISPELO!B:B, A2152, PRISPELO!G:G)</f>
        <v/>
      </c>
      <c r="H2152">
        <f>SUMIF(ODPIS!B:B, A2152, ODPIS!G:G)</f>
        <v/>
      </c>
      <c r="I2152" s="2">
        <f>F2152 + G2152 - H2152</f>
        <v/>
      </c>
    </row>
    <row r="2153">
      <c r="A2153" t="n">
        <v>4209</v>
      </c>
      <c r="B2153" t="inlineStr">
        <is>
          <t>ITALSTICK M.COATED SUPERTACK PLUS</t>
        </is>
      </c>
      <c r="C2153" t="n">
        <v>50</v>
      </c>
      <c r="D2153" t="n">
        <v>70</v>
      </c>
      <c r="E2153" t="n">
        <v>120</v>
      </c>
      <c r="F2153" t="n">
        <v>0</v>
      </c>
      <c r="G2153">
        <f>SUMIF(PRISPELO!B:B, A2153, PRISPELO!G:G)</f>
        <v/>
      </c>
      <c r="H2153">
        <f>SUMIF(ODPIS!B:B, A2153, ODPIS!G:G)</f>
        <v/>
      </c>
      <c r="I2153" s="2">
        <f>F2153 + G2153 - H2153</f>
        <v/>
      </c>
    </row>
    <row r="2154">
      <c r="A2154" t="n">
        <v>4210</v>
      </c>
      <c r="B2154" t="inlineStr">
        <is>
          <t>fedrigoni splendoregel weib</t>
        </is>
      </c>
      <c r="C2154" t="n">
        <v>71</v>
      </c>
      <c r="D2154" t="n">
        <v>101</v>
      </c>
      <c r="E2154" t="n">
        <v>340</v>
      </c>
      <c r="F2154" t="n">
        <v>0</v>
      </c>
      <c r="G2154">
        <f>SUMIF(PRISPELO!B:B, A2154, PRISPELO!G:G)</f>
        <v/>
      </c>
      <c r="H2154">
        <f>SUMIF(ODPIS!B:B, A2154, ODPIS!G:G)</f>
        <v/>
      </c>
      <c r="I2154" s="2">
        <f>F2154 + G2154 - H2154</f>
        <v/>
      </c>
    </row>
    <row r="2155">
      <c r="A2155" t="n">
        <v>4211</v>
      </c>
      <c r="B2155" t="inlineStr">
        <is>
          <t>RIVES TRADITION NATURAL WHITE</t>
        </is>
      </c>
      <c r="C2155" t="n">
        <v>70</v>
      </c>
      <c r="D2155" t="n">
        <v>100</v>
      </c>
      <c r="E2155" t="n">
        <v>400</v>
      </c>
      <c r="F2155" t="n">
        <v>0</v>
      </c>
      <c r="G2155">
        <f>SUMIF(PRISPELO!B:B, A2155, PRISPELO!G:G)</f>
        <v/>
      </c>
      <c r="H2155">
        <f>SUMIF(ODPIS!B:B, A2155, ODPIS!G:G)</f>
        <v/>
      </c>
      <c r="I2155" s="2">
        <f>F2155 + G2155 - H2155</f>
        <v/>
      </c>
    </row>
    <row r="2156">
      <c r="A2156" t="n">
        <v>4212</v>
      </c>
      <c r="B2156" t="inlineStr">
        <is>
          <t>RIVES TRADITION C5 NATURAL WHUTE</t>
        </is>
      </c>
      <c r="C2156" t="n">
        <v>229</v>
      </c>
      <c r="D2156" t="n">
        <v>162</v>
      </c>
      <c r="E2156" t="n">
        <v>120</v>
      </c>
      <c r="F2156" t="n">
        <v>0</v>
      </c>
      <c r="G2156">
        <f>SUMIF(PRISPELO!B:B, A2156, PRISPELO!G:G)</f>
        <v/>
      </c>
      <c r="H2156">
        <f>SUMIF(ODPIS!B:B, A2156, ODPIS!G:G)</f>
        <v/>
      </c>
      <c r="I2156" s="2">
        <f>F2156 + G2156 - H2156</f>
        <v/>
      </c>
    </row>
    <row r="2157">
      <c r="A2157" t="n">
        <v>4213</v>
      </c>
      <c r="B2157" t="inlineStr">
        <is>
          <t>FS MC WHITE FSC REMOVABLE- PLAIN</t>
        </is>
      </c>
      <c r="C2157" t="n">
        <v>50</v>
      </c>
      <c r="D2157" t="n">
        <v>70</v>
      </c>
      <c r="E2157" t="n">
        <v>80</v>
      </c>
      <c r="F2157" t="n">
        <v>0</v>
      </c>
      <c r="G2157">
        <f>SUMIF(PRISPELO!B:B, A2157, PRISPELO!G:G)</f>
        <v/>
      </c>
      <c r="H2157">
        <f>SUMIF(ODPIS!B:B, A2157, ODPIS!G:G)</f>
        <v/>
      </c>
      <c r="I2157" s="2">
        <f>F2157 + G2157 - H2157</f>
        <v/>
      </c>
    </row>
    <row r="2158">
      <c r="A2158" t="n">
        <v>4214</v>
      </c>
      <c r="B2158" t="inlineStr">
        <is>
          <t>KUVERTA C5 BD OL</t>
        </is>
      </c>
      <c r="C2158" t="n">
        <v>162</v>
      </c>
      <c r="D2158" t="n">
        <v>229</v>
      </c>
      <c r="E2158" t="n">
        <v>90</v>
      </c>
      <c r="F2158" t="n">
        <v>0</v>
      </c>
      <c r="G2158">
        <f>SUMIF(PRISPELO!B:B, A2158, PRISPELO!G:G)</f>
        <v/>
      </c>
      <c r="H2158">
        <f>SUMIF(ODPIS!B:B, A2158, ODPIS!G:G)</f>
        <v/>
      </c>
      <c r="I2158" s="2">
        <f>F2158 + G2158 - H2158</f>
        <v/>
      </c>
    </row>
    <row r="2159">
      <c r="A2159" t="n">
        <v>4215</v>
      </c>
      <c r="B2159" t="inlineStr">
        <is>
          <t>sam.wellum EP P KP 125</t>
        </is>
      </c>
      <c r="C2159" t="n">
        <v>50</v>
      </c>
      <c r="D2159" t="n">
        <v>70</v>
      </c>
      <c r="E2159" t="n">
        <v>80</v>
      </c>
      <c r="F2159" t="n">
        <v>0</v>
      </c>
      <c r="G2159">
        <f>SUMIF(PRISPELO!B:B, A2159, PRISPELO!G:G)</f>
        <v/>
      </c>
      <c r="H2159">
        <f>SUMIF(ODPIS!B:B, A2159, ODPIS!G:G)</f>
        <v/>
      </c>
      <c r="I2159" s="2">
        <f>F2159 + G2159 - H2159</f>
        <v/>
      </c>
    </row>
    <row r="2160">
      <c r="A2160" t="n">
        <v>4216</v>
      </c>
      <c r="B2160" t="inlineStr">
        <is>
          <t>CB SUPERWHITE (REACTO)</t>
        </is>
      </c>
      <c r="C2160" t="n">
        <v>45</v>
      </c>
      <c r="D2160" t="n">
        <v>64</v>
      </c>
      <c r="E2160" t="n">
        <v>60</v>
      </c>
      <c r="F2160" t="n">
        <v>0</v>
      </c>
      <c r="G2160">
        <f>SUMIF(PRISPELO!B:B, A2160, PRISPELO!G:G)</f>
        <v/>
      </c>
      <c r="H2160">
        <f>SUMIF(ODPIS!B:B, A2160, ODPIS!G:G)</f>
        <v/>
      </c>
      <c r="I2160" s="2">
        <f>F2160 + G2160 - H2160</f>
        <v/>
      </c>
    </row>
    <row r="2161">
      <c r="A2161" t="n">
        <v>4218</v>
      </c>
      <c r="B2161" t="inlineStr">
        <is>
          <t>FORMULA CF</t>
        </is>
      </c>
      <c r="C2161" t="n">
        <v>45</v>
      </c>
      <c r="D2161" t="n">
        <v>64</v>
      </c>
      <c r="E2161" t="n">
        <v>60</v>
      </c>
      <c r="F2161" t="n">
        <v>0</v>
      </c>
      <c r="G2161">
        <f>SUMIF(PRISPELO!B:B, A2161, PRISPELO!G:G)</f>
        <v/>
      </c>
      <c r="H2161">
        <f>SUMIF(ODPIS!B:B, A2161, ODPIS!G:G)</f>
        <v/>
      </c>
      <c r="I2161" s="2">
        <f>F2161 + G2161 - H2161</f>
        <v/>
      </c>
    </row>
    <row r="2162">
      <c r="A2162" t="n">
        <v>4219</v>
      </c>
      <c r="B2162" t="inlineStr">
        <is>
          <t>OFFSET LIRIS</t>
        </is>
      </c>
      <c r="C2162" t="n">
        <v>64</v>
      </c>
      <c r="D2162" t="n">
        <v>90</v>
      </c>
      <c r="E2162" t="n">
        <v>120</v>
      </c>
      <c r="F2162" t="n">
        <v>0</v>
      </c>
      <c r="G2162">
        <f>SUMIF(PRISPELO!B:B, A2162, PRISPELO!G:G)</f>
        <v/>
      </c>
      <c r="H2162">
        <f>SUMIF(ODPIS!B:B, A2162, ODPIS!G:G)</f>
        <v/>
      </c>
      <c r="I2162" s="2">
        <f>F2162 + G2162 - H2162</f>
        <v/>
      </c>
    </row>
    <row r="2163">
      <c r="A2163" t="n">
        <v>4221</v>
      </c>
      <c r="B2163" t="inlineStr">
        <is>
          <t>SPLENDORGEL EXTRA WHITE</t>
        </is>
      </c>
      <c r="C2163" t="n">
        <v>71</v>
      </c>
      <c r="D2163" t="n">
        <v>100</v>
      </c>
      <c r="E2163" t="n">
        <v>340</v>
      </c>
      <c r="F2163" t="n">
        <v>0</v>
      </c>
      <c r="G2163">
        <f>SUMIF(PRISPELO!B:B, A2163, PRISPELO!G:G)</f>
        <v/>
      </c>
      <c r="H2163">
        <f>SUMIF(ODPIS!B:B, A2163, ODPIS!G:G)</f>
        <v/>
      </c>
      <c r="I2163" s="2">
        <f>F2163 + G2163 - H2163</f>
        <v/>
      </c>
    </row>
    <row r="2164">
      <c r="A2164" t="n">
        <v>4222</v>
      </c>
      <c r="B2164" t="inlineStr">
        <is>
          <t>ROYAL PREMIUM GLOSS</t>
        </is>
      </c>
      <c r="C2164" t="n">
        <v>70</v>
      </c>
      <c r="D2164" t="n">
        <v>100</v>
      </c>
      <c r="E2164" t="n">
        <v>100</v>
      </c>
      <c r="F2164" t="n">
        <v>0</v>
      </c>
      <c r="G2164">
        <f>SUMIF(PRISPELO!B:B, A2164, PRISPELO!G:G)</f>
        <v/>
      </c>
      <c r="H2164">
        <f>SUMIF(ODPIS!B:B, A2164, ODPIS!G:G)</f>
        <v/>
      </c>
      <c r="I2164" s="2">
        <f>F2164 + G2164 - H2164</f>
        <v/>
      </c>
    </row>
    <row r="2165">
      <c r="A2165" t="n">
        <v>4224</v>
      </c>
      <c r="B2165" t="inlineStr">
        <is>
          <t>OFFSET AMBER</t>
        </is>
      </c>
      <c r="C2165" t="n">
        <v>90</v>
      </c>
      <c r="D2165" t="n">
        <v>64</v>
      </c>
      <c r="E2165" t="n">
        <v>170</v>
      </c>
      <c r="F2165" t="n">
        <v>0</v>
      </c>
      <c r="G2165">
        <f>SUMIF(PRISPELO!B:B, A2165, PRISPELO!G:G)</f>
        <v/>
      </c>
      <c r="H2165">
        <f>SUMIF(ODPIS!B:B, A2165, ODPIS!G:G)</f>
        <v/>
      </c>
      <c r="I2165" s="2">
        <f>F2165 + G2165 - H2165</f>
        <v/>
      </c>
    </row>
    <row r="2166">
      <c r="A2166" t="n">
        <v>4225</v>
      </c>
      <c r="B2166" t="inlineStr">
        <is>
          <t>NIVIS NEXT MATT</t>
        </is>
      </c>
      <c r="C2166" t="n">
        <v>90</v>
      </c>
      <c r="D2166" t="n">
        <v>64</v>
      </c>
      <c r="E2166" t="n">
        <v>150</v>
      </c>
      <c r="F2166" t="n">
        <v>0</v>
      </c>
      <c r="G2166">
        <f>SUMIF(PRISPELO!B:B, A2166, PRISPELO!G:G)</f>
        <v/>
      </c>
      <c r="H2166">
        <f>SUMIF(ODPIS!B:B, A2166, ODPIS!G:G)</f>
        <v/>
      </c>
      <c r="I2166" s="2">
        <f>F2166 + G2166 - H2166</f>
        <v/>
      </c>
    </row>
    <row r="2167">
      <c r="A2167" t="n">
        <v>4226</v>
      </c>
      <c r="B2167" t="inlineStr">
        <is>
          <t>MAGNO SATIN</t>
        </is>
      </c>
      <c r="C2167" t="n">
        <v>69.8</v>
      </c>
      <c r="D2167" t="n">
        <v>49.8</v>
      </c>
      <c r="E2167" t="n">
        <v>90</v>
      </c>
      <c r="F2167" t="n">
        <v>0</v>
      </c>
      <c r="G2167">
        <f>SUMIF(PRISPELO!B:B, A2167, PRISPELO!G:G)</f>
        <v/>
      </c>
      <c r="H2167">
        <f>SUMIF(ODPIS!B:B, A2167, ODPIS!G:G)</f>
        <v/>
      </c>
      <c r="I2167" s="2">
        <f>F2167 + G2167 - H2167</f>
        <v/>
      </c>
    </row>
    <row r="2168">
      <c r="A2168" t="n">
        <v>4227</v>
      </c>
      <c r="B2168" t="inlineStr">
        <is>
          <t>IQ COLOR ORANGE OR43</t>
        </is>
      </c>
      <c r="C2168" t="n">
        <v>92</v>
      </c>
      <c r="D2168" t="n">
        <v>65</v>
      </c>
      <c r="E2168" t="n">
        <v>80</v>
      </c>
      <c r="F2168" t="n">
        <v>0</v>
      </c>
      <c r="G2168">
        <f>SUMIF(PRISPELO!B:B, A2168, PRISPELO!G:G)</f>
        <v/>
      </c>
      <c r="H2168">
        <f>SUMIF(ODPIS!B:B, A2168, ODPIS!G:G)</f>
        <v/>
      </c>
      <c r="I2168" s="2">
        <f>F2168 + G2168 - H2168</f>
        <v/>
      </c>
    </row>
    <row r="2169">
      <c r="A2169" t="n">
        <v>4228</v>
      </c>
      <c r="B2169" t="inlineStr">
        <is>
          <t>IQ LIME GREEN LG46</t>
        </is>
      </c>
      <c r="C2169" t="n">
        <v>92</v>
      </c>
      <c r="D2169" t="n">
        <v>65</v>
      </c>
      <c r="E2169" t="n">
        <v>80</v>
      </c>
      <c r="F2169" t="n">
        <v>0</v>
      </c>
      <c r="G2169">
        <f>SUMIF(PRISPELO!B:B, A2169, PRISPELO!G:G)</f>
        <v/>
      </c>
      <c r="H2169">
        <f>SUMIF(ODPIS!B:B, A2169, ODPIS!G:G)</f>
        <v/>
      </c>
      <c r="I2169" s="2">
        <f>F2169 + G2169 - H2169</f>
        <v/>
      </c>
    </row>
    <row r="2170">
      <c r="A2170" t="n">
        <v>4229</v>
      </c>
      <c r="B2170" t="inlineStr">
        <is>
          <t>MCM SMART</t>
        </is>
      </c>
      <c r="C2170" t="n">
        <v>93.59999999999999</v>
      </c>
      <c r="D2170" t="n">
        <v>73.3</v>
      </c>
      <c r="E2170" t="n">
        <v>400</v>
      </c>
      <c r="F2170" t="n">
        <v>0</v>
      </c>
      <c r="G2170">
        <f>SUMIF(PRISPELO!B:B, A2170, PRISPELO!G:G)</f>
        <v/>
      </c>
      <c r="H2170">
        <f>SUMIF(ODPIS!B:B, A2170, ODPIS!G:G)</f>
        <v/>
      </c>
      <c r="I2170" s="2">
        <f>F2170 + G2170 - H2170</f>
        <v/>
      </c>
    </row>
    <row r="2171">
      <c r="A2171" t="n">
        <v>4230</v>
      </c>
      <c r="B2171" t="inlineStr">
        <is>
          <t>Colorplan Bright Red</t>
        </is>
      </c>
      <c r="C2171" t="n">
        <v>64</v>
      </c>
      <c r="D2171" t="n">
        <v>97</v>
      </c>
      <c r="E2171" t="n">
        <v>270</v>
      </c>
      <c r="F2171" t="n">
        <v>0</v>
      </c>
      <c r="G2171">
        <f>SUMIF(PRISPELO!B:B, A2171, PRISPELO!G:G)</f>
        <v/>
      </c>
      <c r="H2171">
        <f>SUMIF(ODPIS!B:B, A2171, ODPIS!G:G)</f>
        <v/>
      </c>
      <c r="I2171" s="2">
        <f>F2171 + G2171 - H2171</f>
        <v/>
      </c>
    </row>
    <row r="2172">
      <c r="A2172" t="n">
        <v>4231</v>
      </c>
      <c r="B2172" t="inlineStr">
        <is>
          <t>Luxline UU lepenka 1.2</t>
        </is>
      </c>
      <c r="C2172" t="n">
        <v>72</v>
      </c>
      <c r="D2172" t="n">
        <v>102</v>
      </c>
      <c r="E2172" t="n">
        <v>756</v>
      </c>
      <c r="F2172" t="n">
        <v>0</v>
      </c>
      <c r="G2172">
        <f>SUMIF(PRISPELO!B:B, A2172, PRISPELO!G:G)</f>
        <v/>
      </c>
      <c r="H2172">
        <f>SUMIF(ODPIS!B:B, A2172, ODPIS!G:G)</f>
        <v/>
      </c>
      <c r="I2172" s="2">
        <f>F2172 + G2172 - H2172</f>
        <v/>
      </c>
    </row>
    <row r="2173">
      <c r="A2173" t="n">
        <v>4232</v>
      </c>
      <c r="B2173" t="inlineStr">
        <is>
          <t>Chromostar</t>
        </is>
      </c>
      <c r="C2173" t="n">
        <v>102</v>
      </c>
      <c r="D2173" t="n">
        <v>72</v>
      </c>
      <c r="E2173" t="n">
        <v>250</v>
      </c>
      <c r="F2173" t="n">
        <v>0</v>
      </c>
      <c r="G2173">
        <f>SUMIF(PRISPELO!B:B, A2173, PRISPELO!G:G)</f>
        <v/>
      </c>
      <c r="H2173">
        <f>SUMIF(ODPIS!B:B, A2173, ODPIS!G:G)</f>
        <v/>
      </c>
      <c r="I2173" s="2">
        <f>F2173 + G2173 - H2173</f>
        <v/>
      </c>
    </row>
    <row r="2174">
      <c r="A2174" t="n">
        <v>4234</v>
      </c>
      <c r="B2174" t="inlineStr">
        <is>
          <t>FEDRIGONI SYMBOL CARD POT!</t>
        </is>
      </c>
      <c r="C2174" t="n">
        <v>102</v>
      </c>
      <c r="D2174" t="n">
        <v>72</v>
      </c>
      <c r="E2174" t="n">
        <v>240</v>
      </c>
      <c r="F2174" t="n">
        <v>0</v>
      </c>
      <c r="G2174">
        <f>SUMIF(PRISPELO!B:B, A2174, PRISPELO!G:G)</f>
        <v/>
      </c>
      <c r="H2174">
        <f>SUMIF(ODPIS!B:B, A2174, ODPIS!G:G)</f>
        <v/>
      </c>
      <c r="I2174" s="2">
        <f>F2174 + G2174 - H2174</f>
        <v/>
      </c>
    </row>
    <row r="2175">
      <c r="A2175" t="n">
        <v>4235</v>
      </c>
      <c r="B2175" t="inlineStr">
        <is>
          <t>NIVIS NEXT MATT</t>
        </is>
      </c>
      <c r="C2175" t="n">
        <v>72</v>
      </c>
      <c r="D2175" t="n">
        <v>102</v>
      </c>
      <c r="E2175" t="n">
        <v>150</v>
      </c>
      <c r="F2175" t="n">
        <v>0</v>
      </c>
      <c r="G2175">
        <f>SUMIF(PRISPELO!B:B, A2175, PRISPELO!G:G)</f>
        <v/>
      </c>
      <c r="H2175">
        <f>SUMIF(ODPIS!B:B, A2175, ODPIS!G:G)</f>
        <v/>
      </c>
      <c r="I2175" s="2">
        <f>F2175 + G2175 - H2175</f>
        <v/>
      </c>
    </row>
    <row r="2176">
      <c r="A2176" t="n">
        <v>4236</v>
      </c>
      <c r="B2176" t="inlineStr">
        <is>
          <t>HIGH POINT</t>
        </is>
      </c>
      <c r="C2176" t="n">
        <v>72</v>
      </c>
      <c r="D2176" t="n">
        <v>102</v>
      </c>
      <c r="E2176" t="n">
        <v>235</v>
      </c>
      <c r="F2176" t="n">
        <v>0</v>
      </c>
      <c r="G2176">
        <f>SUMIF(PRISPELO!B:B, A2176, PRISPELO!G:G)</f>
        <v/>
      </c>
      <c r="H2176">
        <f>SUMIF(ODPIS!B:B, A2176, ODPIS!G:G)</f>
        <v/>
      </c>
      <c r="I2176" s="2">
        <f>F2176 + G2176 - H2176</f>
        <v/>
      </c>
    </row>
    <row r="2177">
      <c r="A2177" t="n">
        <v>2424</v>
      </c>
      <c r="B2177" t="inlineStr">
        <is>
          <t>Kuverta amerikanka DO S.trak,Nova K</t>
        </is>
      </c>
      <c r="C2177" t="n">
        <v>11</v>
      </c>
      <c r="D2177" t="n">
        <v>23</v>
      </c>
      <c r="E2177" t="n">
        <v>90</v>
      </c>
      <c r="F2177" t="n">
        <v>0</v>
      </c>
      <c r="G2177">
        <f>SUMIF(PRISPELO!B:B, A2177, PRISPELO!G:G)</f>
        <v/>
      </c>
      <c r="H2177">
        <f>SUMIF(ODPIS!B:B, A2177, ODPIS!G:G)</f>
        <v/>
      </c>
      <c r="I2177" s="2">
        <f>F2177 + G2177 - H2177</f>
        <v/>
      </c>
    </row>
    <row r="2178">
      <c r="A2178" t="n">
        <v>4237</v>
      </c>
      <c r="B2178" t="inlineStr">
        <is>
          <t>HIGH POINT</t>
        </is>
      </c>
      <c r="C2178" t="n">
        <v>102</v>
      </c>
      <c r="D2178" t="n">
        <v>72</v>
      </c>
      <c r="E2178" t="n">
        <v>235</v>
      </c>
      <c r="F2178" t="n">
        <v>0</v>
      </c>
      <c r="G2178">
        <f>SUMIF(PRISPELO!B:B, A2178, PRISPELO!G:G)</f>
        <v/>
      </c>
      <c r="H2178">
        <f>SUMIF(ODPIS!B:B, A2178, ODPIS!G:G)</f>
        <v/>
      </c>
      <c r="I2178" s="2">
        <f>F2178 + G2178 - H2178</f>
        <v/>
      </c>
    </row>
    <row r="2179">
      <c r="A2179" t="n">
        <v>4238</v>
      </c>
      <c r="B2179" t="inlineStr">
        <is>
          <t>HIGH POINT</t>
        </is>
      </c>
      <c r="C2179" t="n">
        <v>102</v>
      </c>
      <c r="D2179" t="n">
        <v>72</v>
      </c>
      <c r="E2179" t="n">
        <v>295</v>
      </c>
      <c r="F2179" t="n">
        <v>0</v>
      </c>
      <c r="G2179">
        <f>SUMIF(PRISPELO!B:B, A2179, PRISPELO!G:G)</f>
        <v/>
      </c>
      <c r="H2179">
        <f>SUMIF(ODPIS!B:B, A2179, ODPIS!G:G)</f>
        <v/>
      </c>
      <c r="I2179" s="2">
        <f>F2179 + G2179 - H2179</f>
        <v/>
      </c>
    </row>
    <row r="2180">
      <c r="A2180" t="n">
        <v>4239</v>
      </c>
      <c r="B2180" t="inlineStr">
        <is>
          <t>ROYALCOAT PREMIUM SILK</t>
        </is>
      </c>
      <c r="C2180" t="n">
        <v>70</v>
      </c>
      <c r="D2180" t="n">
        <v>100</v>
      </c>
      <c r="E2180" t="n">
        <v>115</v>
      </c>
      <c r="F2180" t="n">
        <v>0</v>
      </c>
      <c r="G2180">
        <f>SUMIF(PRISPELO!B:B, A2180, PRISPELO!G:G)</f>
        <v/>
      </c>
      <c r="H2180">
        <f>SUMIF(ODPIS!B:B, A2180, ODPIS!G:G)</f>
        <v/>
      </c>
      <c r="I2180" s="2">
        <f>F2180 + G2180 - H2180</f>
        <v/>
      </c>
    </row>
    <row r="2181">
      <c r="A2181" t="n">
        <v>2425</v>
      </c>
      <c r="B2181" t="inlineStr">
        <is>
          <t>Kuverta amerikanka BO S.trak Nova K</t>
        </is>
      </c>
      <c r="C2181" t="n">
        <v>11</v>
      </c>
      <c r="D2181" t="n">
        <v>23</v>
      </c>
      <c r="E2181" t="n">
        <v>90</v>
      </c>
      <c r="F2181" t="n">
        <v>12300</v>
      </c>
      <c r="G2181">
        <f>SUMIF(PRISPELO!B:B, A2181, PRISPELO!G:G)</f>
        <v/>
      </c>
      <c r="H2181">
        <f>SUMIF(ODPIS!B:B, A2181, ODPIS!G:G)</f>
        <v/>
      </c>
      <c r="I2181" s="2">
        <f>F2181 + G2181 - H2181</f>
        <v/>
      </c>
    </row>
    <row r="2182">
      <c r="A2182" t="n">
        <v>4240</v>
      </c>
      <c r="B2182" t="inlineStr">
        <is>
          <t>PET Folija 0.4 mm</t>
        </is>
      </c>
      <c r="C2182" t="n">
        <v>70</v>
      </c>
      <c r="D2182" t="n">
        <v>100</v>
      </c>
      <c r="E2182" t="n">
        <v>0</v>
      </c>
      <c r="F2182" t="n">
        <v>0</v>
      </c>
      <c r="G2182">
        <f>SUMIF(PRISPELO!B:B, A2182, PRISPELO!G:G)</f>
        <v/>
      </c>
      <c r="H2182">
        <f>SUMIF(ODPIS!B:B, A2182, ODPIS!G:G)</f>
        <v/>
      </c>
      <c r="I2182" s="2">
        <f>F2182 + G2182 - H2182</f>
        <v/>
      </c>
    </row>
    <row r="2183">
      <c r="A2183" t="n">
        <v>4242</v>
      </c>
      <c r="B2183" t="inlineStr">
        <is>
          <t>GARDA MATT</t>
        </is>
      </c>
      <c r="C2183" t="n">
        <v>64</v>
      </c>
      <c r="D2183" t="n">
        <v>88</v>
      </c>
      <c r="E2183" t="n">
        <v>350</v>
      </c>
      <c r="F2183" t="n">
        <v>0</v>
      </c>
      <c r="G2183">
        <f>SUMIF(PRISPELO!B:B, A2183, PRISPELO!G:G)</f>
        <v/>
      </c>
      <c r="H2183">
        <f>SUMIF(ODPIS!B:B, A2183, ODPIS!G:G)</f>
        <v/>
      </c>
      <c r="I2183" s="2">
        <f>F2183 + G2183 - H2183</f>
        <v/>
      </c>
    </row>
    <row r="2184">
      <c r="A2184" t="n">
        <v>4243</v>
      </c>
      <c r="B2184" t="inlineStr">
        <is>
          <t>HIGH POINT</t>
        </is>
      </c>
      <c r="C2184" t="n">
        <v>102</v>
      </c>
      <c r="D2184" t="n">
        <v>72</v>
      </c>
      <c r="E2184" t="n">
        <v>250</v>
      </c>
      <c r="F2184" t="n">
        <v>0</v>
      </c>
      <c r="G2184">
        <f>SUMIF(PRISPELO!B:B, A2184, PRISPELO!G:G)</f>
        <v/>
      </c>
      <c r="H2184">
        <f>SUMIF(ODPIS!B:B, A2184, ODPIS!G:G)</f>
        <v/>
      </c>
      <c r="I2184" s="2">
        <f>F2184 + G2184 - H2184</f>
        <v/>
      </c>
    </row>
    <row r="2185">
      <c r="A2185" t="n">
        <v>4244</v>
      </c>
      <c r="B2185" t="inlineStr">
        <is>
          <t>HIGH POINT</t>
        </is>
      </c>
      <c r="C2185" t="n">
        <v>102</v>
      </c>
      <c r="D2185" t="n">
        <v>72</v>
      </c>
      <c r="E2185" t="n">
        <v>270</v>
      </c>
      <c r="F2185" t="n">
        <v>0</v>
      </c>
      <c r="G2185">
        <f>SUMIF(PRISPELO!B:B, A2185, PRISPELO!G:G)</f>
        <v/>
      </c>
      <c r="H2185">
        <f>SUMIF(ODPIS!B:B, A2185, ODPIS!G:G)</f>
        <v/>
      </c>
      <c r="I2185" s="2">
        <f>F2185 + G2185 - H2185</f>
        <v/>
      </c>
    </row>
    <row r="2186">
      <c r="A2186" t="n">
        <v>4245</v>
      </c>
      <c r="B2186" t="inlineStr">
        <is>
          <t>FS VELLUX FSC REMUVABLE CB+B2</t>
        </is>
      </c>
      <c r="C2186" t="n">
        <v>50</v>
      </c>
      <c r="D2186" t="n">
        <v>70</v>
      </c>
      <c r="E2186" t="n">
        <v>80</v>
      </c>
      <c r="F2186" t="n">
        <v>0</v>
      </c>
      <c r="G2186">
        <f>SUMIF(PRISPELO!B:B, A2186, PRISPELO!G:G)</f>
        <v/>
      </c>
      <c r="H2186">
        <f>SUMIF(ODPIS!B:B, A2186, ODPIS!G:G)</f>
        <v/>
      </c>
      <c r="I2186" s="2">
        <f>F2186 + G2186 - H2186</f>
        <v/>
      </c>
    </row>
    <row r="2187">
      <c r="A2187" t="n">
        <v>4246</v>
      </c>
      <c r="B2187" t="inlineStr">
        <is>
          <t>MULTICOLOR MARIBEL SMART</t>
        </is>
      </c>
      <c r="C2187" t="n">
        <v>85</v>
      </c>
      <c r="D2187" t="n">
        <v>55</v>
      </c>
      <c r="E2187" t="n">
        <v>400</v>
      </c>
      <c r="F2187" t="n">
        <v>0</v>
      </c>
      <c r="G2187">
        <f>SUMIF(PRISPELO!B:B, A2187, PRISPELO!G:G)</f>
        <v/>
      </c>
      <c r="H2187">
        <f>SUMIF(ODPIS!B:B, A2187, ODPIS!G:G)</f>
        <v/>
      </c>
      <c r="I2187" s="2">
        <f>F2187 + G2187 - H2187</f>
        <v/>
      </c>
    </row>
    <row r="2188">
      <c r="A2188" t="n">
        <v>4334</v>
      </c>
      <c r="B2188" t="inlineStr">
        <is>
          <t>MY6194A1/1067-30</t>
        </is>
      </c>
      <c r="C2188" t="n">
        <v>0</v>
      </c>
      <c r="D2188" t="n">
        <v>0</v>
      </c>
      <c r="E2188" t="n">
        <v>0</v>
      </c>
      <c r="F2188" t="n">
        <v>0</v>
      </c>
      <c r="G2188">
        <f>SUMIF(PRISPELO!B:B, A2188, PRISPELO!G:G)</f>
        <v/>
      </c>
      <c r="H2188">
        <f>SUMIF(ODPIS!B:B, A2188, ODPIS!G:G)</f>
        <v/>
      </c>
      <c r="I2188" s="2">
        <f>F2188 + G2188 - H2188</f>
        <v/>
      </c>
    </row>
    <row r="2189">
      <c r="A2189" t="n">
        <v>4247</v>
      </c>
      <c r="B2189" t="inlineStr">
        <is>
          <t>HIGH POINT</t>
        </is>
      </c>
      <c r="C2189" t="n">
        <v>72</v>
      </c>
      <c r="D2189" t="n">
        <v>102</v>
      </c>
      <c r="E2189" t="n">
        <v>250</v>
      </c>
      <c r="F2189" t="n">
        <v>0</v>
      </c>
      <c r="G2189">
        <f>SUMIF(PRISPELO!B:B, A2189, PRISPELO!G:G)</f>
        <v/>
      </c>
      <c r="H2189">
        <f>SUMIF(ODPIS!B:B, A2189, ODPIS!G:G)</f>
        <v/>
      </c>
      <c r="I2189" s="2">
        <f>F2189 + G2189 - H2189</f>
        <v/>
      </c>
    </row>
    <row r="2190">
      <c r="A2190" t="n">
        <v>4249</v>
      </c>
      <c r="B2190" t="inlineStr">
        <is>
          <t>MATERICA KRAFT</t>
        </is>
      </c>
      <c r="C2190" t="n">
        <v>72</v>
      </c>
      <c r="D2190" t="n">
        <v>102</v>
      </c>
      <c r="E2190" t="n">
        <v>180</v>
      </c>
      <c r="F2190" t="n">
        <v>0</v>
      </c>
      <c r="G2190">
        <f>SUMIF(PRISPELO!B:B, A2190, PRISPELO!G:G)</f>
        <v/>
      </c>
      <c r="H2190">
        <f>SUMIF(ODPIS!B:B, A2190, ODPIS!G:G)</f>
        <v/>
      </c>
      <c r="I2190" s="2">
        <f>F2190 + G2190 - H2190</f>
        <v/>
      </c>
    </row>
    <row r="2191">
      <c r="A2191" t="n">
        <v>4250</v>
      </c>
      <c r="B2191" t="inlineStr">
        <is>
          <t>SORA PRESS</t>
        </is>
      </c>
      <c r="C2191" t="n">
        <v>70</v>
      </c>
      <c r="D2191" t="n">
        <v>100</v>
      </c>
      <c r="E2191" t="n">
        <v>80</v>
      </c>
      <c r="F2191" t="n">
        <v>0</v>
      </c>
      <c r="G2191">
        <f>SUMIF(PRISPELO!B:B, A2191, PRISPELO!G:G)</f>
        <v/>
      </c>
      <c r="H2191">
        <f>SUMIF(ODPIS!B:B, A2191, ODPIS!G:G)</f>
        <v/>
      </c>
      <c r="I2191" s="2">
        <f>F2191 + G2191 - H2191</f>
        <v/>
      </c>
    </row>
    <row r="2192">
      <c r="A2192" t="n">
        <v>4251</v>
      </c>
      <c r="B2192" t="inlineStr">
        <is>
          <t>CRUSH</t>
        </is>
      </c>
      <c r="C2192" t="n">
        <v>72</v>
      </c>
      <c r="D2192" t="n">
        <v>102</v>
      </c>
      <c r="E2192" t="n">
        <v>350</v>
      </c>
      <c r="F2192" t="n">
        <v>0</v>
      </c>
      <c r="G2192">
        <f>SUMIF(PRISPELO!B:B, A2192, PRISPELO!G:G)</f>
        <v/>
      </c>
      <c r="H2192">
        <f>SUMIF(ODPIS!B:B, A2192, ODPIS!G:G)</f>
        <v/>
      </c>
      <c r="I2192" s="2">
        <f>F2192 + G2192 - H2192</f>
        <v/>
      </c>
    </row>
    <row r="2193">
      <c r="A2193" t="n">
        <v>4252</v>
      </c>
      <c r="B2193" t="inlineStr">
        <is>
          <t>IQ PRINT</t>
        </is>
      </c>
      <c r="C2193" t="n">
        <v>48</v>
      </c>
      <c r="D2193" t="n">
        <v>66</v>
      </c>
      <c r="E2193" t="n">
        <v>140</v>
      </c>
      <c r="F2193" t="n">
        <v>0</v>
      </c>
      <c r="G2193">
        <f>SUMIF(PRISPELO!B:B, A2193, PRISPELO!G:G)</f>
        <v/>
      </c>
      <c r="H2193">
        <f>SUMIF(ODPIS!B:B, A2193, ODPIS!G:G)</f>
        <v/>
      </c>
      <c r="I2193" s="2">
        <f>F2193 + G2193 - H2193</f>
        <v/>
      </c>
    </row>
    <row r="2194">
      <c r="A2194" t="n">
        <v>4253</v>
      </c>
      <c r="B2194" t="inlineStr">
        <is>
          <t>OFFSET AMBER</t>
        </is>
      </c>
      <c r="C2194" t="n">
        <v>100</v>
      </c>
      <c r="D2194" t="n">
        <v>70</v>
      </c>
      <c r="E2194" t="n">
        <v>170</v>
      </c>
      <c r="F2194" t="n">
        <v>0</v>
      </c>
      <c r="G2194">
        <f>SUMIF(PRISPELO!B:B, A2194, PRISPELO!G:G)</f>
        <v/>
      </c>
      <c r="H2194">
        <f>SUMIF(ODPIS!B:B, A2194, ODPIS!G:G)</f>
        <v/>
      </c>
      <c r="I2194" s="2">
        <f>F2194 + G2194 - H2194</f>
        <v/>
      </c>
    </row>
    <row r="2195">
      <c r="A2195" t="n">
        <v>4254</v>
      </c>
      <c r="B2195" t="inlineStr">
        <is>
          <t>PERIGORD MATT 1.1</t>
        </is>
      </c>
      <c r="C2195" t="n">
        <v>72</v>
      </c>
      <c r="D2195" t="n">
        <v>102</v>
      </c>
      <c r="E2195" t="n">
        <v>135</v>
      </c>
      <c r="F2195" t="n">
        <v>0</v>
      </c>
      <c r="G2195">
        <f>SUMIF(PRISPELO!B:B, A2195, PRISPELO!G:G)</f>
        <v/>
      </c>
      <c r="H2195">
        <f>SUMIF(ODPIS!B:B, A2195, ODPIS!G:G)</f>
        <v/>
      </c>
      <c r="I2195" s="2">
        <f>F2195 + G2195 - H2195</f>
        <v/>
      </c>
    </row>
    <row r="2196">
      <c r="A2196" t="n">
        <v>4255</v>
      </c>
      <c r="B2196" t="inlineStr">
        <is>
          <t>OFFSET LIRIS</t>
        </is>
      </c>
      <c r="C2196" t="n">
        <v>70</v>
      </c>
      <c r="D2196" t="n">
        <v>100</v>
      </c>
      <c r="E2196" t="n">
        <v>250</v>
      </c>
      <c r="F2196" t="n">
        <v>0</v>
      </c>
      <c r="G2196">
        <f>SUMIF(PRISPELO!B:B, A2196, PRISPELO!G:G)</f>
        <v/>
      </c>
      <c r="H2196">
        <f>SUMIF(ODPIS!B:B, A2196, ODPIS!G:G)</f>
        <v/>
      </c>
      <c r="I2196" s="2">
        <f>F2196 + G2196 - H2196</f>
        <v/>
      </c>
    </row>
    <row r="2197">
      <c r="A2197" t="n">
        <v>4256</v>
      </c>
      <c r="B2197" t="inlineStr">
        <is>
          <t>TARGET PLUS</t>
        </is>
      </c>
      <c r="C2197" t="n">
        <v>70</v>
      </c>
      <c r="D2197" t="n">
        <v>100</v>
      </c>
      <c r="E2197" t="n">
        <v>160</v>
      </c>
      <c r="F2197" t="n">
        <v>0</v>
      </c>
      <c r="G2197">
        <f>SUMIF(PRISPELO!B:B, A2197, PRISPELO!G:G)</f>
        <v/>
      </c>
      <c r="H2197">
        <f>SUMIF(ODPIS!B:B, A2197, ODPIS!G:G)</f>
        <v/>
      </c>
      <c r="I2197" s="2">
        <f>F2197 + G2197 - H2197</f>
        <v/>
      </c>
    </row>
    <row r="2198">
      <c r="A2198" t="n">
        <v>4257</v>
      </c>
      <c r="B2198" t="inlineStr">
        <is>
          <t>HIGH POINT</t>
        </is>
      </c>
      <c r="C2198" t="n">
        <v>102</v>
      </c>
      <c r="D2198" t="n">
        <v>72</v>
      </c>
      <c r="E2198" t="n">
        <v>350</v>
      </c>
      <c r="F2198" t="n">
        <v>0</v>
      </c>
      <c r="G2198">
        <f>SUMIF(PRISPELO!B:B, A2198, PRISPELO!G:G)</f>
        <v/>
      </c>
      <c r="H2198">
        <f>SUMIF(ODPIS!B:B, A2198, ODPIS!G:G)</f>
        <v/>
      </c>
      <c r="I2198" s="2">
        <f>F2198 + G2198 - H2198</f>
        <v/>
      </c>
    </row>
    <row r="2199">
      <c r="A2199" t="n">
        <v>4258</v>
      </c>
      <c r="B2199" t="inlineStr">
        <is>
          <t>GARDAPAT 1,.1</t>
        </is>
      </c>
      <c r="C2199" t="n">
        <v>64</v>
      </c>
      <c r="D2199" t="n">
        <v>90</v>
      </c>
      <c r="E2199" t="n">
        <v>170</v>
      </c>
      <c r="F2199" t="n">
        <v>0</v>
      </c>
      <c r="G2199">
        <f>SUMIF(PRISPELO!B:B, A2199, PRISPELO!G:G)</f>
        <v/>
      </c>
      <c r="H2199">
        <f>SUMIF(ODPIS!B:B, A2199, ODPIS!G:G)</f>
        <v/>
      </c>
      <c r="I2199" s="2">
        <f>F2199 + G2199 - H2199</f>
        <v/>
      </c>
    </row>
    <row r="2200">
      <c r="A2200" t="n">
        <v>4259</v>
      </c>
      <c r="B2200" t="inlineStr">
        <is>
          <t>GARDAPAT 1.1</t>
        </is>
      </c>
      <c r="C2200" t="n">
        <v>100</v>
      </c>
      <c r="D2200" t="n">
        <v>70</v>
      </c>
      <c r="E2200" t="n">
        <v>350</v>
      </c>
      <c r="F2200" t="n">
        <v>0</v>
      </c>
      <c r="G2200">
        <f>SUMIF(PRISPELO!B:B, A2200, PRISPELO!G:G)</f>
        <v/>
      </c>
      <c r="H2200">
        <f>SUMIF(ODPIS!B:B, A2200, ODPIS!G:G)</f>
        <v/>
      </c>
      <c r="I2200" s="2">
        <f>F2200 + G2200 - H2200</f>
        <v/>
      </c>
    </row>
    <row r="2201">
      <c r="A2201" t="n">
        <v>4260</v>
      </c>
      <c r="B2201" t="inlineStr">
        <is>
          <t>SORA PRESS</t>
        </is>
      </c>
      <c r="C2201" t="n">
        <v>70</v>
      </c>
      <c r="D2201" t="n">
        <v>100</v>
      </c>
      <c r="E2201" t="n">
        <v>90</v>
      </c>
      <c r="F2201" t="n">
        <v>0</v>
      </c>
      <c r="G2201">
        <f>SUMIF(PRISPELO!B:B, A2201, PRISPELO!G:G)</f>
        <v/>
      </c>
      <c r="H2201">
        <f>SUMIF(ODPIS!B:B, A2201, ODPIS!G:G)</f>
        <v/>
      </c>
      <c r="I2201" s="2">
        <f>F2201 + G2201 - H2201</f>
        <v/>
      </c>
    </row>
    <row r="2202">
      <c r="A2202" t="n">
        <v>4262</v>
      </c>
      <c r="B2202" t="inlineStr">
        <is>
          <t>PVC FOLIA 0,3 MM</t>
        </is>
      </c>
      <c r="C2202" t="n">
        <v>70</v>
      </c>
      <c r="D2202" t="n">
        <v>100</v>
      </c>
      <c r="E2202" t="n">
        <v>0</v>
      </c>
      <c r="F2202" t="n">
        <v>0</v>
      </c>
      <c r="G2202">
        <f>SUMIF(PRISPELO!B:B, A2202, PRISPELO!G:G)</f>
        <v/>
      </c>
      <c r="H2202">
        <f>SUMIF(ODPIS!B:B, A2202, ODPIS!G:G)</f>
        <v/>
      </c>
      <c r="I2202" s="2">
        <f>F2202 + G2202 - H2202</f>
        <v/>
      </c>
    </row>
    <row r="2203">
      <c r="A2203" t="n">
        <v>4263</v>
      </c>
      <c r="B2203" t="inlineStr">
        <is>
          <t>AMBER OFFSET</t>
        </is>
      </c>
      <c r="C2203" t="n">
        <v>100</v>
      </c>
      <c r="D2203" t="n">
        <v>70</v>
      </c>
      <c r="E2203" t="n">
        <v>120</v>
      </c>
      <c r="F2203" t="n">
        <v>0</v>
      </c>
      <c r="G2203">
        <f>SUMIF(PRISPELO!B:B, A2203, PRISPELO!G:G)</f>
        <v/>
      </c>
      <c r="H2203">
        <f>SUMIF(ODPIS!B:B, A2203, ODPIS!G:G)</f>
        <v/>
      </c>
      <c r="I2203" s="2">
        <f>F2203 + G2203 - H2203</f>
        <v/>
      </c>
    </row>
    <row r="2204">
      <c r="A2204" t="n">
        <v>4264</v>
      </c>
      <c r="B2204" t="inlineStr">
        <is>
          <t>OFFSET LIRIS</t>
        </is>
      </c>
      <c r="C2204" t="n">
        <v>70</v>
      </c>
      <c r="D2204" t="n">
        <v>100</v>
      </c>
      <c r="E2204" t="n">
        <v>140</v>
      </c>
      <c r="F2204" t="n">
        <v>0</v>
      </c>
      <c r="G2204">
        <f>SUMIF(PRISPELO!B:B, A2204, PRISPELO!G:G)</f>
        <v/>
      </c>
      <c r="H2204">
        <f>SUMIF(ODPIS!B:B, A2204, ODPIS!G:G)</f>
        <v/>
      </c>
      <c r="I2204" s="2">
        <f>F2204 + G2204 - H2204</f>
        <v/>
      </c>
    </row>
    <row r="2205">
      <c r="A2205" t="n">
        <v>4265</v>
      </c>
      <c r="B2205" t="inlineStr">
        <is>
          <t>MCM SMART</t>
        </is>
      </c>
      <c r="C2205" t="n">
        <v>102</v>
      </c>
      <c r="D2205" t="n">
        <v>72</v>
      </c>
      <c r="E2205" t="n">
        <v>350</v>
      </c>
      <c r="F2205" t="n">
        <v>0</v>
      </c>
      <c r="G2205">
        <f>SUMIF(PRISPELO!B:B, A2205, PRISPELO!G:G)</f>
        <v/>
      </c>
      <c r="H2205">
        <f>SUMIF(ODPIS!B:B, A2205, ODPIS!G:G)</f>
        <v/>
      </c>
      <c r="I2205" s="2">
        <f>F2205 + G2205 - H2205</f>
        <v/>
      </c>
    </row>
    <row r="2206">
      <c r="A2206" t="n">
        <v>4266</v>
      </c>
      <c r="B2206" t="inlineStr">
        <is>
          <t>PERIGORD MATT 1,1</t>
        </is>
      </c>
      <c r="C2206" t="n">
        <v>92</v>
      </c>
      <c r="D2206" t="n">
        <v>65</v>
      </c>
      <c r="E2206" t="n">
        <v>115</v>
      </c>
      <c r="F2206" t="n">
        <v>0</v>
      </c>
      <c r="G2206">
        <f>SUMIF(PRISPELO!B:B, A2206, PRISPELO!G:G)</f>
        <v/>
      </c>
      <c r="H2206">
        <f>SUMIF(ODPIS!B:B, A2206, ODPIS!G:G)</f>
        <v/>
      </c>
      <c r="I2206" s="2">
        <f>F2206 + G2206 - H2206</f>
        <v/>
      </c>
    </row>
    <row r="2207">
      <c r="A2207" t="n">
        <v>4267</v>
      </c>
      <c r="B2207" t="inlineStr">
        <is>
          <t>REACTO CB</t>
        </is>
      </c>
      <c r="C2207" t="n">
        <v>45</v>
      </c>
      <c r="D2207" t="n">
        <v>64</v>
      </c>
      <c r="E2207" t="n">
        <v>60</v>
      </c>
      <c r="F2207" t="n">
        <v>0</v>
      </c>
      <c r="G2207">
        <f>SUMIF(PRISPELO!B:B, A2207, PRISPELO!G:G)</f>
        <v/>
      </c>
      <c r="H2207">
        <f>SUMIF(ODPIS!B:B, A2207, ODPIS!G:G)</f>
        <v/>
      </c>
      <c r="I2207" s="2">
        <f>F2207 + G2207 - H2207</f>
        <v/>
      </c>
    </row>
    <row r="2208">
      <c r="A2208" t="n">
        <v>4268</v>
      </c>
      <c r="B2208" t="inlineStr">
        <is>
          <t>REACTO CF</t>
        </is>
      </c>
      <c r="C2208" t="n">
        <v>45</v>
      </c>
      <c r="D2208" t="n">
        <v>64</v>
      </c>
      <c r="E2208" t="n">
        <v>57</v>
      </c>
      <c r="F2208" t="n">
        <v>0</v>
      </c>
      <c r="G2208">
        <f>SUMIF(PRISPELO!B:B, A2208, PRISPELO!G:G)</f>
        <v/>
      </c>
      <c r="H2208">
        <f>SUMIF(ODPIS!B:B, A2208, ODPIS!G:G)</f>
        <v/>
      </c>
      <c r="I2208" s="2">
        <f>F2208 + G2208 - H2208</f>
        <v/>
      </c>
    </row>
    <row r="2209">
      <c r="A2209" t="n">
        <v>4269</v>
      </c>
      <c r="B2209" t="inlineStr">
        <is>
          <t>MASTER PREPRINT</t>
        </is>
      </c>
      <c r="C2209" t="n">
        <v>45</v>
      </c>
      <c r="D2209" t="n">
        <v>64</v>
      </c>
      <c r="E2209" t="n">
        <v>80</v>
      </c>
      <c r="F2209" t="n">
        <v>0</v>
      </c>
      <c r="G2209">
        <f>SUMIF(PRISPELO!B:B, A2209, PRISPELO!G:G)</f>
        <v/>
      </c>
      <c r="H2209">
        <f>SUMIF(ODPIS!B:B, A2209, ODPIS!G:G)</f>
        <v/>
      </c>
      <c r="I2209" s="2">
        <f>F2209 + G2209 - H2209</f>
        <v/>
      </c>
    </row>
    <row r="2210">
      <c r="A2210" t="n">
        <v>4270</v>
      </c>
      <c r="B2210" t="inlineStr">
        <is>
          <t>MCM SMART</t>
        </is>
      </c>
      <c r="C2210" t="n">
        <v>93</v>
      </c>
      <c r="D2210" t="n">
        <v>103.2</v>
      </c>
      <c r="E2210" t="n">
        <v>400</v>
      </c>
      <c r="F2210" t="n">
        <v>0</v>
      </c>
      <c r="G2210">
        <f>SUMIF(PRISPELO!B:B, A2210, PRISPELO!G:G)</f>
        <v/>
      </c>
      <c r="H2210">
        <f>SUMIF(ODPIS!B:B, A2210, ODPIS!G:G)</f>
        <v/>
      </c>
      <c r="I2210" s="2">
        <f>F2210 + G2210 - H2210</f>
        <v/>
      </c>
    </row>
    <row r="2211">
      <c r="A2211" t="n">
        <v>4271</v>
      </c>
      <c r="B2211" t="inlineStr">
        <is>
          <t>nivis next matt</t>
        </is>
      </c>
      <c r="C2211" t="n">
        <v>44.8</v>
      </c>
      <c r="D2211" t="n">
        <v>63.8</v>
      </c>
      <c r="E2211" t="n">
        <v>130</v>
      </c>
      <c r="F2211" t="n">
        <v>0</v>
      </c>
      <c r="G2211">
        <f>SUMIF(PRISPELO!B:B, A2211, PRISPELO!G:G)</f>
        <v/>
      </c>
      <c r="H2211">
        <f>SUMIF(ODPIS!B:B, A2211, ODPIS!G:G)</f>
        <v/>
      </c>
      <c r="I2211" s="2">
        <f>F2211 + G2211 - H2211</f>
        <v/>
      </c>
    </row>
    <row r="2212">
      <c r="A2212" t="n">
        <v>4272</v>
      </c>
      <c r="B2212" t="inlineStr">
        <is>
          <t>MASTER PREPRINT</t>
        </is>
      </c>
      <c r="C2212" t="n">
        <v>45</v>
      </c>
      <c r="D2212" t="n">
        <v>64</v>
      </c>
      <c r="E2212" t="n">
        <v>90</v>
      </c>
      <c r="F2212" t="n">
        <v>0</v>
      </c>
      <c r="G2212">
        <f>SUMIF(PRISPELO!B:B, A2212, PRISPELO!G:G)</f>
        <v/>
      </c>
      <c r="H2212">
        <f>SUMIF(ODPIS!B:B, A2212, ODPIS!G:G)</f>
        <v/>
      </c>
      <c r="I2212" s="2">
        <f>F2212 + G2212 - H2212</f>
        <v/>
      </c>
    </row>
    <row r="2213">
      <c r="A2213" t="n">
        <v>4273</v>
      </c>
      <c r="B2213" t="inlineStr">
        <is>
          <t>REACTO CFB</t>
        </is>
      </c>
      <c r="C2213" t="n">
        <v>45</v>
      </c>
      <c r="D2213" t="n">
        <v>64</v>
      </c>
      <c r="E2213" t="n">
        <v>60</v>
      </c>
      <c r="F2213" t="n">
        <v>0</v>
      </c>
      <c r="G2213">
        <f>SUMIF(PRISPELO!B:B, A2213, PRISPELO!G:G)</f>
        <v/>
      </c>
      <c r="H2213">
        <f>SUMIF(ODPIS!B:B, A2213, ODPIS!G:G)</f>
        <v/>
      </c>
      <c r="I2213" s="2">
        <f>F2213 + G2213 - H2213</f>
        <v/>
      </c>
    </row>
    <row r="2214">
      <c r="A2214" t="n">
        <v>4274</v>
      </c>
      <c r="B2214" t="inlineStr">
        <is>
          <t>IMPACT ICT</t>
        </is>
      </c>
      <c r="C2214" t="n">
        <v>100</v>
      </c>
      <c r="D2214" t="n">
        <v>70</v>
      </c>
      <c r="E2214" t="n">
        <v>250</v>
      </c>
      <c r="F2214" t="n">
        <v>0</v>
      </c>
      <c r="G2214">
        <f>SUMIF(PRISPELO!B:B, A2214, PRISPELO!G:G)</f>
        <v/>
      </c>
      <c r="H2214">
        <f>SUMIF(ODPIS!B:B, A2214, ODPIS!G:G)</f>
        <v/>
      </c>
      <c r="I2214" s="2">
        <f>F2214 + G2214 - H2214</f>
        <v/>
      </c>
    </row>
    <row r="2215">
      <c r="A2215" t="n">
        <v>4275</v>
      </c>
      <c r="B2215" t="inlineStr">
        <is>
          <t>GLAMA BASIC</t>
        </is>
      </c>
      <c r="C2215" t="n">
        <v>72</v>
      </c>
      <c r="D2215" t="n">
        <v>102</v>
      </c>
      <c r="E2215" t="n">
        <v>210</v>
      </c>
      <c r="F2215" t="n">
        <v>0</v>
      </c>
      <c r="G2215">
        <f>SUMIF(PRISPELO!B:B, A2215, PRISPELO!G:G)</f>
        <v/>
      </c>
      <c r="H2215">
        <f>SUMIF(ODPIS!B:B, A2215, ODPIS!G:G)</f>
        <v/>
      </c>
      <c r="I2215" s="2">
        <f>F2215 + G2215 - H2215</f>
        <v/>
      </c>
    </row>
    <row r="2216">
      <c r="A2216" t="n">
        <v>4276</v>
      </c>
      <c r="B2216" t="inlineStr">
        <is>
          <t>IQ COLOR MODRA</t>
        </is>
      </c>
      <c r="C2216" t="n">
        <v>70</v>
      </c>
      <c r="D2216" t="n">
        <v>100</v>
      </c>
      <c r="E2216" t="n">
        <v>160</v>
      </c>
      <c r="F2216" t="n">
        <v>0</v>
      </c>
      <c r="G2216">
        <f>SUMIF(PRISPELO!B:B, A2216, PRISPELO!G:G)</f>
        <v/>
      </c>
      <c r="H2216">
        <f>SUMIF(ODPIS!B:B, A2216, ODPIS!G:G)</f>
        <v/>
      </c>
      <c r="I2216" s="2">
        <f>F2216 + G2216 - H2216</f>
        <v/>
      </c>
    </row>
    <row r="2217">
      <c r="A2217" t="n">
        <v>4277</v>
      </c>
      <c r="B2217" t="inlineStr">
        <is>
          <t>IQ COLOR RDEČA</t>
        </is>
      </c>
      <c r="C2217" t="n">
        <v>70</v>
      </c>
      <c r="D2217" t="n">
        <v>100</v>
      </c>
      <c r="E2217" t="n">
        <v>160</v>
      </c>
      <c r="F2217" t="n">
        <v>0</v>
      </c>
      <c r="G2217">
        <f>SUMIF(PRISPELO!B:B, A2217, PRISPELO!G:G)</f>
        <v/>
      </c>
      <c r="H2217">
        <f>SUMIF(ODPIS!B:B, A2217, ODPIS!G:G)</f>
        <v/>
      </c>
      <c r="I2217" s="2">
        <f>F2217 + G2217 - H2217</f>
        <v/>
      </c>
    </row>
    <row r="2218">
      <c r="A2218" t="n">
        <v>4278</v>
      </c>
      <c r="B2218" t="inlineStr">
        <is>
          <t>IQ COLOR RUMENA</t>
        </is>
      </c>
      <c r="C2218" t="n">
        <v>70</v>
      </c>
      <c r="D2218" t="n">
        <v>100</v>
      </c>
      <c r="E2218" t="n">
        <v>160</v>
      </c>
      <c r="F2218" t="n">
        <v>0</v>
      </c>
      <c r="G2218">
        <f>SUMIF(PRISPELO!B:B, A2218, PRISPELO!G:G)</f>
        <v/>
      </c>
      <c r="H2218">
        <f>SUMIF(ODPIS!B:B, A2218, ODPIS!G:G)</f>
        <v/>
      </c>
      <c r="I2218" s="2">
        <f>F2218 + G2218 - H2218</f>
        <v/>
      </c>
    </row>
    <row r="2219">
      <c r="A2219" t="n">
        <v>4279</v>
      </c>
      <c r="B2219" t="inlineStr">
        <is>
          <t>ARTELIBRIS BLU</t>
        </is>
      </c>
      <c r="C2219" t="n">
        <v>72</v>
      </c>
      <c r="D2219" t="n">
        <v>102</v>
      </c>
      <c r="E2219" t="n">
        <v>120</v>
      </c>
      <c r="F2219" t="n">
        <v>0</v>
      </c>
      <c r="G2219">
        <f>SUMIF(PRISPELO!B:B, A2219, PRISPELO!G:G)</f>
        <v/>
      </c>
      <c r="H2219">
        <f>SUMIF(ODPIS!B:B, A2219, ODPIS!G:G)</f>
        <v/>
      </c>
      <c r="I2219" s="2">
        <f>F2219 + G2219 - H2219</f>
        <v/>
      </c>
    </row>
    <row r="2220">
      <c r="A2220" t="n">
        <v>4280</v>
      </c>
      <c r="B2220" t="inlineStr">
        <is>
          <t>OFFSET LIRIS</t>
        </is>
      </c>
      <c r="C2220" t="n">
        <v>90</v>
      </c>
      <c r="D2220" t="n">
        <v>64</v>
      </c>
      <c r="E2220" t="n">
        <v>140</v>
      </c>
      <c r="F2220" t="n">
        <v>0</v>
      </c>
      <c r="G2220">
        <f>SUMIF(PRISPELO!B:B, A2220, PRISPELO!G:G)</f>
        <v/>
      </c>
      <c r="H2220">
        <f>SUMIF(ODPIS!B:B, A2220, ODPIS!G:G)</f>
        <v/>
      </c>
      <c r="I2220" s="2">
        <f>F2220 + G2220 - H2220</f>
        <v/>
      </c>
    </row>
    <row r="2221">
      <c r="A2221" t="n">
        <v>4281</v>
      </c>
      <c r="B2221" t="inlineStr">
        <is>
          <t>KOEHLER ECO BLACK LAVA</t>
        </is>
      </c>
      <c r="C2221" t="n">
        <v>72</v>
      </c>
      <c r="D2221" t="n">
        <v>102</v>
      </c>
      <c r="E2221" t="n">
        <v>720</v>
      </c>
      <c r="F2221" t="n">
        <v>0</v>
      </c>
      <c r="G2221">
        <f>SUMIF(PRISPELO!B:B, A2221, PRISPELO!G:G)</f>
        <v/>
      </c>
      <c r="H2221">
        <f>SUMIF(ODPIS!B:B, A2221, ODPIS!G:G)</f>
        <v/>
      </c>
      <c r="I2221" s="2">
        <f>F2221 + G2221 - H2221</f>
        <v/>
      </c>
    </row>
    <row r="2222">
      <c r="A2222" t="n">
        <v>4282</v>
      </c>
      <c r="B2222" t="inlineStr">
        <is>
          <t>IQ PREMIUM PREPRINT</t>
        </is>
      </c>
      <c r="C2222" t="n">
        <v>72</v>
      </c>
      <c r="D2222" t="n">
        <v>102</v>
      </c>
      <c r="E2222" t="n">
        <v>350</v>
      </c>
      <c r="F2222" t="n">
        <v>0</v>
      </c>
      <c r="G2222">
        <f>SUMIF(PRISPELO!B:B, A2222, PRISPELO!G:G)</f>
        <v/>
      </c>
      <c r="H2222">
        <f>SUMIF(ODPIS!B:B, A2222, ODPIS!G:G)</f>
        <v/>
      </c>
      <c r="I2222" s="2">
        <f>F2222 + G2222 - H2222</f>
        <v/>
      </c>
    </row>
    <row r="2223">
      <c r="A2223" t="n">
        <v>4283</v>
      </c>
      <c r="B2223" t="inlineStr">
        <is>
          <t>OFFSET AMBER</t>
        </is>
      </c>
      <c r="C2223" t="n">
        <v>100</v>
      </c>
      <c r="D2223" t="n">
        <v>70</v>
      </c>
      <c r="E2223" t="n">
        <v>120</v>
      </c>
      <c r="F2223" t="n">
        <v>0</v>
      </c>
      <c r="G2223">
        <f>SUMIF(PRISPELO!B:B, A2223, PRISPELO!G:G)</f>
        <v/>
      </c>
      <c r="H2223">
        <f>SUMIF(ODPIS!B:B, A2223, ODPIS!G:G)</f>
        <v/>
      </c>
      <c r="I2223" s="2">
        <f>F2223 + G2223 - H2223</f>
        <v/>
      </c>
    </row>
    <row r="2224">
      <c r="A2224" t="n">
        <v>4284</v>
      </c>
      <c r="B2224" t="inlineStr">
        <is>
          <t>PERGRAPHICA STORMY GRAY</t>
        </is>
      </c>
      <c r="C2224" t="n">
        <v>70</v>
      </c>
      <c r="D2224" t="n">
        <v>100</v>
      </c>
      <c r="E2224" t="n">
        <v>330</v>
      </c>
      <c r="F2224" t="n">
        <v>0</v>
      </c>
      <c r="G2224">
        <f>SUMIF(PRISPELO!B:B, A2224, PRISPELO!G:G)</f>
        <v/>
      </c>
      <c r="H2224">
        <f>SUMIF(ODPIS!B:B, A2224, ODPIS!G:G)</f>
        <v/>
      </c>
      <c r="I2224" s="2">
        <f>F2224 + G2224 - H2224</f>
        <v/>
      </c>
    </row>
    <row r="2225">
      <c r="A2225" t="n">
        <v>4285</v>
      </c>
      <c r="B2225" t="inlineStr">
        <is>
          <t>LIGHTSET BLU-308</t>
        </is>
      </c>
      <c r="C2225" t="n">
        <v>70</v>
      </c>
      <c r="D2225" t="n">
        <v>100</v>
      </c>
      <c r="E2225" t="n">
        <v>80</v>
      </c>
      <c r="F2225" t="n">
        <v>0</v>
      </c>
      <c r="G2225">
        <f>SUMIF(PRISPELO!B:B, A2225, PRISPELO!G:G)</f>
        <v/>
      </c>
      <c r="H2225">
        <f>SUMIF(ODPIS!B:B, A2225, ODPIS!G:G)</f>
        <v/>
      </c>
      <c r="I2225" s="2">
        <f>F2225 + G2225 - H2225</f>
        <v/>
      </c>
    </row>
    <row r="2226">
      <c r="A2226" t="n">
        <v>4286</v>
      </c>
      <c r="B2226" t="inlineStr">
        <is>
          <t>SIRIO ULTRA BLACK</t>
        </is>
      </c>
      <c r="C2226" t="n">
        <v>72</v>
      </c>
      <c r="D2226" t="n">
        <v>102</v>
      </c>
      <c r="E2226" t="n">
        <v>370</v>
      </c>
      <c r="F2226" t="n">
        <v>0</v>
      </c>
      <c r="G2226">
        <f>SUMIF(PRISPELO!B:B, A2226, PRISPELO!G:G)</f>
        <v/>
      </c>
      <c r="H2226">
        <f>SUMIF(ODPIS!B:B, A2226, ODPIS!G:G)</f>
        <v/>
      </c>
      <c r="I2226" s="2">
        <f>F2226 + G2226 - H2226</f>
        <v/>
      </c>
    </row>
    <row r="2227">
      <c r="A2227" t="n">
        <v>4287</v>
      </c>
      <c r="B2227" t="inlineStr">
        <is>
          <t>IQ COLOR MEDIUM BLUE</t>
        </is>
      </c>
      <c r="C2227" t="n">
        <v>92</v>
      </c>
      <c r="D2227" t="n">
        <v>65</v>
      </c>
      <c r="E2227" t="n">
        <v>80</v>
      </c>
      <c r="F2227" t="n">
        <v>0</v>
      </c>
      <c r="G2227">
        <f>SUMIF(PRISPELO!B:B, A2227, PRISPELO!G:G)</f>
        <v/>
      </c>
      <c r="H2227">
        <f>SUMIF(ODPIS!B:B, A2227, ODPIS!G:G)</f>
        <v/>
      </c>
      <c r="I2227" s="2">
        <f>F2227 + G2227 - H2227</f>
        <v/>
      </c>
    </row>
    <row r="2228">
      <c r="A2228" t="n">
        <v>4288</v>
      </c>
      <c r="B2228" t="inlineStr">
        <is>
          <t>OFFSET PREPRINT</t>
        </is>
      </c>
      <c r="C2228" t="n">
        <v>45</v>
      </c>
      <c r="D2228" t="n">
        <v>64</v>
      </c>
      <c r="E2228" t="n">
        <v>90</v>
      </c>
      <c r="F2228" t="n">
        <v>0</v>
      </c>
      <c r="G2228">
        <f>SUMIF(PRISPELO!B:B, A2228, PRISPELO!G:G)</f>
        <v/>
      </c>
      <c r="H2228">
        <f>SUMIF(ODPIS!B:B, A2228, ODPIS!G:G)</f>
        <v/>
      </c>
      <c r="I2228" s="2">
        <f>F2228 + G2228 - H2228</f>
        <v/>
      </c>
    </row>
    <row r="2229">
      <c r="A2229" t="n">
        <v>4289</v>
      </c>
      <c r="B2229" t="inlineStr">
        <is>
          <t>MCM SMART</t>
        </is>
      </c>
      <c r="C2229" t="n">
        <v>72</v>
      </c>
      <c r="D2229" t="n">
        <v>102</v>
      </c>
      <c r="E2229" t="n">
        <v>350</v>
      </c>
      <c r="F2229" t="n">
        <v>0</v>
      </c>
      <c r="G2229">
        <f>SUMIF(PRISPELO!B:B, A2229, PRISPELO!G:G)</f>
        <v/>
      </c>
      <c r="H2229">
        <f>SUMIF(ODPIS!B:B, A2229, ODPIS!G:G)</f>
        <v/>
      </c>
      <c r="I2229" s="2">
        <f>F2229 + G2229 - H2229</f>
        <v/>
      </c>
    </row>
    <row r="2230">
      <c r="A2230" t="n">
        <v>4290</v>
      </c>
      <c r="B2230" t="inlineStr">
        <is>
          <t>MCM SMART</t>
        </is>
      </c>
      <c r="C2230" t="n">
        <v>100</v>
      </c>
      <c r="D2230" t="n">
        <v>72</v>
      </c>
      <c r="E2230" t="n">
        <v>350</v>
      </c>
      <c r="F2230" t="n">
        <v>0</v>
      </c>
      <c r="G2230">
        <f>SUMIF(PRISPELO!B:B, A2230, PRISPELO!G:G)</f>
        <v/>
      </c>
      <c r="H2230">
        <f>SUMIF(ODPIS!B:B, A2230, ODPIS!G:G)</f>
        <v/>
      </c>
      <c r="I2230" s="2">
        <f>F2230 + G2230 - H2230</f>
        <v/>
      </c>
    </row>
    <row r="2231">
      <c r="A2231" t="n">
        <v>4291</v>
      </c>
      <c r="B2231" t="inlineStr">
        <is>
          <t>NIVIS NEXT GLOSS</t>
        </is>
      </c>
      <c r="C2231" t="n">
        <v>64</v>
      </c>
      <c r="D2231" t="n">
        <v>90</v>
      </c>
      <c r="E2231" t="n">
        <v>200</v>
      </c>
      <c r="F2231" t="n">
        <v>0</v>
      </c>
      <c r="G2231">
        <f>SUMIF(PRISPELO!B:B, A2231, PRISPELO!G:G)</f>
        <v/>
      </c>
      <c r="H2231">
        <f>SUMIF(ODPIS!B:B, A2231, ODPIS!G:G)</f>
        <v/>
      </c>
      <c r="I2231" s="2">
        <f>F2231 + G2231 - H2231</f>
        <v/>
      </c>
    </row>
    <row r="2232">
      <c r="A2232" t="n">
        <v>4292</v>
      </c>
      <c r="B2232" t="inlineStr">
        <is>
          <t>IQ PRINT</t>
        </is>
      </c>
      <c r="C2232" t="n">
        <v>100</v>
      </c>
      <c r="D2232" t="n">
        <v>70</v>
      </c>
      <c r="E2232" t="n">
        <v>300</v>
      </c>
      <c r="F2232" t="n">
        <v>0</v>
      </c>
      <c r="G2232">
        <f>SUMIF(PRISPELO!B:B, A2232, PRISPELO!G:G)</f>
        <v/>
      </c>
      <c r="H2232">
        <f>SUMIF(ODPIS!B:B, A2232, ODPIS!G:G)</f>
        <v/>
      </c>
      <c r="I2232" s="2">
        <f>F2232 + G2232 - H2232</f>
        <v/>
      </c>
    </row>
    <row r="2233">
      <c r="A2233" t="n">
        <v>4293</v>
      </c>
      <c r="B2233" t="inlineStr">
        <is>
          <t>CRUSH HAZELNUT-RJAVA</t>
        </is>
      </c>
      <c r="C2233" t="n">
        <v>72</v>
      </c>
      <c r="D2233" t="n">
        <v>102</v>
      </c>
      <c r="E2233" t="n">
        <v>250</v>
      </c>
      <c r="F2233" t="n">
        <v>0</v>
      </c>
      <c r="G2233">
        <f>SUMIF(PRISPELO!B:B, A2233, PRISPELO!G:G)</f>
        <v/>
      </c>
      <c r="H2233">
        <f>SUMIF(ODPIS!B:B, A2233, ODPIS!G:G)</f>
        <v/>
      </c>
      <c r="I2233" s="2">
        <f>F2233 + G2233 - H2233</f>
        <v/>
      </c>
    </row>
    <row r="2234">
      <c r="A2234" t="n">
        <v>4294</v>
      </c>
      <c r="B2234" t="inlineStr">
        <is>
          <t>AMBER OFFSET</t>
        </is>
      </c>
      <c r="C2234" t="n">
        <v>72</v>
      </c>
      <c r="D2234" t="n">
        <v>102</v>
      </c>
      <c r="E2234" t="n">
        <v>120</v>
      </c>
      <c r="F2234" t="n">
        <v>0</v>
      </c>
      <c r="G2234">
        <f>SUMIF(PRISPELO!B:B, A2234, PRISPELO!G:G)</f>
        <v/>
      </c>
      <c r="H2234">
        <f>SUMIF(ODPIS!B:B, A2234, ODPIS!G:G)</f>
        <v/>
      </c>
      <c r="I2234" s="2">
        <f>F2234 + G2234 - H2234</f>
        <v/>
      </c>
    </row>
    <row r="2235">
      <c r="A2235" t="n">
        <v>4295</v>
      </c>
      <c r="B2235" t="inlineStr">
        <is>
          <t>MCM SMART</t>
        </is>
      </c>
      <c r="C2235" t="n">
        <v>102</v>
      </c>
      <c r="D2235" t="n">
        <v>72</v>
      </c>
      <c r="E2235" t="n">
        <v>400</v>
      </c>
      <c r="F2235" t="n">
        <v>0</v>
      </c>
      <c r="G2235">
        <f>SUMIF(PRISPELO!B:B, A2235, PRISPELO!G:G)</f>
        <v/>
      </c>
      <c r="H2235">
        <f>SUMIF(ODPIS!B:B, A2235, ODPIS!G:G)</f>
        <v/>
      </c>
      <c r="I2235" s="2">
        <f>F2235 + G2235 - H2235</f>
        <v/>
      </c>
    </row>
    <row r="2236">
      <c r="A2236" t="n">
        <v>4296</v>
      </c>
      <c r="B2236" t="inlineStr">
        <is>
          <t>OFFSET LIRIS</t>
        </is>
      </c>
      <c r="C2236" t="n">
        <v>70</v>
      </c>
      <c r="D2236" t="n">
        <v>100</v>
      </c>
      <c r="E2236" t="n">
        <v>170</v>
      </c>
      <c r="F2236" t="n">
        <v>0</v>
      </c>
      <c r="G2236">
        <f>SUMIF(PRISPELO!B:B, A2236, PRISPELO!G:G)</f>
        <v/>
      </c>
      <c r="H2236">
        <f>SUMIF(ODPIS!B:B, A2236, ODPIS!G:G)</f>
        <v/>
      </c>
      <c r="I2236" s="2">
        <f>F2236 + G2236 - H2236</f>
        <v/>
      </c>
    </row>
    <row r="2237">
      <c r="A2237" t="n">
        <v>4297</v>
      </c>
      <c r="B2237" t="inlineStr">
        <is>
          <t>NIVIS SATIN</t>
        </is>
      </c>
      <c r="C2237" t="n">
        <v>64</v>
      </c>
      <c r="D2237" t="n">
        <v>90</v>
      </c>
      <c r="E2237" t="n">
        <v>130</v>
      </c>
      <c r="F2237" t="n">
        <v>0</v>
      </c>
      <c r="G2237">
        <f>SUMIF(PRISPELO!B:B, A2237, PRISPELO!G:G)</f>
        <v/>
      </c>
      <c r="H2237">
        <f>SUMIF(ODPIS!B:B, A2237, ODPIS!G:G)</f>
        <v/>
      </c>
      <c r="I2237" s="2">
        <f>F2237 + G2237 - H2237</f>
        <v/>
      </c>
    </row>
    <row r="2238">
      <c r="A2238" t="n">
        <v>4298</v>
      </c>
      <c r="B2238" t="inlineStr">
        <is>
          <t>PERIGORD</t>
        </is>
      </c>
      <c r="C2238" t="n">
        <v>90</v>
      </c>
      <c r="D2238" t="n">
        <v>64</v>
      </c>
      <c r="E2238" t="n">
        <v>250</v>
      </c>
      <c r="F2238" t="n">
        <v>0</v>
      </c>
      <c r="G2238">
        <f>SUMIF(PRISPELO!B:B, A2238, PRISPELO!G:G)</f>
        <v/>
      </c>
      <c r="H2238">
        <f>SUMIF(ODPIS!B:B, A2238, ODPIS!G:G)</f>
        <v/>
      </c>
      <c r="I2238" s="2">
        <f>F2238 + G2238 - H2238</f>
        <v/>
      </c>
    </row>
    <row r="2239">
      <c r="A2239" t="n">
        <v>4299</v>
      </c>
      <c r="B2239" t="inlineStr">
        <is>
          <t>NIVIS SATIN</t>
        </is>
      </c>
      <c r="C2239" t="n">
        <v>100</v>
      </c>
      <c r="D2239" t="n">
        <v>70</v>
      </c>
      <c r="E2239" t="n">
        <v>150</v>
      </c>
      <c r="F2239" t="n">
        <v>0</v>
      </c>
      <c r="G2239">
        <f>SUMIF(PRISPELO!B:B, A2239, PRISPELO!G:G)</f>
        <v/>
      </c>
      <c r="H2239">
        <f>SUMIF(ODPIS!B:B, A2239, ODPIS!G:G)</f>
        <v/>
      </c>
      <c r="I2239" s="2">
        <f>F2239 + G2239 - H2239</f>
        <v/>
      </c>
    </row>
    <row r="2240">
      <c r="A2240" t="n">
        <v>4300</v>
      </c>
      <c r="B2240" t="inlineStr">
        <is>
          <t>IQ PRINT</t>
        </is>
      </c>
      <c r="C2240" t="n">
        <v>70</v>
      </c>
      <c r="D2240" t="n">
        <v>100</v>
      </c>
      <c r="E2240" t="n">
        <v>80</v>
      </c>
      <c r="F2240" t="n">
        <v>0</v>
      </c>
      <c r="G2240">
        <f>SUMIF(PRISPELO!B:B, A2240, PRISPELO!G:G)</f>
        <v/>
      </c>
      <c r="H2240">
        <f>SUMIF(ODPIS!B:B, A2240, ODPIS!G:G)</f>
        <v/>
      </c>
      <c r="I2240" s="2">
        <f>F2240 + G2240 - H2240</f>
        <v/>
      </c>
    </row>
    <row r="2241">
      <c r="A2241" t="n">
        <v>4301</v>
      </c>
      <c r="B2241" t="inlineStr">
        <is>
          <t>EAGLE PLUS</t>
        </is>
      </c>
      <c r="C2241" t="n">
        <v>69.8</v>
      </c>
      <c r="D2241" t="n">
        <v>49.8</v>
      </c>
      <c r="E2241" t="n">
        <v>300</v>
      </c>
      <c r="F2241" t="n">
        <v>0</v>
      </c>
      <c r="G2241">
        <f>SUMIF(PRISPELO!B:B, A2241, PRISPELO!G:G)</f>
        <v/>
      </c>
      <c r="H2241">
        <f>SUMIF(ODPIS!B:B, A2241, ODPIS!G:G)</f>
        <v/>
      </c>
      <c r="I2241" s="2">
        <f>F2241 + G2241 - H2241</f>
        <v/>
      </c>
    </row>
    <row r="2242">
      <c r="A2242" t="n">
        <v>4303</v>
      </c>
      <c r="B2242" t="inlineStr">
        <is>
          <t>OFFSET LIRIS</t>
        </is>
      </c>
      <c r="C2242" t="n">
        <v>70</v>
      </c>
      <c r="D2242" t="n">
        <v>100</v>
      </c>
      <c r="E2242" t="n">
        <v>70</v>
      </c>
      <c r="F2242" t="n">
        <v>0</v>
      </c>
      <c r="G2242">
        <f>SUMIF(PRISPELO!B:B, A2242, PRISPELO!G:G)</f>
        <v/>
      </c>
      <c r="H2242">
        <f>SUMIF(ODPIS!B:B, A2242, ODPIS!G:G)</f>
        <v/>
      </c>
      <c r="I2242" s="2">
        <f>F2242 + G2242 - H2242</f>
        <v/>
      </c>
    </row>
    <row r="2243">
      <c r="A2243" t="n">
        <v>4304</v>
      </c>
      <c r="B2243" t="inlineStr">
        <is>
          <t>ROYALCOAT PREMIUM SILK</t>
        </is>
      </c>
      <c r="C2243" t="n">
        <v>90</v>
      </c>
      <c r="D2243" t="n">
        <v>64</v>
      </c>
      <c r="E2243" t="n">
        <v>150</v>
      </c>
      <c r="F2243" t="n">
        <v>0</v>
      </c>
      <c r="G2243">
        <f>SUMIF(PRISPELO!B:B, A2243, PRISPELO!G:G)</f>
        <v/>
      </c>
      <c r="H2243">
        <f>SUMIF(ODPIS!B:B, A2243, ODPIS!G:G)</f>
        <v/>
      </c>
      <c r="I2243" s="2">
        <f>F2243 + G2243 - H2243</f>
        <v/>
      </c>
    </row>
    <row r="2244">
      <c r="A2244" t="n">
        <v>4305</v>
      </c>
      <c r="B2244" t="inlineStr">
        <is>
          <t>KRAFTPAK</t>
        </is>
      </c>
      <c r="C2244" t="n">
        <v>72</v>
      </c>
      <c r="D2244" t="n">
        <v>102</v>
      </c>
      <c r="E2244" t="n">
        <v>288</v>
      </c>
      <c r="F2244" t="n">
        <v>0</v>
      </c>
      <c r="G2244">
        <f>SUMIF(PRISPELO!B:B, A2244, PRISPELO!G:G)</f>
        <v/>
      </c>
      <c r="H2244">
        <f>SUMIF(ODPIS!B:B, A2244, ODPIS!G:G)</f>
        <v/>
      </c>
      <c r="I2244" s="2">
        <f>F2244 + G2244 - H2244</f>
        <v/>
      </c>
    </row>
    <row r="2245">
      <c r="A2245" t="n">
        <v>4306</v>
      </c>
      <c r="B2245" t="inlineStr">
        <is>
          <t>OFFSET PREPRINT</t>
        </is>
      </c>
      <c r="C2245" t="n">
        <v>45</v>
      </c>
      <c r="D2245" t="n">
        <v>64</v>
      </c>
      <c r="E2245" t="n">
        <v>80</v>
      </c>
      <c r="F2245" t="n">
        <v>0</v>
      </c>
      <c r="G2245">
        <f>SUMIF(PRISPELO!B:B, A2245, PRISPELO!G:G)</f>
        <v/>
      </c>
      <c r="H2245">
        <f>SUMIF(ODPIS!B:B, A2245, ODPIS!G:G)</f>
        <v/>
      </c>
      <c r="I2245" s="2">
        <f>F2245 + G2245 - H2245</f>
        <v/>
      </c>
    </row>
    <row r="2246">
      <c r="A2246" t="n">
        <v>4308</v>
      </c>
      <c r="B2246" t="inlineStr">
        <is>
          <t>IQ PRINT</t>
        </is>
      </c>
      <c r="C2246" t="n">
        <v>72</v>
      </c>
      <c r="D2246" t="n">
        <v>102</v>
      </c>
      <c r="E2246" t="n">
        <v>140</v>
      </c>
      <c r="F2246" t="n">
        <v>0</v>
      </c>
      <c r="G2246">
        <f>SUMIF(PRISPELO!B:B, A2246, PRISPELO!G:G)</f>
        <v/>
      </c>
      <c r="H2246">
        <f>SUMIF(ODPIS!B:B, A2246, ODPIS!G:G)</f>
        <v/>
      </c>
      <c r="I2246" s="2">
        <f>F2246 + G2246 - H2246</f>
        <v/>
      </c>
    </row>
    <row r="2247">
      <c r="A2247" t="n">
        <v>4309</v>
      </c>
      <c r="B2247" t="inlineStr">
        <is>
          <t>royalcoat premium gloss</t>
        </is>
      </c>
      <c r="C2247" t="n">
        <v>90</v>
      </c>
      <c r="D2247" t="n">
        <v>64</v>
      </c>
      <c r="E2247" t="n">
        <v>250</v>
      </c>
      <c r="F2247" t="n">
        <v>0</v>
      </c>
      <c r="G2247">
        <f>SUMIF(PRISPELO!B:B, A2247, PRISPELO!G:G)</f>
        <v/>
      </c>
      <c r="H2247">
        <f>SUMIF(ODPIS!B:B, A2247, ODPIS!G:G)</f>
        <v/>
      </c>
      <c r="I2247" s="2">
        <f>F2247 + G2247 - H2247</f>
        <v/>
      </c>
    </row>
    <row r="2248">
      <c r="A2248" t="n">
        <v>4310</v>
      </c>
      <c r="B2248" t="inlineStr">
        <is>
          <t>FEDRIGONI CENTO BLACK</t>
        </is>
      </c>
      <c r="C2248" t="n">
        <v>70</v>
      </c>
      <c r="D2248" t="n">
        <v>100</v>
      </c>
      <c r="E2248" t="n">
        <v>260</v>
      </c>
      <c r="F2248" t="n">
        <v>0</v>
      </c>
      <c r="G2248">
        <f>SUMIF(PRISPELO!B:B, A2248, PRISPELO!G:G)</f>
        <v/>
      </c>
      <c r="H2248">
        <f>SUMIF(ODPIS!B:B, A2248, ODPIS!G:G)</f>
        <v/>
      </c>
      <c r="I2248" s="2">
        <f>F2248 + G2248 - H2248</f>
        <v/>
      </c>
    </row>
    <row r="2249">
      <c r="A2249" t="n">
        <v>4311</v>
      </c>
      <c r="B2249" t="inlineStr">
        <is>
          <t>NIVIS NEXT MATT</t>
        </is>
      </c>
      <c r="C2249" t="n">
        <v>70</v>
      </c>
      <c r="D2249" t="n">
        <v>53</v>
      </c>
      <c r="E2249" t="n">
        <v>130</v>
      </c>
      <c r="F2249" t="n">
        <v>0</v>
      </c>
      <c r="G2249">
        <f>SUMIF(PRISPELO!B:B, A2249, PRISPELO!G:G)</f>
        <v/>
      </c>
      <c r="H2249">
        <f>SUMIF(ODPIS!B:B, A2249, ODPIS!G:G)</f>
        <v/>
      </c>
      <c r="I2249" s="2">
        <f>F2249 + G2249 - H2249</f>
        <v/>
      </c>
    </row>
    <row r="2250">
      <c r="A2250" t="n">
        <v>4312</v>
      </c>
      <c r="B2250" t="inlineStr">
        <is>
          <t>RESPECTA SATIN</t>
        </is>
      </c>
      <c r="C2250" t="n">
        <v>72</v>
      </c>
      <c r="D2250" t="n">
        <v>102</v>
      </c>
      <c r="E2250" t="n">
        <v>250</v>
      </c>
      <c r="F2250" t="n">
        <v>0</v>
      </c>
      <c r="G2250">
        <f>SUMIF(PRISPELO!B:B, A2250, PRISPELO!G:G)</f>
        <v/>
      </c>
      <c r="H2250">
        <f>SUMIF(ODPIS!B:B, A2250, ODPIS!G:G)</f>
        <v/>
      </c>
      <c r="I2250" s="2">
        <f>F2250 + G2250 - H2250</f>
        <v/>
      </c>
    </row>
    <row r="2251">
      <c r="A2251" t="n">
        <v>4313</v>
      </c>
      <c r="B2251" t="inlineStr">
        <is>
          <t>FORMULA CB</t>
        </is>
      </c>
      <c r="C2251" t="n">
        <v>45</v>
      </c>
      <c r="D2251" t="n">
        <v>32</v>
      </c>
      <c r="E2251" t="n">
        <v>80</v>
      </c>
      <c r="F2251" t="n">
        <v>0</v>
      </c>
      <c r="G2251">
        <f>SUMIF(PRISPELO!B:B, A2251, PRISPELO!G:G)</f>
        <v/>
      </c>
      <c r="H2251">
        <f>SUMIF(ODPIS!B:B, A2251, ODPIS!G:G)</f>
        <v/>
      </c>
      <c r="I2251" s="2">
        <f>F2251 + G2251 - H2251</f>
        <v/>
      </c>
    </row>
    <row r="2252">
      <c r="A2252" t="n">
        <v>4314</v>
      </c>
      <c r="B2252" t="inlineStr">
        <is>
          <t>FORMULA CF</t>
        </is>
      </c>
      <c r="C2252" t="n">
        <v>45</v>
      </c>
      <c r="D2252" t="n">
        <v>32</v>
      </c>
      <c r="E2252" t="n">
        <v>80</v>
      </c>
      <c r="F2252" t="n">
        <v>0</v>
      </c>
      <c r="G2252">
        <f>SUMIF(PRISPELO!B:B, A2252, PRISPELO!G:G)</f>
        <v/>
      </c>
      <c r="H2252">
        <f>SUMIF(ODPIS!B:B, A2252, ODPIS!G:G)</f>
        <v/>
      </c>
      <c r="I2252" s="2">
        <f>F2252 + G2252 - H2252</f>
        <v/>
      </c>
    </row>
    <row r="2253">
      <c r="A2253" t="n">
        <v>4315</v>
      </c>
      <c r="B2253" t="inlineStr">
        <is>
          <t>SUN TOP</t>
        </is>
      </c>
      <c r="C2253" t="n">
        <v>72</v>
      </c>
      <c r="D2253" t="n">
        <v>102</v>
      </c>
      <c r="E2253" t="n">
        <v>230</v>
      </c>
      <c r="F2253" t="n">
        <v>0</v>
      </c>
      <c r="G2253">
        <f>SUMIF(PRISPELO!B:B, A2253, PRISPELO!G:G)</f>
        <v/>
      </c>
      <c r="H2253">
        <f>SUMIF(ODPIS!B:B, A2253, ODPIS!G:G)</f>
        <v/>
      </c>
      <c r="I2253" s="2">
        <f>F2253 + G2253 - H2253</f>
        <v/>
      </c>
    </row>
    <row r="2254">
      <c r="A2254" t="n">
        <v>4316</v>
      </c>
      <c r="B2254" t="inlineStr">
        <is>
          <t>MAGNO SATIN</t>
        </is>
      </c>
      <c r="C2254" t="n">
        <v>72</v>
      </c>
      <c r="D2254" t="n">
        <v>102</v>
      </c>
      <c r="E2254" t="n">
        <v>300</v>
      </c>
      <c r="F2254" t="n">
        <v>0</v>
      </c>
      <c r="G2254">
        <f>SUMIF(PRISPELO!B:B, A2254, PRISPELO!G:G)</f>
        <v/>
      </c>
      <c r="H2254">
        <f>SUMIF(ODPIS!B:B, A2254, ODPIS!G:G)</f>
        <v/>
      </c>
      <c r="I2254" s="2">
        <f>F2254 + G2254 - H2254</f>
        <v/>
      </c>
    </row>
    <row r="2255">
      <c r="A2255" t="n">
        <v>4317</v>
      </c>
      <c r="B2255" t="inlineStr">
        <is>
          <t>MULTICOLOR MARIBEL</t>
        </is>
      </c>
      <c r="C2255" t="n">
        <v>70</v>
      </c>
      <c r="D2255" t="n">
        <v>100</v>
      </c>
      <c r="E2255" t="n">
        <v>400</v>
      </c>
      <c r="F2255" t="n">
        <v>0</v>
      </c>
      <c r="G2255">
        <f>SUMIF(PRISPELO!B:B, A2255, PRISPELO!G:G)</f>
        <v/>
      </c>
      <c r="H2255">
        <f>SUMIF(ODPIS!B:B, A2255, ODPIS!G:G)</f>
        <v/>
      </c>
      <c r="I2255" s="2" t="n">
        <v>250</v>
      </c>
    </row>
    <row r="2256">
      <c r="A2256" t="n">
        <v>4318</v>
      </c>
      <c r="B2256" t="inlineStr">
        <is>
          <t>AMBER OFFSET</t>
        </is>
      </c>
      <c r="C2256" t="n">
        <v>90</v>
      </c>
      <c r="D2256" t="n">
        <v>64</v>
      </c>
      <c r="E2256" t="n">
        <v>140</v>
      </c>
      <c r="F2256" t="n">
        <v>0</v>
      </c>
      <c r="G2256">
        <f>SUMIF(PRISPELO!B:B, A2256, PRISPELO!G:G)</f>
        <v/>
      </c>
      <c r="H2256">
        <f>SUMIF(ODPIS!B:B, A2256, ODPIS!G:G)</f>
        <v/>
      </c>
      <c r="I2256" s="2">
        <f>F2256 + G2256 - H2256</f>
        <v/>
      </c>
    </row>
    <row r="2257">
      <c r="A2257" t="n">
        <v>4319</v>
      </c>
      <c r="B2257" t="inlineStr">
        <is>
          <t>VELUM  70 EP KR</t>
        </is>
      </c>
      <c r="C2257" t="n">
        <v>100</v>
      </c>
      <c r="D2257" t="n">
        <v>70</v>
      </c>
      <c r="E2257" t="n">
        <v>125</v>
      </c>
      <c r="F2257" t="n">
        <v>0</v>
      </c>
      <c r="G2257">
        <f>SUMIF(PRISPELO!B:B, A2257, PRISPELO!G:G)</f>
        <v/>
      </c>
      <c r="H2257">
        <f>SUMIF(ODPIS!B:B, A2257, ODPIS!G:G)</f>
        <v/>
      </c>
      <c r="I2257" s="2" t="n">
        <v>50</v>
      </c>
    </row>
    <row r="2258">
      <c r="A2258" t="n">
        <v>4320</v>
      </c>
      <c r="B2258" t="inlineStr">
        <is>
          <t>CHROMOSTAR</t>
        </is>
      </c>
      <c r="C2258" t="n">
        <v>102</v>
      </c>
      <c r="D2258" t="n">
        <v>72</v>
      </c>
      <c r="E2258" t="n">
        <v>350</v>
      </c>
      <c r="F2258" t="n">
        <v>0</v>
      </c>
      <c r="G2258">
        <f>SUMIF(PRISPELO!B:B, A2258, PRISPELO!G:G)</f>
        <v/>
      </c>
      <c r="H2258">
        <f>SUMIF(ODPIS!B:B, A2258, ODPIS!G:G)</f>
        <v/>
      </c>
      <c r="I2258" s="2" t="n">
        <v>350</v>
      </c>
    </row>
    <row r="2259">
      <c r="A2259" t="n">
        <v>4321</v>
      </c>
      <c r="B2259" t="inlineStr">
        <is>
          <t>ROYAL CCOAT PREMIUM GLOSS</t>
        </is>
      </c>
      <c r="C2259" t="n">
        <v>70</v>
      </c>
      <c r="D2259" t="n">
        <v>100</v>
      </c>
      <c r="E2259" t="n">
        <v>150</v>
      </c>
      <c r="F2259" t="n">
        <v>0</v>
      </c>
      <c r="G2259">
        <f>SUMIF(PRISPELO!B:B, A2259, PRISPELO!G:G)</f>
        <v/>
      </c>
      <c r="H2259">
        <f>SUMIF(ODPIS!B:B, A2259, ODPIS!G:G)</f>
        <v/>
      </c>
      <c r="I2259" s="2">
        <f>F2259 + G2259 - H2259</f>
        <v/>
      </c>
    </row>
    <row r="2260">
      <c r="A2260" t="n">
        <v>4322</v>
      </c>
      <c r="B2260" t="inlineStr">
        <is>
          <t>EAGLE PLUS</t>
        </is>
      </c>
      <c r="C2260" t="n">
        <v>69.8</v>
      </c>
      <c r="D2260" t="n">
        <v>42.2</v>
      </c>
      <c r="E2260" t="n">
        <v>270</v>
      </c>
      <c r="F2260" t="n">
        <v>0</v>
      </c>
      <c r="G2260">
        <f>SUMIF(PRISPELO!B:B, A2260, PRISPELO!G:G)</f>
        <v/>
      </c>
      <c r="H2260">
        <f>SUMIF(ODPIS!B:B, A2260, ODPIS!G:G)</f>
        <v/>
      </c>
      <c r="I2260" s="2">
        <f>F2260 + G2260 - H2260</f>
        <v/>
      </c>
    </row>
    <row r="2261">
      <c r="A2261" t="n">
        <v>4323</v>
      </c>
      <c r="B2261" t="inlineStr">
        <is>
          <t>BOARDONE HIBULK GC1</t>
        </is>
      </c>
      <c r="C2261" t="n">
        <v>102</v>
      </c>
      <c r="D2261" t="n">
        <v>72</v>
      </c>
      <c r="E2261" t="n">
        <v>270</v>
      </c>
      <c r="F2261" t="n">
        <v>0</v>
      </c>
      <c r="G2261">
        <f>SUMIF(PRISPELO!B:B, A2261, PRISPELO!G:G)</f>
        <v/>
      </c>
      <c r="H2261">
        <f>SUMIF(ODPIS!B:B, A2261, ODPIS!G:G)</f>
        <v/>
      </c>
      <c r="I2261" s="2" t="n">
        <v>390</v>
      </c>
    </row>
    <row r="2262">
      <c r="A2262" t="n">
        <v>4324</v>
      </c>
      <c r="B2262" t="inlineStr">
        <is>
          <t>GARDA BOOK WHITE</t>
        </is>
      </c>
      <c r="C2262" t="n">
        <v>64</v>
      </c>
      <c r="D2262" t="n">
        <v>90</v>
      </c>
      <c r="E2262" t="n">
        <v>80</v>
      </c>
      <c r="F2262" t="n">
        <v>0</v>
      </c>
      <c r="G2262">
        <f>SUMIF(PRISPELO!B:B, A2262, PRISPELO!G:G)</f>
        <v/>
      </c>
      <c r="H2262">
        <f>SUMIF(ODPIS!B:B, A2262, ODPIS!G:G)</f>
        <v/>
      </c>
      <c r="I2262" s="2" t="n">
        <v>4500</v>
      </c>
    </row>
    <row r="2263">
      <c r="A2263" t="n">
        <v>4325</v>
      </c>
      <c r="B2263" t="inlineStr">
        <is>
          <t>MULTICOLOR MARIBEL</t>
        </is>
      </c>
      <c r="C2263" t="n">
        <v>70</v>
      </c>
      <c r="D2263" t="n">
        <v>100</v>
      </c>
      <c r="E2263" t="n">
        <v>250</v>
      </c>
      <c r="F2263" t="n">
        <v>0</v>
      </c>
      <c r="G2263">
        <f>SUMIF(PRISPELO!B:B, A2263, PRISPELO!G:G)</f>
        <v/>
      </c>
      <c r="H2263">
        <f>SUMIF(ODPIS!B:B, A2263, ODPIS!G:G)</f>
        <v/>
      </c>
      <c r="I2263" s="2" t="n">
        <v>3000</v>
      </c>
    </row>
    <row r="2264">
      <c r="A2264" t="n">
        <v>4326</v>
      </c>
      <c r="B2264" t="inlineStr">
        <is>
          <t>COATED</t>
        </is>
      </c>
      <c r="C2264" t="n">
        <v>72</v>
      </c>
      <c r="D2264" t="n">
        <v>102</v>
      </c>
      <c r="E2264" t="n">
        <v>250</v>
      </c>
      <c r="F2264" t="n">
        <v>0</v>
      </c>
      <c r="G2264">
        <f>SUMIF(PRISPELO!B:B, A2264, PRISPELO!G:G)</f>
        <v/>
      </c>
      <c r="H2264">
        <f>SUMIF(ODPIS!B:B, A2264, ODPIS!G:G)</f>
        <v/>
      </c>
      <c r="I2264" s="2">
        <f>F2264 + G2264 - H2264</f>
        <v/>
      </c>
    </row>
    <row r="2265">
      <c r="A2265" t="n">
        <v>3005</v>
      </c>
      <c r="B2265" t="inlineStr">
        <is>
          <t>IQ color zelen MA42</t>
        </is>
      </c>
      <c r="C2265" t="n">
        <v>42</v>
      </c>
      <c r="D2265" t="n">
        <v>29.7</v>
      </c>
      <c r="E2265" t="n">
        <v>80</v>
      </c>
      <c r="F2265" t="n">
        <v>0</v>
      </c>
      <c r="G2265">
        <f>SUMIF(PRISPELO!B:B, A2265, PRISPELO!G:G)</f>
        <v/>
      </c>
      <c r="H2265">
        <f>SUMIF(ODPIS!B:B, A2265, ODPIS!G:G)</f>
        <v/>
      </c>
      <c r="I2265" s="2">
        <f>F2265 + G2265 - H2265</f>
        <v/>
      </c>
    </row>
    <row r="2266">
      <c r="A2266" t="n">
        <v>4327</v>
      </c>
      <c r="B2266" t="inlineStr">
        <is>
          <t>GRAFOPAK</t>
        </is>
      </c>
      <c r="C2266" t="n">
        <v>72</v>
      </c>
      <c r="D2266" t="n">
        <v>102</v>
      </c>
      <c r="E2266" t="n">
        <v>250</v>
      </c>
      <c r="F2266" t="n">
        <v>0</v>
      </c>
      <c r="G2266">
        <f>SUMIF(PRISPELO!B:B, A2266, PRISPELO!G:G)</f>
        <v/>
      </c>
      <c r="H2266">
        <f>SUMIF(ODPIS!B:B, A2266, ODPIS!G:G)</f>
        <v/>
      </c>
      <c r="I2266" s="2">
        <f>F2266 + G2266 - H2266</f>
        <v/>
      </c>
    </row>
    <row r="2267">
      <c r="A2267" t="n">
        <v>4328</v>
      </c>
      <c r="B2267" t="inlineStr">
        <is>
          <t>FORMULA CFB</t>
        </is>
      </c>
      <c r="C2267" t="n">
        <v>45</v>
      </c>
      <c r="D2267" t="n">
        <v>64</v>
      </c>
      <c r="E2267" t="n">
        <v>60</v>
      </c>
      <c r="F2267" t="n">
        <v>0</v>
      </c>
      <c r="G2267">
        <f>SUMIF(PRISPELO!B:B, A2267, PRISPELO!G:G)</f>
        <v/>
      </c>
      <c r="H2267">
        <f>SUMIF(ODPIS!B:B, A2267, ODPIS!G:G)</f>
        <v/>
      </c>
      <c r="I2267" s="2" t="n">
        <v>250</v>
      </c>
    </row>
    <row r="2268">
      <c r="A2268" t="n">
        <v>4329</v>
      </c>
      <c r="B2268" t="inlineStr">
        <is>
          <t>FORMULA CFB GREEN</t>
        </is>
      </c>
      <c r="C2268" t="n">
        <v>45</v>
      </c>
      <c r="D2268" t="n">
        <v>64</v>
      </c>
      <c r="E2268" t="n">
        <v>60</v>
      </c>
      <c r="F2268" t="n">
        <v>0</v>
      </c>
      <c r="G2268">
        <f>SUMIF(PRISPELO!B:B, A2268, PRISPELO!G:G)</f>
        <v/>
      </c>
      <c r="H2268">
        <f>SUMIF(ODPIS!B:B, A2268, ODPIS!G:G)</f>
        <v/>
      </c>
      <c r="I2268" s="2">
        <f>F2268 + G2268 - H2268</f>
        <v/>
      </c>
    </row>
    <row r="2269">
      <c r="A2269" t="n">
        <v>4330</v>
      </c>
      <c r="B2269" t="inlineStr">
        <is>
          <t>BELI NATRON</t>
        </is>
      </c>
      <c r="C2269" t="n">
        <v>70.5</v>
      </c>
      <c r="D2269" t="n">
        <v>101</v>
      </c>
      <c r="E2269" t="n">
        <v>120</v>
      </c>
      <c r="F2269" t="n">
        <v>0</v>
      </c>
      <c r="G2269">
        <f>SUMIF(PRISPELO!B:B, A2269, PRISPELO!G:G)</f>
        <v/>
      </c>
      <c r="H2269">
        <f>SUMIF(ODPIS!B:B, A2269, ODPIS!G:G)</f>
        <v/>
      </c>
      <c r="I2269" s="2" t="n">
        <v>150</v>
      </c>
    </row>
    <row r="2270">
      <c r="A2270" t="n">
        <v>4331</v>
      </c>
      <c r="B2270" t="inlineStr">
        <is>
          <t>ALGRO DESIGN</t>
        </is>
      </c>
      <c r="C2270" t="n">
        <v>72</v>
      </c>
      <c r="D2270" t="n">
        <v>102</v>
      </c>
      <c r="E2270" t="n">
        <v>240</v>
      </c>
      <c r="F2270" t="n">
        <v>0</v>
      </c>
      <c r="G2270">
        <f>SUMIF(PRISPELO!B:B, A2270, PRISPELO!G:G)</f>
        <v/>
      </c>
      <c r="H2270">
        <f>SUMIF(ODPIS!B:B, A2270, ODPIS!G:G)</f>
        <v/>
      </c>
      <c r="I2270" s="2">
        <f>F2270 + G2270 - H2270</f>
        <v/>
      </c>
    </row>
    <row r="2271">
      <c r="A2271" t="n">
        <v>4078</v>
      </c>
      <c r="B2271" t="inlineStr">
        <is>
          <t>TERRAPRINT GLOSS</t>
        </is>
      </c>
      <c r="C2271" t="n">
        <v>0</v>
      </c>
      <c r="D2271" t="n">
        <v>0</v>
      </c>
      <c r="E2271" t="n">
        <v>0</v>
      </c>
      <c r="F2271" t="n">
        <v>0</v>
      </c>
      <c r="G2271">
        <f>SUMIF(PRISPELO!B:B, A2271, PRISPELO!G:G)</f>
        <v/>
      </c>
      <c r="H2271">
        <f>SUMIF(ODPIS!B:B, A2271, ODPIS!G:G)</f>
        <v/>
      </c>
      <c r="I2271" s="2">
        <f>F2271 + G2271 - H2271</f>
        <v/>
      </c>
    </row>
    <row r="2272">
      <c r="A2272" t="n">
        <v>4079</v>
      </c>
      <c r="B2272" t="inlineStr">
        <is>
          <t>TERRAPRINT GLOSS</t>
        </is>
      </c>
      <c r="C2272" t="n">
        <v>0</v>
      </c>
      <c r="D2272" t="n">
        <v>0</v>
      </c>
      <c r="E2272" t="n">
        <v>0</v>
      </c>
      <c r="F2272" t="n">
        <v>0</v>
      </c>
      <c r="G2272">
        <f>SUMIF(PRISPELO!B:B, A2272, PRISPELO!G:G)</f>
        <v/>
      </c>
      <c r="H2272">
        <f>SUMIF(ODPIS!B:B, A2272, ODPIS!G:G)</f>
        <v/>
      </c>
      <c r="I2272" s="2">
        <f>F2272 + G2272 - H2272</f>
        <v/>
      </c>
    </row>
    <row r="2273">
      <c r="A2273" t="n">
        <v>4111</v>
      </c>
      <c r="B2273" t="inlineStr">
        <is>
          <t>MAYSPIES POWERTACK</t>
        </is>
      </c>
      <c r="C2273" t="n">
        <v>0</v>
      </c>
      <c r="D2273" t="n">
        <v>0</v>
      </c>
      <c r="E2273" t="n">
        <v>0</v>
      </c>
      <c r="F2273" t="n">
        <v>0</v>
      </c>
      <c r="G2273">
        <f>SUMIF(PRISPELO!B:B, A2273, PRISPELO!G:G)</f>
        <v/>
      </c>
      <c r="H2273">
        <f>SUMIF(ODPIS!B:B, A2273, ODPIS!G:G)</f>
        <v/>
      </c>
      <c r="I2273" s="2">
        <f>F2273 + G2273 - H2273</f>
        <v/>
      </c>
    </row>
    <row r="2274">
      <c r="A2274" t="n">
        <v>4332</v>
      </c>
      <c r="B2274" t="inlineStr">
        <is>
          <t>GARDA PAT 1.1</t>
        </is>
      </c>
      <c r="C2274" t="n">
        <v>90</v>
      </c>
      <c r="D2274" t="n">
        <v>64</v>
      </c>
      <c r="E2274" t="n">
        <v>170</v>
      </c>
      <c r="F2274" t="n">
        <v>0</v>
      </c>
      <c r="G2274">
        <f>SUMIF(PRISPELO!B:B, A2274, PRISPELO!G:G)</f>
        <v/>
      </c>
      <c r="H2274">
        <f>SUMIF(ODPIS!B:B, A2274, ODPIS!G:G)</f>
        <v/>
      </c>
      <c r="I2274" s="2">
        <f>F2274 + G2274 - H2274</f>
        <v/>
      </c>
    </row>
    <row r="2275">
      <c r="A2275" t="n">
        <v>4333</v>
      </c>
      <c r="B2275" t="inlineStr">
        <is>
          <t>BOARDONE HIBULK GC1</t>
        </is>
      </c>
      <c r="C2275" t="n">
        <v>102</v>
      </c>
      <c r="D2275" t="n">
        <v>72</v>
      </c>
      <c r="E2275" t="n">
        <v>235</v>
      </c>
      <c r="F2275" t="n">
        <v>800</v>
      </c>
      <c r="G2275">
        <f>SUMIF(PRISPELO!B:B, A2275, PRISPELO!G:G)</f>
        <v/>
      </c>
      <c r="H2275">
        <f>SUMIF(ODPIS!B:B, A2275, ODPIS!G:G)</f>
        <v/>
      </c>
      <c r="I2275" s="2">
        <f>F2275 + G2275 - H2275</f>
        <v/>
      </c>
    </row>
    <row r="2276">
      <c r="A2276" t="n">
        <v>4335</v>
      </c>
      <c r="B2276" t="inlineStr">
        <is>
          <t>NIVIS NEXT GLOSS</t>
        </is>
      </c>
      <c r="C2276" t="n">
        <v>72</v>
      </c>
      <c r="D2276" t="n">
        <v>102</v>
      </c>
      <c r="E2276" t="n">
        <v>250</v>
      </c>
      <c r="F2276" t="n">
        <v>180</v>
      </c>
      <c r="G2276">
        <f>SUMIF(PRISPELO!B:B, A2276, PRISPELO!G:G)</f>
        <v/>
      </c>
      <c r="H2276">
        <f>SUMIF(ODPIS!B:B, A2276, ODPIS!G:G)</f>
        <v/>
      </c>
      <c r="I2276" s="2">
        <f>F2276 + G2276 - H2276</f>
        <v/>
      </c>
    </row>
    <row r="2277">
      <c r="A2277" t="n">
        <v>4336</v>
      </c>
      <c r="B2277" t="inlineStr">
        <is>
          <t>Dns preformens plus</t>
        </is>
      </c>
      <c r="C2277" t="n">
        <v>45</v>
      </c>
      <c r="D2277" t="n">
        <v>64</v>
      </c>
      <c r="E2277" t="n">
        <v>90</v>
      </c>
      <c r="F2277" t="n">
        <v>520</v>
      </c>
      <c r="G2277">
        <f>SUMIF(PRISPELO!B:B, A2277, PRISPELO!G:G)</f>
        <v/>
      </c>
      <c r="H2277">
        <f>SUMIF(ODPIS!B:B, A2277, ODPIS!G:G)</f>
        <v/>
      </c>
      <c r="I2277" s="2">
        <f>F2277 + G2277 - H2277</f>
        <v/>
      </c>
    </row>
    <row r="2278">
      <c r="A2278" t="n">
        <v>4337</v>
      </c>
      <c r="B2278" t="inlineStr">
        <is>
          <t>Boardone hibulk GC1</t>
        </is>
      </c>
      <c r="C2278" t="n">
        <v>102</v>
      </c>
      <c r="D2278" t="n">
        <v>72</v>
      </c>
      <c r="E2278" t="n">
        <v>325</v>
      </c>
      <c r="F2278" t="n">
        <v>1000</v>
      </c>
      <c r="G2278">
        <f>SUMIF(PRISPELO!B:B, A2278, PRISPELO!G:G)</f>
        <v/>
      </c>
      <c r="H2278">
        <f>SUMIF(ODPIS!B:B, A2278, ODPIS!G:G)</f>
        <v/>
      </c>
      <c r="I2278" s="2">
        <f>F2278 + G2278 - H2278</f>
        <v/>
      </c>
    </row>
    <row r="2279">
      <c r="A2279" t="n">
        <v>4338</v>
      </c>
      <c r="B2279" t="inlineStr">
        <is>
          <t>Garda matt eleven</t>
        </is>
      </c>
      <c r="C2279" t="n">
        <v>92</v>
      </c>
      <c r="D2279" t="n">
        <v>65</v>
      </c>
      <c r="E2279" t="n">
        <v>170</v>
      </c>
      <c r="G2279">
        <f>SUMIF(PRISPELO!B:B, A2279, PRISPELO!G:G)</f>
        <v/>
      </c>
      <c r="H2279">
        <f>SUMIF(ODPIS!B:B, A2279, ODPIS!G:G)</f>
        <v/>
      </c>
      <c r="I2279" s="2">
        <f>F2279 + G2279 - H2279</f>
        <v/>
      </c>
    </row>
    <row r="2280">
      <c r="A2280" t="n">
        <v>4339</v>
      </c>
      <c r="B2280" t="inlineStr">
        <is>
          <t xml:space="preserve">Condat matt perigord </t>
        </is>
      </c>
      <c r="C2280" t="n">
        <v>100</v>
      </c>
      <c r="D2280" t="n">
        <v>70</v>
      </c>
      <c r="E2280" t="n">
        <v>170</v>
      </c>
      <c r="F2280" t="n">
        <v>300</v>
      </c>
      <c r="G2280">
        <f>SUMIF(PRISPELO!B:B, A2280, PRISPELO!G:G)</f>
        <v/>
      </c>
      <c r="H2280">
        <f>SUMIF(ODPIS!B:B, A2280, ODPIS!G:G)</f>
        <v/>
      </c>
      <c r="I2280" s="2">
        <f>F2280 + G2280 - H2280</f>
        <v/>
      </c>
    </row>
    <row r="2281">
      <c r="A2281" t="n">
        <v>4340</v>
      </c>
      <c r="B2281" t="inlineStr">
        <is>
          <t>VELUM  70 EP KR 125 B2</t>
        </is>
      </c>
      <c r="C2281" t="n">
        <v>50</v>
      </c>
      <c r="D2281" t="n">
        <v>70</v>
      </c>
      <c r="E2281" t="n">
        <v>70</v>
      </c>
      <c r="G2281">
        <f>SUMIF(PRISPELO!B:B, A2281, PRISPELO!G:G)</f>
        <v/>
      </c>
      <c r="H2281">
        <f>SUMIF(ODPIS!B:B, A2281, ODPIS!G:G)</f>
        <v/>
      </c>
      <c r="I2281" s="2">
        <f>F2281 + G2281 - H2281</f>
        <v/>
      </c>
    </row>
    <row r="2282">
      <c r="A2282" t="n">
        <v>4341</v>
      </c>
      <c r="B2282" t="inlineStr">
        <is>
          <t>BOARDONE HIBULK GC1</t>
        </is>
      </c>
      <c r="C2282" t="n">
        <v>72</v>
      </c>
      <c r="D2282" t="n">
        <v>102</v>
      </c>
      <c r="E2282" t="n">
        <v>270</v>
      </c>
      <c r="F2282" t="n">
        <v>2240</v>
      </c>
      <c r="G2282">
        <f>SUMIF(PRISPELO!B:B, A2282, PRISPELO!G:G)</f>
        <v/>
      </c>
      <c r="H2282">
        <f>SUMIF(ODPIS!B:B, A2282, ODPIS!G:G)</f>
        <v/>
      </c>
      <c r="I2282" s="2">
        <f>F2282 + G2282 - H2282</f>
        <v/>
      </c>
    </row>
    <row r="2283">
      <c r="A2283" t="n">
        <v>4343</v>
      </c>
      <c r="B2283" t="inlineStr">
        <is>
          <t>ZENITH</t>
        </is>
      </c>
      <c r="C2283" t="n">
        <v>72</v>
      </c>
      <c r="D2283" t="n">
        <v>102</v>
      </c>
      <c r="E2283" t="n">
        <v>235</v>
      </c>
      <c r="F2283" t="n">
        <v>1980</v>
      </c>
      <c r="G2283">
        <f>SUMIF(PRISPELO!B:B, A2283, PRISPELO!G:G)</f>
        <v/>
      </c>
      <c r="H2283">
        <f>SUMIF(ODPIS!B:B, A2283, ODPIS!G:G)</f>
        <v/>
      </c>
      <c r="I2283" s="2">
        <f>F2283 + G2283 - H2283</f>
        <v/>
      </c>
    </row>
    <row r="2284">
      <c r="A2284" t="n">
        <v>4344</v>
      </c>
      <c r="B2284" t="inlineStr">
        <is>
          <t>GARDA BOOK WHITE</t>
        </is>
      </c>
      <c r="C2284" t="n">
        <v>64</v>
      </c>
      <c r="D2284" t="n">
        <v>88</v>
      </c>
      <c r="E2284" t="n">
        <v>300</v>
      </c>
      <c r="F2284" t="n">
        <v>1800</v>
      </c>
      <c r="G2284">
        <f>SUMIF(PRISPELO!B:B, A2284, PRISPELO!G:G)</f>
        <v/>
      </c>
      <c r="H2284">
        <f>SUMIF(ODPIS!B:B, A2284, ODPIS!G:G)</f>
        <v/>
      </c>
      <c r="I2284" s="2">
        <f>F2284 + G2284 - H2284</f>
        <v/>
      </c>
    </row>
    <row r="2285">
      <c r="A2285" t="n">
        <v>4345</v>
      </c>
      <c r="B2285" t="inlineStr">
        <is>
          <t>CHROMOSTAR</t>
        </is>
      </c>
      <c r="C2285" t="n">
        <v>72</v>
      </c>
      <c r="D2285" t="n">
        <v>102</v>
      </c>
      <c r="E2285" t="n">
        <v>350</v>
      </c>
      <c r="F2285" t="n">
        <v>150</v>
      </c>
      <c r="G2285">
        <f>SUMIF(PRISPELO!B:B, A2285, PRISPELO!G:G)</f>
        <v/>
      </c>
      <c r="H2285">
        <f>SUMIF(ODPIS!B:B, A2285, ODPIS!G:G)</f>
        <v/>
      </c>
      <c r="I2285" s="2">
        <f>F2285 + G2285 - H2285</f>
        <v/>
      </c>
    </row>
    <row r="2286">
      <c r="A2286" t="n">
        <v>4346</v>
      </c>
      <c r="B2286" t="inlineStr">
        <is>
          <t>Dns preformens plus</t>
        </is>
      </c>
      <c r="C2286" t="n">
        <v>45</v>
      </c>
      <c r="D2286" t="n">
        <v>64</v>
      </c>
      <c r="E2286" t="n">
        <v>80</v>
      </c>
      <c r="F2286" t="n">
        <v>1200</v>
      </c>
      <c r="G2286">
        <f>SUMIF(PRISPELO!B:B, A2286, PRISPELO!G:G)</f>
        <v/>
      </c>
      <c r="H2286">
        <f>SUMIF(ODPIS!B:B, A2286, ODPIS!G:G)</f>
        <v/>
      </c>
      <c r="I2286" s="2">
        <f>F2286 + G2286 - H2286</f>
        <v/>
      </c>
    </row>
    <row r="2287">
      <c r="A2287" t="n">
        <v>4347</v>
      </c>
      <c r="B2287" t="inlineStr">
        <is>
          <t>ZENITH</t>
        </is>
      </c>
      <c r="C2287" t="n">
        <v>72</v>
      </c>
      <c r="D2287" t="n">
        <v>102</v>
      </c>
      <c r="E2287" t="n">
        <v>295</v>
      </c>
      <c r="F2287" t="n">
        <v>1250</v>
      </c>
      <c r="G2287">
        <f>SUMIF(PRISPELO!B:B, A2287, PRISPELO!G:G)</f>
        <v/>
      </c>
      <c r="H2287">
        <f>SUMIF(ODPIS!B:B, A2287, ODPIS!G:G)</f>
        <v/>
      </c>
      <c r="I2287" s="2">
        <f>F2287 + G2287 - H2287</f>
        <v/>
      </c>
    </row>
    <row r="2288">
      <c r="A2288" t="n">
        <v>4348</v>
      </c>
      <c r="B2288" t="inlineStr">
        <is>
          <t>ROYAL COAT PREMIUM GLOSS</t>
        </is>
      </c>
      <c r="C2288" t="n">
        <v>100</v>
      </c>
      <c r="D2288" t="n">
        <v>70</v>
      </c>
      <c r="E2288" t="n">
        <v>150</v>
      </c>
      <c r="F2288" t="n">
        <v>1000</v>
      </c>
      <c r="G2288">
        <f>SUMIF(PRISPELO!B:B, A2288, PRISPELO!G:G)</f>
        <v/>
      </c>
      <c r="H2288">
        <f>SUMIF(ODPIS!B:B, A2288, ODPIS!G:G)</f>
        <v/>
      </c>
      <c r="I2288" s="2">
        <f>F2288 + G2288 - H2288</f>
        <v/>
      </c>
    </row>
    <row r="2289">
      <c r="A2289" t="n">
        <v>4349</v>
      </c>
      <c r="B2289" t="inlineStr">
        <is>
          <t>MAGNO SATIN</t>
        </is>
      </c>
      <c r="C2289" t="n">
        <v>45</v>
      </c>
      <c r="D2289" t="n">
        <v>64</v>
      </c>
      <c r="E2289" t="n">
        <v>170</v>
      </c>
      <c r="F2289" t="n">
        <v>31000</v>
      </c>
      <c r="G2289">
        <f>SUMIF(PRISPELO!B:B, A2289, PRISPELO!G:G)</f>
        <v/>
      </c>
      <c r="H2289">
        <f>SUMIF(ODPIS!B:B, A2289, ODPIS!G:G)</f>
        <v/>
      </c>
      <c r="I2289" s="2">
        <f>F2289 + G2289 - H2289</f>
        <v/>
      </c>
    </row>
    <row r="2290">
      <c r="A2290" t="n">
        <v>4350</v>
      </c>
      <c r="B2290" t="inlineStr">
        <is>
          <t>PERIGORD MATT 1.1</t>
        </is>
      </c>
      <c r="C2290" t="n">
        <v>64</v>
      </c>
      <c r="D2290" t="n">
        <v>90</v>
      </c>
      <c r="E2290" t="n">
        <v>170</v>
      </c>
      <c r="F2290" t="n">
        <v>9000</v>
      </c>
      <c r="G2290">
        <f>SUMIF(PRISPELO!B:B, A2290, PRISPELO!G:G)</f>
        <v/>
      </c>
      <c r="H2290">
        <f>SUMIF(ODPIS!B:B, A2290, ODPIS!G:G)</f>
        <v/>
      </c>
      <c r="I2290" s="2">
        <f>F2290 + G2290 - H2290</f>
        <v/>
      </c>
    </row>
    <row r="2291" ht="15.75" customHeight="1">
      <c r="G2291">
        <f>SUMIF(PRISPELO!B:B, A2291, PRISPELO!G:G)</f>
        <v/>
      </c>
      <c r="H2291">
        <f>SUMIF(ODPIS!B:B, A2291, ODPIS!G:G)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FFESIQfg1+EMp2z2dccFQ==" formatRows="1" sort="1" spinCount="100000" hashValue="2Up2TcGlLMR0q5+Q6cwE640T8QF4n90ttYhciiywmtooxkCU2oF2h2eB3CFb/KC6qP+VPBE/d4gjVUqqrL6TaQ=="/>
  <autoFilter ref="A1:I2290">
    <sortState ref="A2:I2275">
      <sortCondition ref="A1:A2275"/>
    </sortState>
  </autoFilter>
  <conditionalFormatting sqref="I2:I1004">
    <cfRule type="expression" priority="2" dxfId="0" stopIfTrue="1">
      <formula>AND(A2&lt;&gt;"", I2&lt;100)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8"/>
  <sheetViews>
    <sheetView zoomScaleNormal="100" workbookViewId="0">
      <selection activeCell="E4" sqref="E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(Prejem)</t>
        </is>
      </c>
      <c r="H1" s="1" t="inlineStr">
        <is>
          <t>Št. Dobavnice</t>
        </is>
      </c>
      <c r="I1" s="1" t="inlineStr">
        <is>
          <t>Dobavitelj</t>
        </is>
      </c>
      <c r="J1" s="1" t="inlineStr">
        <is>
          <t>Opomba</t>
        </is>
      </c>
    </row>
    <row r="2">
      <c r="A2" s="3" t="n">
        <v>46253</v>
      </c>
      <c r="B2" t="n">
        <v>2295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2000</v>
      </c>
      <c r="H2" t="inlineStr">
        <is>
          <t>2041027777/18.08.2026</t>
        </is>
      </c>
      <c r="I2" t="inlineStr">
        <is>
          <t>EUROPAPIR D.O.O</t>
        </is>
      </c>
    </row>
    <row r="3">
      <c r="A3" s="3" t="n">
        <v>46253</v>
      </c>
      <c r="B3" t="n">
        <v>2434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2000</v>
      </c>
      <c r="H3" t="inlineStr">
        <is>
          <t>2041027811/18.08.2026</t>
        </is>
      </c>
      <c r="I3" t="inlineStr">
        <is>
          <t>EUROPAPIR D.O.O</t>
        </is>
      </c>
    </row>
    <row r="4">
      <c r="A4" s="3" t="n">
        <v>46254</v>
      </c>
      <c r="B4" t="n">
        <v>1684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2500</v>
      </c>
      <c r="I4" t="inlineStr">
        <is>
          <t>Stafix ltd</t>
        </is>
      </c>
    </row>
    <row r="5">
      <c r="C5">
        <f>IF(B5="","",VLOOKUP(B5,'TRENUTNA ZALOGA'!A:B,2,FALSE))</f>
        <v/>
      </c>
    </row>
    <row r="6">
      <c r="C6">
        <f>IF(B6="","",VLOOKUP(B6,'TRENUTNA ZALOGA'!A:B,2,FALSE))</f>
        <v/>
      </c>
    </row>
    <row r="7">
      <c r="C7">
        <f>IF(B7="","",VLOOKUP(B7,'TRENUTNA ZALOGA'!A:B,2,FALSE))</f>
        <v/>
      </c>
    </row>
    <row r="8">
      <c r="C8">
        <f>IF(B8="","",VLOOKUP(B8,'TRENUTNA ZALOGA'!A:B,2,FALSE))</f>
        <v/>
      </c>
    </row>
    <row r="9">
      <c r="C9">
        <f>IF(B9="","",VLOOKUP(B9,'TRENUTNA ZALOGA'!A:B,2,FALSE))</f>
        <v/>
      </c>
    </row>
    <row r="10">
      <c r="C10">
        <f>IF(B10="","",VLOOKUP(B10,'TRENUTNA ZALOGA'!A:B,2,FALSE))</f>
        <v/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"/>
  <sheetViews>
    <sheetView tabSelected="1" zoomScaleNormal="100" workbookViewId="0">
      <selection activeCell="G14" sqref="G1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(Odpis)</t>
        </is>
      </c>
      <c r="H1" s="1" t="inlineStr">
        <is>
          <t>Delovni Nalog</t>
        </is>
      </c>
      <c r="I1" s="1" t="inlineStr">
        <is>
          <t>Oseba</t>
        </is>
      </c>
      <c r="J1" s="1" t="inlineStr">
        <is>
          <t>Opomba</t>
        </is>
      </c>
    </row>
    <row r="2">
      <c r="A2" s="3" t="n">
        <v>46254</v>
      </c>
      <c r="B2" t="n">
        <v>4288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650</v>
      </c>
      <c r="H2" t="inlineStr">
        <is>
          <t xml:space="preserve">1195/26 </t>
        </is>
      </c>
      <c r="I2" t="inlineStr">
        <is>
          <t xml:space="preserve">Simon </t>
        </is>
      </c>
      <c r="J2" t="inlineStr">
        <is>
          <t>VENDO</t>
        </is>
      </c>
    </row>
    <row r="3">
      <c r="A3" s="3" t="n">
        <v>46254</v>
      </c>
      <c r="B3" t="n">
        <v>1136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</v>
      </c>
      <c r="H3" t="inlineStr">
        <is>
          <t>1202/26</t>
        </is>
      </c>
      <c r="I3" t="inlineStr">
        <is>
          <t xml:space="preserve">Simon </t>
        </is>
      </c>
      <c r="J3" t="inlineStr">
        <is>
          <t>Voda Rogla</t>
        </is>
      </c>
    </row>
    <row r="4">
      <c r="A4" s="3" t="n">
        <v>46254</v>
      </c>
      <c r="B4" t="n">
        <v>1136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325</v>
      </c>
      <c r="H4" t="inlineStr">
        <is>
          <t>1201/26</t>
        </is>
      </c>
      <c r="I4" t="inlineStr">
        <is>
          <t xml:space="preserve">Simon </t>
        </is>
      </c>
      <c r="J4" t="inlineStr">
        <is>
          <t>Voda Rogla</t>
        </is>
      </c>
    </row>
    <row r="5">
      <c r="A5" s="3" t="n">
        <v>46254</v>
      </c>
      <c r="B5" t="n">
        <v>1136</v>
      </c>
      <c r="C5">
        <f>IF(B5="","",VLOOKUP(B5,'TRENUTNA ZALOGA'!A:B,2,FALSE))</f>
        <v/>
      </c>
      <c r="D5">
        <f>IF(B5="","",VLOOKUP(B5,'TRENUTNA ZALOGA'!A:C,3,FALSE))</f>
        <v/>
      </c>
      <c r="E5">
        <f>IF(B5="","",VLOOKUP(B5,'TRENUTNA ZALOGA'!A:D,4,FALSE))</f>
        <v/>
      </c>
      <c r="F5">
        <f>IF(B5="","",VLOOKUP(B5,'TRENUTNA ZALOGA'!A:E,5,FALSE))</f>
        <v/>
      </c>
      <c r="G5" t="n">
        <v>325</v>
      </c>
      <c r="H5" t="inlineStr">
        <is>
          <t>1200/26</t>
        </is>
      </c>
      <c r="I5" t="inlineStr">
        <is>
          <t xml:space="preserve">Simon </t>
        </is>
      </c>
      <c r="J5" t="inlineStr">
        <is>
          <t>Voda Rogla</t>
        </is>
      </c>
    </row>
    <row r="6">
      <c r="A6" s="3" t="n">
        <v>46254</v>
      </c>
      <c r="B6" t="n">
        <v>1136</v>
      </c>
      <c r="C6">
        <f>IF(B6="","",VLOOKUP(B6,'TRENUTNA ZALOGA'!A:B,2,FALSE))</f>
        <v/>
      </c>
      <c r="D6">
        <f>IF(B6="","",VLOOKUP(B6,'TRENUTNA ZALOGA'!A:C,3,FALSE))</f>
        <v/>
      </c>
      <c r="E6">
        <f>IF(B6="","",VLOOKUP(B6,'TRENUTNA ZALOGA'!A:D,4,FALSE))</f>
        <v/>
      </c>
      <c r="F6">
        <f>IF(B6="","",VLOOKUP(B6,'TRENUTNA ZALOGA'!A:E,5,FALSE))</f>
        <v/>
      </c>
      <c r="G6" t="n">
        <v>650</v>
      </c>
      <c r="H6" t="inlineStr">
        <is>
          <t>1196/26</t>
        </is>
      </c>
      <c r="I6" t="inlineStr">
        <is>
          <t xml:space="preserve">Simon </t>
        </is>
      </c>
      <c r="J6" t="inlineStr">
        <is>
          <t>Dana</t>
        </is>
      </c>
    </row>
    <row r="7">
      <c r="A7" s="3" t="n">
        <v>46254</v>
      </c>
      <c r="B7" t="n">
        <v>1136</v>
      </c>
      <c r="C7">
        <f>IF(B7="","",VLOOKUP(B7,'TRENUTNA ZALOGA'!A:B,2,FALSE))</f>
        <v/>
      </c>
      <c r="D7">
        <f>IF(B7="","",VLOOKUP(B7,'TRENUTNA ZALOGA'!A:C,3,FALSE))</f>
        <v/>
      </c>
      <c r="E7">
        <f>IF(B7="","",VLOOKUP(B7,'TRENUTNA ZALOGA'!A:D,4,FALSE))</f>
        <v/>
      </c>
      <c r="F7">
        <f>IF(B7="","",VLOOKUP(B7,'TRENUTNA ZALOGA'!A:E,5,FALSE))</f>
        <v/>
      </c>
      <c r="G7" t="n">
        <v>1050</v>
      </c>
      <c r="H7" t="inlineStr">
        <is>
          <t>1197/26</t>
        </is>
      </c>
      <c r="I7" t="inlineStr">
        <is>
          <t xml:space="preserve">Simon </t>
        </is>
      </c>
      <c r="J7" t="inlineStr">
        <is>
          <t>Dana</t>
        </is>
      </c>
    </row>
    <row r="8">
      <c r="A8" s="3" t="n">
        <v>46254</v>
      </c>
      <c r="B8" t="n">
        <v>1136</v>
      </c>
      <c r="C8">
        <f>IF(B8="","",VLOOKUP(B8,'TRENUTNA ZALOGA'!A:B,2,FALSE))</f>
        <v/>
      </c>
      <c r="D8">
        <f>IF(B8="","",VLOOKUP(B8,'TRENUTNA ZALOGA'!A:C,3,FALSE))</f>
        <v/>
      </c>
      <c r="E8">
        <f>IF(B8="","",VLOOKUP(B8,'TRENUTNA ZALOGA'!A:D,4,FALSE))</f>
        <v/>
      </c>
      <c r="F8">
        <f>IF(B8="","",VLOOKUP(B8,'TRENUTNA ZALOGA'!A:E,5,FALSE))</f>
        <v/>
      </c>
      <c r="G8" t="n">
        <v>1580</v>
      </c>
      <c r="H8" t="inlineStr">
        <is>
          <t>1198/26</t>
        </is>
      </c>
      <c r="I8" t="inlineStr">
        <is>
          <t xml:space="preserve">Simon </t>
        </is>
      </c>
      <c r="J8" t="inlineStr">
        <is>
          <t>Dana</t>
        </is>
      </c>
    </row>
    <row r="9">
      <c r="A9" s="3" t="n">
        <v>46254</v>
      </c>
      <c r="B9" t="n">
        <v>1136</v>
      </c>
      <c r="C9">
        <f>IF(B9="","",VLOOKUP(B9,'TRENUTNA ZALOGA'!A:B,2,FALSE))</f>
        <v/>
      </c>
      <c r="D9">
        <f>IF(B9="","",VLOOKUP(B9,'TRENUTNA ZALOGA'!A:C,3,FALSE))</f>
        <v/>
      </c>
      <c r="E9">
        <f>IF(B9="","",VLOOKUP(B9,'TRENUTNA ZALOGA'!A:D,4,FALSE))</f>
        <v/>
      </c>
      <c r="F9">
        <f>IF(B9="","",VLOOKUP(B9,'TRENUTNA ZALOGA'!A:E,5,FALSE))</f>
        <v/>
      </c>
      <c r="G9" t="n">
        <v>450</v>
      </c>
      <c r="H9" t="inlineStr">
        <is>
          <t>1199/26</t>
        </is>
      </c>
      <c r="I9" t="inlineStr">
        <is>
          <t xml:space="preserve">Simon </t>
        </is>
      </c>
      <c r="J9" t="inlineStr">
        <is>
          <t>Dana</t>
        </is>
      </c>
    </row>
    <row r="10">
      <c r="A10" s="3" t="n">
        <v>46254</v>
      </c>
      <c r="B10" t="n">
        <v>1684</v>
      </c>
      <c r="C10">
        <f>IF(B10="","",VLOOKUP(B10,'TRENUTNA ZALOGA'!A:B,2,FALSE))</f>
        <v/>
      </c>
      <c r="D10">
        <f>IF(B10="","",VLOOKUP(B10,'TRENUTNA ZALOGA'!A:C,3,FALSE))</f>
        <v/>
      </c>
      <c r="E10">
        <f>IF(B10="","",VLOOKUP(B10,'TRENUTNA ZALOGA'!A:D,4,FALSE))</f>
        <v/>
      </c>
      <c r="F10">
        <f>IF(B10="","",VLOOKUP(B10,'TRENUTNA ZALOGA'!A:E,5,FALSE))</f>
        <v/>
      </c>
      <c r="G10" t="n">
        <v>100</v>
      </c>
      <c r="H10" t="inlineStr">
        <is>
          <t>1107/26</t>
        </is>
      </c>
      <c r="I10" t="inlineStr">
        <is>
          <t xml:space="preserve">Simon </t>
        </is>
      </c>
      <c r="J10" t="inlineStr">
        <is>
          <t>Bela design</t>
        </is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  <row r="1909">
      <c r="C1909">
        <f>IF(B1909="","",VLOOKUP(B1909,'TRENUTNA ZALOGA'!A:B,2,FALSE))</f>
        <v/>
      </c>
    </row>
    <row r="1910">
      <c r="C1910">
        <f>IF(B1910="","",VLOOKUP(B1910,'TRENUTNA ZALOGA'!A:B,2,FALSE))</f>
        <v/>
      </c>
    </row>
    <row r="1911">
      <c r="C1911">
        <f>IF(B1911="","",VLOOKUP(B1911,'TRENUTNA ZALOGA'!A:B,2,FALSE))</f>
        <v/>
      </c>
    </row>
    <row r="1912">
      <c r="C1912">
        <f>IF(B1912="","",VLOOKUP(B1912,'TRENUTNA ZALOGA'!A:B,2,FALSE))</f>
        <v/>
      </c>
    </row>
    <row r="1913">
      <c r="C1913">
        <f>IF(B1913="","",VLOOKUP(B1913,'TRENUTNA ZALOGA'!A:B,2,FALSE))</f>
        <v/>
      </c>
    </row>
    <row r="1914">
      <c r="C1914">
        <f>IF(B1914="","",VLOOKUP(B1914,'TRENUTNA ZALOGA'!A:B,2,FALSE))</f>
        <v/>
      </c>
    </row>
    <row r="1915">
      <c r="C1915">
        <f>IF(B1915="","",VLOOKUP(B1915,'TRENUTNA ZALOGA'!A:B,2,FALSE))</f>
        <v/>
      </c>
    </row>
    <row r="1916">
      <c r="C1916">
        <f>IF(B1916="","",VLOOKUP(B1916,'TRENUTNA ZALOGA'!A:B,2,FALSE))</f>
        <v/>
      </c>
    </row>
    <row r="1917">
      <c r="C1917">
        <f>IF(B1917="","",VLOOKUP(B1917,'TRENUTNA ZALOGA'!A:B,2,FALSE))</f>
        <v/>
      </c>
    </row>
    <row r="1918">
      <c r="C1918">
        <f>IF(B1918="","",VLOOKUP(B1918,'TRENUTNA ZALOGA'!A:B,2,FALSE))</f>
        <v/>
      </c>
    </row>
    <row r="1919">
      <c r="C1919">
        <f>IF(B1919="","",VLOOKUP(B1919,'TRENUTNA ZALOGA'!A:B,2,FALSE))</f>
        <v/>
      </c>
    </row>
    <row r="1920">
      <c r="C1920">
        <f>IF(B1920="","",VLOOKUP(B1920,'TRENUTNA ZALOGA'!A:B,2,FALSE))</f>
        <v/>
      </c>
    </row>
    <row r="1921">
      <c r="C1921">
        <f>IF(B1921="","",VLOOKUP(B1921,'TRENUTNA ZALOGA'!A:B,2,FALSE))</f>
        <v/>
      </c>
    </row>
    <row r="1922">
      <c r="C1922">
        <f>IF(B1922="","",VLOOKUP(B1922,'TRENUTNA ZALOGA'!A:B,2,FALSE))</f>
        <v/>
      </c>
    </row>
    <row r="1923">
      <c r="C1923">
        <f>IF(B1923="","",VLOOKUP(B1923,'TRENUTNA ZALOGA'!A:B,2,FALSE))</f>
        <v/>
      </c>
    </row>
    <row r="1924">
      <c r="C1924">
        <f>IF(B1924="","",VLOOKUP(B1924,'TRENUTNA ZALOGA'!A:B,2,FALSE))</f>
        <v/>
      </c>
    </row>
    <row r="1925">
      <c r="C1925">
        <f>IF(B1925="","",VLOOKUP(B1925,'TRENUTNA ZALOGA'!A:B,2,FALSE))</f>
        <v/>
      </c>
    </row>
    <row r="1926">
      <c r="C1926">
        <f>IF(B1926="","",VLOOKUP(B1926,'TRENUTNA ZALOGA'!A:B,2,FALSE))</f>
        <v/>
      </c>
    </row>
    <row r="1927">
      <c r="C1927">
        <f>IF(B1927="","",VLOOKUP(B1927,'TRENUTNA ZALOGA'!A:B,2,FALSE))</f>
        <v/>
      </c>
    </row>
    <row r="1928">
      <c r="C1928">
        <f>IF(B1928="","",VLOOKUP(B1928,'TRENUTNA ZALOGA'!A:B,2,FALSE))</f>
        <v/>
      </c>
    </row>
    <row r="1929">
      <c r="C1929">
        <f>IF(B1929="","",VLOOKUP(B1929,'TRENUTNA ZALOGA'!A:B,2,FALSE))</f>
        <v/>
      </c>
    </row>
    <row r="1930">
      <c r="C1930">
        <f>IF(B1930="","",VLOOKUP(B1930,'TRENUTNA ZALOGA'!A:B,2,FALSE))</f>
        <v/>
      </c>
    </row>
    <row r="1931">
      <c r="C1931">
        <f>IF(B1931="","",VLOOKUP(B1931,'TRENUTNA ZALOGA'!A:B,2,FALSE))</f>
        <v/>
      </c>
    </row>
    <row r="1932">
      <c r="C1932">
        <f>IF(B1932="","",VLOOKUP(B1932,'TRENUTNA ZALOGA'!A:B,2,FALSE))</f>
        <v/>
      </c>
    </row>
    <row r="1933">
      <c r="C1933">
        <f>IF(B1933="","",VLOOKUP(B1933,'TRENUTNA ZALOGA'!A:B,2,FALSE))</f>
        <v/>
      </c>
    </row>
    <row r="1934">
      <c r="C1934">
        <f>IF(B1934="","",VLOOKUP(B1934,'TRENUTNA ZALOGA'!A:B,2,FALSE))</f>
        <v/>
      </c>
    </row>
    <row r="1935">
      <c r="C1935">
        <f>IF(B1935="","",VLOOKUP(B1935,'TRENUTNA ZALOGA'!A:B,2,FALSE))</f>
        <v/>
      </c>
    </row>
    <row r="1936">
      <c r="C1936">
        <f>IF(B1936="","",VLOOKUP(B1936,'TRENUTNA ZALOGA'!A:B,2,FALSE))</f>
        <v/>
      </c>
    </row>
    <row r="1937">
      <c r="C1937">
        <f>IF(B1937="","",VLOOKUP(B1937,'TRENUTNA ZALOGA'!A:B,2,FALSE))</f>
        <v/>
      </c>
    </row>
    <row r="1938">
      <c r="C1938">
        <f>IF(B1938="","",VLOOKUP(B1938,'TRENUTNA ZALOGA'!A:B,2,FALSE))</f>
        <v/>
      </c>
    </row>
    <row r="1939">
      <c r="C1939">
        <f>IF(B1939="","",VLOOKUP(B1939,'TRENUTNA ZALOGA'!A:B,2,FALSE))</f>
        <v/>
      </c>
    </row>
    <row r="1940">
      <c r="C1940">
        <f>IF(B1940="","",VLOOKUP(B1940,'TRENUTNA ZALOGA'!A:B,2,FALSE))</f>
        <v/>
      </c>
    </row>
    <row r="1941">
      <c r="C1941">
        <f>IF(B1941="","",VLOOKUP(B1941,'TRENUTNA ZALOGA'!A:B,2,FALSE))</f>
        <v/>
      </c>
    </row>
    <row r="1942">
      <c r="C1942">
        <f>IF(B1942="","",VLOOKUP(B1942,'TRENUTNA ZALOGA'!A:B,2,FALSE))</f>
        <v/>
      </c>
    </row>
    <row r="1943">
      <c r="C1943">
        <f>IF(B1943="","",VLOOKUP(B1943,'TRENUTNA ZALOGA'!A:B,2,FALSE))</f>
        <v/>
      </c>
    </row>
    <row r="1944">
      <c r="C1944">
        <f>IF(B1944="","",VLOOKUP(B1944,'TRENUTNA ZALOGA'!A:B,2,FALSE))</f>
        <v/>
      </c>
    </row>
    <row r="1945">
      <c r="C1945">
        <f>IF(B1945="","",VLOOKUP(B1945,'TRENUTNA ZALOGA'!A:B,2,FALSE))</f>
        <v/>
      </c>
    </row>
    <row r="1946">
      <c r="C1946">
        <f>IF(B1946="","",VLOOKUP(B1946,'TRENUTNA ZALOGA'!A:B,2,FALSE))</f>
        <v/>
      </c>
    </row>
    <row r="1947">
      <c r="C1947">
        <f>IF(B1947="","",VLOOKUP(B1947,'TRENUTNA ZALOGA'!A:B,2,FALSE))</f>
        <v/>
      </c>
    </row>
    <row r="1948">
      <c r="C1948">
        <f>IF(B1948="","",VLOOKUP(B1948,'TRENUTNA ZALOGA'!A:B,2,FALSE))</f>
        <v/>
      </c>
    </row>
    <row r="1949">
      <c r="C1949">
        <f>IF(B1949="","",VLOOKUP(B1949,'TRENUTNA ZALOGA'!A:B,2,FALSE))</f>
        <v/>
      </c>
    </row>
    <row r="1950">
      <c r="C1950">
        <f>IF(B1950="","",VLOOKUP(B1950,'TRENUTNA ZALOGA'!A:B,2,FALSE))</f>
        <v/>
      </c>
    </row>
    <row r="1951">
      <c r="C1951">
        <f>IF(B1951="","",VLOOKUP(B1951,'TRENUTNA ZALOGA'!A:B,2,FALSE))</f>
        <v/>
      </c>
    </row>
    <row r="1952">
      <c r="C1952">
        <f>IF(B1952="","",VLOOKUP(B1952,'TRENUTNA ZALOGA'!A:B,2,FALSE))</f>
        <v/>
      </c>
    </row>
    <row r="1953">
      <c r="C1953">
        <f>IF(B1953="","",VLOOKUP(B1953,'TRENUTNA ZALOGA'!A:B,2,FALSE))</f>
        <v/>
      </c>
    </row>
    <row r="1954">
      <c r="C1954">
        <f>IF(B1954="","",VLOOKUP(B1954,'TRENUTNA ZALOGA'!A:B,2,FALSE))</f>
        <v/>
      </c>
    </row>
    <row r="1955">
      <c r="C1955">
        <f>IF(B1955="","",VLOOKUP(B1955,'TRENUTNA ZALOGA'!A:B,2,FALSE))</f>
        <v/>
      </c>
    </row>
    <row r="1956">
      <c r="C1956">
        <f>IF(B1956="","",VLOOKUP(B1956,'TRENUTNA ZALOGA'!A:B,2,FALSE))</f>
        <v/>
      </c>
    </row>
    <row r="1957">
      <c r="C1957">
        <f>IF(B1957="","",VLOOKUP(B1957,'TRENUTNA ZALOGA'!A:B,2,FALSE))</f>
        <v/>
      </c>
    </row>
    <row r="1958">
      <c r="C1958">
        <f>IF(B1958="","",VLOOKUP(B1958,'TRENUTNA ZALOGA'!A:B,2,FALSE))</f>
        <v/>
      </c>
    </row>
    <row r="1959">
      <c r="C1959">
        <f>IF(B1959="","",VLOOKUP(B1959,'TRENUTNA ZALOGA'!A:B,2,FALSE))</f>
        <v/>
      </c>
    </row>
    <row r="1960">
      <c r="C1960">
        <f>IF(B1960="","",VLOOKUP(B1960,'TRENUTNA ZALOGA'!A:B,2,FALSE))</f>
        <v/>
      </c>
    </row>
    <row r="1961">
      <c r="C1961">
        <f>IF(B1961="","",VLOOKUP(B1961,'TRENUTNA ZALOGA'!A:B,2,FALSE))</f>
        <v/>
      </c>
    </row>
    <row r="1962">
      <c r="C1962">
        <f>IF(B1962="","",VLOOKUP(B1962,'TRENUTNA ZALOGA'!A:B,2,FALSE))</f>
        <v/>
      </c>
    </row>
    <row r="1963">
      <c r="C1963">
        <f>IF(B1963="","",VLOOKUP(B1963,'TRENUTNA ZALOGA'!A:B,2,FALSE))</f>
        <v/>
      </c>
    </row>
    <row r="1964">
      <c r="C1964">
        <f>IF(B1964="","",VLOOKUP(B1964,'TRENUTNA ZALOGA'!A:B,2,FALSE))</f>
        <v/>
      </c>
    </row>
    <row r="1965">
      <c r="C1965">
        <f>IF(B1965="","",VLOOKUP(B1965,'TRENUTNA ZALOGA'!A:B,2,FALSE))</f>
        <v/>
      </c>
    </row>
    <row r="1966">
      <c r="C1966">
        <f>IF(B1966="","",VLOOKUP(B1966,'TRENUTNA ZALOGA'!A:B,2,FALSE))</f>
        <v/>
      </c>
    </row>
    <row r="1967">
      <c r="C1967">
        <f>IF(B1967="","",VLOOKUP(B1967,'TRENUTNA ZALOGA'!A:B,2,FALSE))</f>
        <v/>
      </c>
    </row>
    <row r="1968">
      <c r="C1968">
        <f>IF(B1968="","",VLOOKUP(B1968,'TRENUTNA ZALOGA'!A:B,2,FALSE))</f>
        <v/>
      </c>
    </row>
    <row r="1969">
      <c r="C1969">
        <f>IF(B1969="","",VLOOKUP(B1969,'TRENUTNA ZALOGA'!A:B,2,FALSE))</f>
        <v/>
      </c>
    </row>
    <row r="1970">
      <c r="C1970">
        <f>IF(B1970="","",VLOOKUP(B1970,'TRENUTNA ZALOGA'!A:B,2,FALSE))</f>
        <v/>
      </c>
    </row>
    <row r="1971">
      <c r="C1971">
        <f>IF(B1971="","",VLOOKUP(B1971,'TRENUTNA ZALOGA'!A:B,2,FALSE))</f>
        <v/>
      </c>
    </row>
    <row r="1972">
      <c r="C1972">
        <f>IF(B1972="","",VLOOKUP(B1972,'TRENUTNA ZALOGA'!A:B,2,FALSE))</f>
        <v/>
      </c>
    </row>
    <row r="1973">
      <c r="C1973">
        <f>IF(B1973="","",VLOOKUP(B1973,'TRENUTNA ZALOGA'!A:B,2,FALSE))</f>
        <v/>
      </c>
    </row>
    <row r="1974">
      <c r="C1974">
        <f>IF(B1974="","",VLOOKUP(B1974,'TRENUTNA ZALOGA'!A:B,2,FALSE))</f>
        <v/>
      </c>
    </row>
    <row r="1975">
      <c r="C1975">
        <f>IF(B1975="","",VLOOKUP(B1975,'TRENUTNA ZALOGA'!A:B,2,FALSE))</f>
        <v/>
      </c>
    </row>
    <row r="1976">
      <c r="C1976">
        <f>IF(B1976="","",VLOOKUP(B1976,'TRENUTNA ZALOGA'!A:B,2,FALSE))</f>
        <v/>
      </c>
    </row>
    <row r="1977">
      <c r="C1977">
        <f>IF(B1977="","",VLOOKUP(B1977,'TRENUTNA ZALOGA'!A:B,2,FALSE))</f>
        <v/>
      </c>
    </row>
    <row r="1978">
      <c r="C1978">
        <f>IF(B1978="","",VLOOKUP(B1978,'TRENUTNA ZALOGA'!A:B,2,FALSE))</f>
        <v/>
      </c>
    </row>
    <row r="1979">
      <c r="C1979">
        <f>IF(B1979="","",VLOOKUP(B1979,'TRENUTNA ZALOGA'!A:B,2,FALSE))</f>
        <v/>
      </c>
    </row>
    <row r="1980">
      <c r="C1980">
        <f>IF(B1980="","",VLOOKUP(B1980,'TRENUTNA ZALOGA'!A:B,2,FALSE))</f>
        <v/>
      </c>
    </row>
    <row r="1981">
      <c r="C1981">
        <f>IF(B1981="","",VLOOKUP(B1981,'TRENUTNA ZALOGA'!A:B,2,FALSE))</f>
        <v/>
      </c>
    </row>
    <row r="1982">
      <c r="C1982">
        <f>IF(B1982="","",VLOOKUP(B1982,'TRENUTNA ZALOGA'!A:B,2,FALSE))</f>
        <v/>
      </c>
    </row>
    <row r="1983">
      <c r="C1983">
        <f>IF(B1983="","",VLOOKUP(B1983,'TRENUTNA ZALOGA'!A:B,2,FALSE))</f>
        <v/>
      </c>
    </row>
    <row r="1984">
      <c r="C1984">
        <f>IF(B1984="","",VLOOKUP(B1984,'TRENUTNA ZALOGA'!A:B,2,FALSE))</f>
        <v/>
      </c>
    </row>
    <row r="1985">
      <c r="C1985">
        <f>IF(B1985="","",VLOOKUP(B1985,'TRENUTNA ZALOGA'!A:B,2,FALSE))</f>
        <v/>
      </c>
    </row>
    <row r="1986">
      <c r="C1986">
        <f>IF(B1986="","",VLOOKUP(B1986,'TRENUTNA ZALOGA'!A:B,2,FALSE))</f>
        <v/>
      </c>
    </row>
    <row r="1987">
      <c r="C1987">
        <f>IF(B1987="","",VLOOKUP(B1987,'TRENUTNA ZALOGA'!A:B,2,FALSE))</f>
        <v/>
      </c>
    </row>
    <row r="1988">
      <c r="C1988">
        <f>IF(B1988="","",VLOOKUP(B1988,'TRENUTNA ZALOGA'!A:B,2,FALSE))</f>
        <v/>
      </c>
    </row>
    <row r="1989">
      <c r="C1989">
        <f>IF(B1989="","",VLOOKUP(B1989,'TRENUTNA ZALOGA'!A:B,2,FALSE))</f>
        <v/>
      </c>
    </row>
    <row r="1990">
      <c r="C1990">
        <f>IF(B1990="","",VLOOKUP(B1990,'TRENUTNA ZALOGA'!A:B,2,FALSE))</f>
        <v/>
      </c>
    </row>
    <row r="1991">
      <c r="C1991">
        <f>IF(B1991="","",VLOOKUP(B1991,'TRENUTNA ZALOGA'!A:B,2,FALSE))</f>
        <v/>
      </c>
    </row>
    <row r="1992">
      <c r="C1992">
        <f>IF(B1992="","",VLOOKUP(B1992,'TRENUTNA ZALOGA'!A:B,2,FALSE))</f>
        <v/>
      </c>
    </row>
    <row r="1993">
      <c r="C1993">
        <f>IF(B1993="","",VLOOKUP(B1993,'TRENUTNA ZALOGA'!A:B,2,FALSE))</f>
        <v/>
      </c>
    </row>
    <row r="1994">
      <c r="C1994">
        <f>IF(B1994="","",VLOOKUP(B1994,'TRENUTNA ZALOGA'!A:B,2,FALSE))</f>
        <v/>
      </c>
    </row>
    <row r="1995">
      <c r="C1995">
        <f>IF(B1995="","",VLOOKUP(B1995,'TRENUTNA ZALOGA'!A:B,2,FALSE))</f>
        <v/>
      </c>
    </row>
    <row r="1996">
      <c r="C1996">
        <f>IF(B1996="","",VLOOKUP(B1996,'TRENUTNA ZALOGA'!A:B,2,FALSE))</f>
        <v/>
      </c>
    </row>
    <row r="1997">
      <c r="C1997">
        <f>IF(B1997="","",VLOOKUP(B1997,'TRENUTNA ZALOGA'!A:B,2,FALSE))</f>
        <v/>
      </c>
    </row>
    <row r="1998">
      <c r="C1998">
        <f>IF(B1998="","",VLOOKUP(B1998,'TRENUTNA ZALOGA'!A:B,2,FALSE))</f>
        <v/>
      </c>
    </row>
    <row r="1999">
      <c r="C1999">
        <f>IF(B1999="","",VLOOKUP(B1999,'TRENUTNA ZALOGA'!A:B,2,FALSE))</f>
        <v/>
      </c>
    </row>
    <row r="2000">
      <c r="C2000">
        <f>IF(B2000="","",VLOOKUP(B2000,'TRENUTNA ZALOGA'!A:B,2,FALSE))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20" sqref="D20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0" customWidth="1" min="4" max="4"/>
    <col width="10" customWidth="1" min="5" max="5"/>
    <col width="10" bestFit="1" customWidth="1" min="6" max="6"/>
    <col width="12" customWidth="1" min="7" max="7"/>
    <col width="12" customWidth="1" min="8" max="8"/>
    <col width="20" customWidth="1" min="9" max="9"/>
    <col width="25" customWidth="1" min="10" max="10"/>
    <col width="20" customWidth="1" min="11" max="11"/>
    <col width="25" customWidth="1" min="12" max="12"/>
  </cols>
  <sheetData>
    <row r="1">
      <c r="A1" s="9" t="inlineStr">
        <is>
          <t>Datum</t>
        </is>
      </c>
      <c r="B1" s="9" t="inlineStr">
        <is>
          <t>Tip</t>
        </is>
      </c>
      <c r="C1" s="9" t="inlineStr">
        <is>
          <t>Šifra materiala</t>
        </is>
      </c>
      <c r="D1" s="9" t="inlineStr">
        <is>
          <t>Naziv</t>
        </is>
      </c>
      <c r="E1" s="9" t="inlineStr">
        <is>
          <t>Širina</t>
        </is>
      </c>
      <c r="F1" s="9" t="inlineStr">
        <is>
          <t>Višina</t>
        </is>
      </c>
      <c r="G1" s="9" t="inlineStr">
        <is>
          <t>Gramatura</t>
        </is>
      </c>
      <c r="H1" s="9" t="inlineStr">
        <is>
          <t>Količina</t>
        </is>
      </c>
      <c r="I1" s="9" t="inlineStr">
        <is>
          <t>Št. Dobavnice / DN</t>
        </is>
      </c>
      <c r="J1" s="9" t="inlineStr">
        <is>
          <t>Dobavitelj</t>
        </is>
      </c>
      <c r="K1" s="9" t="inlineStr">
        <is>
          <t>Oseba</t>
        </is>
      </c>
      <c r="L1" s="9" t="inlineStr">
        <is>
          <t>Opomba</t>
        </is>
      </c>
    </row>
    <row r="2">
      <c r="A2" t="inlineStr">
        <is>
          <t>19. 08. 2026</t>
        </is>
      </c>
      <c r="B2" t="inlineStr">
        <is>
          <t>PRISPELO</t>
        </is>
      </c>
      <c r="C2" t="inlineStr">
        <is>
          <t>2295</t>
        </is>
      </c>
      <c r="D2" t="inlineStr">
        <is>
          <t>Garda matt</t>
        </is>
      </c>
      <c r="E2" t="n">
        <v>70</v>
      </c>
      <c r="F2" t="n">
        <v>100</v>
      </c>
      <c r="G2" t="n">
        <v>250</v>
      </c>
      <c r="H2" t="n">
        <v>2000</v>
      </c>
      <c r="I2" t="inlineStr">
        <is>
          <t>2041027777/18.08.2026</t>
        </is>
      </c>
      <c r="J2" t="inlineStr">
        <is>
          <t>EUROPAPIR D.O.O</t>
        </is>
      </c>
      <c r="K2" t="inlineStr"/>
      <c r="L2" t="inlineStr"/>
    </row>
    <row r="3">
      <c r="A3" t="inlineStr">
        <is>
          <t>19. 08. 2026</t>
        </is>
      </c>
      <c r="B3" t="inlineStr">
        <is>
          <t>PRISPELO</t>
        </is>
      </c>
      <c r="C3" t="inlineStr">
        <is>
          <t>2434</t>
        </is>
      </c>
      <c r="D3" t="inlineStr">
        <is>
          <t>Magno satin</t>
        </is>
      </c>
      <c r="E3" t="n">
        <v>64</v>
      </c>
      <c r="F3" t="n">
        <v>90</v>
      </c>
      <c r="G3" t="n">
        <v>130</v>
      </c>
      <c r="H3" t="n">
        <v>2000</v>
      </c>
      <c r="I3" t="inlineStr">
        <is>
          <t>2041027811/18.08.2026</t>
        </is>
      </c>
      <c r="J3" t="inlineStr">
        <is>
          <t>EUROPAPIR D.O.O</t>
        </is>
      </c>
      <c r="K3" t="inlineStr"/>
      <c r="L3" t="inlineStr"/>
    </row>
    <row r="4">
      <c r="A4" t="inlineStr">
        <is>
          <t>20. 08. 2026</t>
        </is>
      </c>
      <c r="B4" t="inlineStr">
        <is>
          <t>PRISPELO</t>
        </is>
      </c>
      <c r="C4" t="inlineStr">
        <is>
          <t>1684</t>
        </is>
      </c>
      <c r="D4" t="inlineStr">
        <is>
          <t>STAFIX-statična folija BELA</t>
        </is>
      </c>
      <c r="E4" t="n">
        <v>65</v>
      </c>
      <c r="F4" t="n">
        <v>48</v>
      </c>
      <c r="G4" t="n">
        <v>250</v>
      </c>
      <c r="H4" t="n">
        <v>2500</v>
      </c>
      <c r="I4" t="inlineStr"/>
      <c r="J4" t="inlineStr">
        <is>
          <t>Stafix ltd</t>
        </is>
      </c>
      <c r="K4" t="inlineStr"/>
      <c r="L4" t="inlineStr"/>
    </row>
    <row r="5">
      <c r="A5" t="inlineStr">
        <is>
          <t>20. 08. 2026</t>
        </is>
      </c>
      <c r="B5" t="inlineStr">
        <is>
          <t>ODPIS</t>
        </is>
      </c>
      <c r="C5" t="inlineStr">
        <is>
          <t>4288</t>
        </is>
      </c>
      <c r="D5" t="inlineStr">
        <is>
          <t>OFFSET PREPRINT</t>
        </is>
      </c>
      <c r="E5" t="n">
        <v>45</v>
      </c>
      <c r="F5" t="n">
        <v>64</v>
      </c>
      <c r="G5" t="n">
        <v>90</v>
      </c>
      <c r="H5" t="n">
        <v>650</v>
      </c>
      <c r="I5" t="inlineStr">
        <is>
          <t xml:space="preserve">1195/26 </t>
        </is>
      </c>
      <c r="J5" t="inlineStr"/>
      <c r="K5" t="inlineStr">
        <is>
          <t xml:space="preserve">Simon </t>
        </is>
      </c>
      <c r="L5" t="inlineStr">
        <is>
          <t>VENDO</t>
        </is>
      </c>
    </row>
    <row r="6">
      <c r="A6" t="inlineStr">
        <is>
          <t>20. 08. 2026</t>
        </is>
      </c>
      <c r="B6" t="inlineStr">
        <is>
          <t>ODPIS</t>
        </is>
      </c>
      <c r="C6" t="inlineStr">
        <is>
          <t>1136</t>
        </is>
      </c>
      <c r="D6" t="inlineStr">
        <is>
          <t>NiklaSelect</t>
        </is>
      </c>
      <c r="E6" t="n">
        <v>70</v>
      </c>
      <c r="F6" t="n">
        <v>100</v>
      </c>
      <c r="G6" t="n">
        <v>90</v>
      </c>
      <c r="H6" t="n">
        <v>200</v>
      </c>
      <c r="I6" t="inlineStr">
        <is>
          <t>1202/26</t>
        </is>
      </c>
      <c r="J6" t="inlineStr"/>
      <c r="K6" t="inlineStr">
        <is>
          <t xml:space="preserve">Simon </t>
        </is>
      </c>
      <c r="L6" t="inlineStr">
        <is>
          <t>Voda Rogla</t>
        </is>
      </c>
    </row>
    <row r="7">
      <c r="A7" t="inlineStr">
        <is>
          <t>20. 08. 2026</t>
        </is>
      </c>
      <c r="B7" t="inlineStr">
        <is>
          <t>ODPIS</t>
        </is>
      </c>
      <c r="C7" t="inlineStr">
        <is>
          <t>1136</t>
        </is>
      </c>
      <c r="D7" t="inlineStr">
        <is>
          <t>NiklaSelect</t>
        </is>
      </c>
      <c r="E7" t="n">
        <v>70</v>
      </c>
      <c r="F7" t="n">
        <v>100</v>
      </c>
      <c r="G7" t="n">
        <v>90</v>
      </c>
      <c r="H7" t="n">
        <v>325</v>
      </c>
      <c r="I7" t="inlineStr">
        <is>
          <t>1201/26</t>
        </is>
      </c>
      <c r="J7" t="inlineStr"/>
      <c r="K7" t="inlineStr">
        <is>
          <t xml:space="preserve">Simon </t>
        </is>
      </c>
      <c r="L7" t="inlineStr">
        <is>
          <t>Voda Rogla</t>
        </is>
      </c>
    </row>
    <row r="8">
      <c r="A8" t="inlineStr">
        <is>
          <t>20. 08. 2026</t>
        </is>
      </c>
      <c r="B8" t="inlineStr">
        <is>
          <t>ODPIS</t>
        </is>
      </c>
      <c r="C8" t="inlineStr">
        <is>
          <t>1136</t>
        </is>
      </c>
      <c r="D8" t="inlineStr">
        <is>
          <t>NiklaSelect</t>
        </is>
      </c>
      <c r="E8" t="n">
        <v>70</v>
      </c>
      <c r="F8" t="n">
        <v>100</v>
      </c>
      <c r="G8" t="n">
        <v>90</v>
      </c>
      <c r="H8" t="n">
        <v>325</v>
      </c>
      <c r="I8" t="inlineStr">
        <is>
          <t>1200/26</t>
        </is>
      </c>
      <c r="J8" t="inlineStr"/>
      <c r="K8" t="inlineStr">
        <is>
          <t xml:space="preserve">Simon </t>
        </is>
      </c>
      <c r="L8" t="inlineStr">
        <is>
          <t>Voda Rogla</t>
        </is>
      </c>
    </row>
    <row r="9">
      <c r="A9" t="inlineStr">
        <is>
          <t>20. 08. 2026</t>
        </is>
      </c>
      <c r="B9" t="inlineStr">
        <is>
          <t>ODPIS</t>
        </is>
      </c>
      <c r="C9" t="inlineStr">
        <is>
          <t>1136</t>
        </is>
      </c>
      <c r="D9" t="inlineStr">
        <is>
          <t>NiklaSelect</t>
        </is>
      </c>
      <c r="E9" t="n">
        <v>70</v>
      </c>
      <c r="F9" t="n">
        <v>100</v>
      </c>
      <c r="G9" t="n">
        <v>90</v>
      </c>
      <c r="H9" t="n">
        <v>650</v>
      </c>
      <c r="I9" t="inlineStr">
        <is>
          <t>1196/26</t>
        </is>
      </c>
      <c r="J9" t="inlineStr"/>
      <c r="K9" t="inlineStr">
        <is>
          <t xml:space="preserve">Simon </t>
        </is>
      </c>
      <c r="L9" t="inlineStr">
        <is>
          <t>Dana</t>
        </is>
      </c>
    </row>
    <row r="10">
      <c r="A10" t="inlineStr">
        <is>
          <t>20. 08. 2026</t>
        </is>
      </c>
      <c r="B10" t="inlineStr">
        <is>
          <t>ODPIS</t>
        </is>
      </c>
      <c r="C10" t="inlineStr">
        <is>
          <t>1136</t>
        </is>
      </c>
      <c r="D10" t="inlineStr">
        <is>
          <t>NiklaSelect</t>
        </is>
      </c>
      <c r="E10" t="n">
        <v>70</v>
      </c>
      <c r="F10" t="n">
        <v>100</v>
      </c>
      <c r="G10" t="n">
        <v>90</v>
      </c>
      <c r="H10" t="n">
        <v>1050</v>
      </c>
      <c r="I10" t="inlineStr">
        <is>
          <t>1197/26</t>
        </is>
      </c>
      <c r="J10" t="inlineStr"/>
      <c r="K10" t="inlineStr">
        <is>
          <t xml:space="preserve">Simon </t>
        </is>
      </c>
      <c r="L10" t="inlineStr">
        <is>
          <t>Dana</t>
        </is>
      </c>
    </row>
    <row r="11">
      <c r="A11" t="inlineStr">
        <is>
          <t>20. 08. 2026</t>
        </is>
      </c>
      <c r="B11" t="inlineStr">
        <is>
          <t>ODPIS</t>
        </is>
      </c>
      <c r="C11" t="inlineStr">
        <is>
          <t>1136</t>
        </is>
      </c>
      <c r="D11" t="inlineStr">
        <is>
          <t>NiklaSelect</t>
        </is>
      </c>
      <c r="E11" t="n">
        <v>70</v>
      </c>
      <c r="F11" t="n">
        <v>100</v>
      </c>
      <c r="G11" t="n">
        <v>90</v>
      </c>
      <c r="H11" t="n">
        <v>1580</v>
      </c>
      <c r="I11" t="inlineStr">
        <is>
          <t>1198/26</t>
        </is>
      </c>
      <c r="J11" t="inlineStr"/>
      <c r="K11" t="inlineStr">
        <is>
          <t xml:space="preserve">Simon </t>
        </is>
      </c>
      <c r="L11" t="inlineStr">
        <is>
          <t>Dana</t>
        </is>
      </c>
    </row>
    <row r="12">
      <c r="A12" t="inlineStr">
        <is>
          <t>20. 08. 2026</t>
        </is>
      </c>
      <c r="B12" t="inlineStr">
        <is>
          <t>ODPIS</t>
        </is>
      </c>
      <c r="C12" t="inlineStr">
        <is>
          <t>1136</t>
        </is>
      </c>
      <c r="D12" t="inlineStr">
        <is>
          <t>NiklaSelect</t>
        </is>
      </c>
      <c r="E12" t="n">
        <v>70</v>
      </c>
      <c r="F12" t="n">
        <v>100</v>
      </c>
      <c r="G12" t="n">
        <v>90</v>
      </c>
      <c r="H12" t="n">
        <v>450</v>
      </c>
      <c r="I12" t="inlineStr">
        <is>
          <t>1199/26</t>
        </is>
      </c>
      <c r="J12" t="inlineStr"/>
      <c r="K12" t="inlineStr">
        <is>
          <t xml:space="preserve">Simon </t>
        </is>
      </c>
      <c r="L12" t="inlineStr">
        <is>
          <t>Dana</t>
        </is>
      </c>
    </row>
    <row r="13">
      <c r="A13" t="inlineStr">
        <is>
          <t>20. 08. 2026</t>
        </is>
      </c>
      <c r="B13" t="inlineStr">
        <is>
          <t>ODPIS</t>
        </is>
      </c>
      <c r="C13" t="inlineStr">
        <is>
          <t>1684</t>
        </is>
      </c>
      <c r="D13" t="inlineStr">
        <is>
          <t>STAFIX-statična folija BELA</t>
        </is>
      </c>
      <c r="E13" t="n">
        <v>65</v>
      </c>
      <c r="F13" t="n">
        <v>48</v>
      </c>
      <c r="G13" t="n">
        <v>250</v>
      </c>
      <c r="H13" t="n">
        <v>100</v>
      </c>
      <c r="I13" t="inlineStr">
        <is>
          <t>1107/26</t>
        </is>
      </c>
      <c r="J13" t="inlineStr"/>
      <c r="K13" t="inlineStr">
        <is>
          <t xml:space="preserve">Simon </t>
        </is>
      </c>
      <c r="L13" t="inlineStr">
        <is>
          <t>Bela design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2026-07-04T16:14:59Z</dcterms:created>
  <dcterms:modified xsi:type="dcterms:W3CDTF">2026-08-21T05:46:23Z</dcterms:modified>
  <cp:lastModifiedBy>Prodaja</cp:lastModifiedBy>
</cp:coreProperties>
</file>