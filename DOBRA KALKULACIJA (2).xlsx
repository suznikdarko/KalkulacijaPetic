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PC\OneDrive\Namizje\"/>
    </mc:Choice>
  </mc:AlternateContent>
  <bookViews>
    <workbookView xWindow="0" yWindow="0" windowWidth="28800" windowHeight="11790" activeTab="7"/>
  </bookViews>
  <sheets>
    <sheet name="PONUDBA" sheetId="13" r:id="rId1"/>
    <sheet name="PLASTIKA" sheetId="6" r:id="rId2"/>
    <sheet name="KLIŠE" sheetId="2" r:id="rId3"/>
    <sheet name=" UV ZUNANJI" sheetId="7" r:id="rId4"/>
    <sheet name="BROŠURE" sheetId="8" r:id="rId5"/>
    <sheet name="LETAKI DOPISI" sheetId="11" r:id="rId6"/>
    <sheet name="CENA MATERIALA" sheetId="14" r:id="rId7"/>
    <sheet name="PONUDBA (2)" sheetId="16" r:id="rId8"/>
  </sheets>
  <definedNames>
    <definedName name="_xlnm.Print_Area" localSheetId="0">PONUDBA!$A$1:$X$126</definedName>
    <definedName name="_xlnm.Print_Area" localSheetId="7">'PONUDBA (2)'!$A$1:$X$126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N37" i="16" l="1"/>
  <c r="CR37" i="16"/>
  <c r="BV37" i="16"/>
  <c r="BA37" i="16"/>
  <c r="AF37" i="16"/>
  <c r="G37" i="16"/>
  <c r="AB15" i="16"/>
  <c r="Z15" i="16"/>
  <c r="Z14" i="13"/>
  <c r="H47" i="16"/>
  <c r="S116" i="16"/>
  <c r="I116" i="16"/>
  <c r="S104" i="16"/>
  <c r="I104" i="16"/>
  <c r="P103" i="16"/>
  <c r="S92" i="16"/>
  <c r="I92" i="16"/>
  <c r="AD88" i="16"/>
  <c r="E88" i="16"/>
  <c r="DM81" i="16"/>
  <c r="DL88" i="16" s="1"/>
  <c r="CQ81" i="16"/>
  <c r="CP88" i="16" s="1"/>
  <c r="BU81" i="16"/>
  <c r="BT88" i="16" s="1"/>
  <c r="AZ81" i="16"/>
  <c r="AY88" i="16" s="1"/>
  <c r="AY81" i="16"/>
  <c r="AD81" i="16"/>
  <c r="O80" i="16"/>
  <c r="Q79" i="16" s="1"/>
  <c r="AM79" i="16"/>
  <c r="AM80" i="16" s="1"/>
  <c r="AO79" i="16" s="1"/>
  <c r="Q75" i="16"/>
  <c r="O74" i="16"/>
  <c r="Q74" i="16" s="1"/>
  <c r="BK73" i="16"/>
  <c r="BJ75" i="16" s="1"/>
  <c r="BI73" i="16"/>
  <c r="AP73" i="16"/>
  <c r="AO75" i="16" s="1"/>
  <c r="AM73" i="16"/>
  <c r="BH73" i="16" s="1"/>
  <c r="D72" i="16"/>
  <c r="F72" i="16" s="1"/>
  <c r="D71" i="16"/>
  <c r="F71" i="16" s="1"/>
  <c r="AX70" i="16"/>
  <c r="AX71" i="16" s="1"/>
  <c r="AZ71" i="16" s="1"/>
  <c r="AC70" i="16"/>
  <c r="AC71" i="16" s="1"/>
  <c r="AE71" i="16" s="1"/>
  <c r="DX69" i="16"/>
  <c r="DB69" i="16"/>
  <c r="CF69" i="16"/>
  <c r="BJ69" i="16"/>
  <c r="AO69" i="16"/>
  <c r="Q69" i="16"/>
  <c r="AX67" i="16"/>
  <c r="AZ67" i="16" s="1"/>
  <c r="D67" i="16"/>
  <c r="F67" i="16" s="1"/>
  <c r="AX66" i="16"/>
  <c r="AZ66" i="16" s="1"/>
  <c r="AC66" i="16"/>
  <c r="AE66" i="16" s="1"/>
  <c r="F66" i="16"/>
  <c r="BS65" i="16"/>
  <c r="CO65" i="16" s="1"/>
  <c r="AX65" i="16"/>
  <c r="AC65" i="16"/>
  <c r="AC67" i="16" s="1"/>
  <c r="AE67" i="16" s="1"/>
  <c r="BH64" i="16"/>
  <c r="BH65" i="16" s="1"/>
  <c r="BJ65" i="16" s="1"/>
  <c r="O64" i="16"/>
  <c r="Q64" i="16" s="1"/>
  <c r="O63" i="16"/>
  <c r="Q63" i="16" s="1"/>
  <c r="BH62" i="16"/>
  <c r="BH63" i="16" s="1"/>
  <c r="BJ63" i="16" s="1"/>
  <c r="AM62" i="16"/>
  <c r="AM64" i="16" s="1"/>
  <c r="D61" i="16"/>
  <c r="F61" i="16" s="1"/>
  <c r="AX60" i="16"/>
  <c r="AX61" i="16" s="1"/>
  <c r="AZ61" i="16" s="1"/>
  <c r="AC60" i="16"/>
  <c r="AC61" i="16" s="1"/>
  <c r="AE61" i="16" s="1"/>
  <c r="AM58" i="16"/>
  <c r="AM59" i="16" s="1"/>
  <c r="AO59" i="16" s="1"/>
  <c r="Q58" i="16"/>
  <c r="O58" i="16"/>
  <c r="O59" i="16" s="1"/>
  <c r="Q59" i="16" s="1"/>
  <c r="BH57" i="16"/>
  <c r="BH58" i="16" s="1"/>
  <c r="BH59" i="16" s="1"/>
  <c r="BJ59" i="16" s="1"/>
  <c r="AM57" i="16"/>
  <c r="AO58" i="16" s="1"/>
  <c r="AX56" i="16"/>
  <c r="BS56" i="16" s="1"/>
  <c r="AC56" i="16"/>
  <c r="AE56" i="16" s="1"/>
  <c r="F56" i="16"/>
  <c r="AX55" i="16"/>
  <c r="AC55" i="16"/>
  <c r="O54" i="16"/>
  <c r="Q54" i="16" s="1"/>
  <c r="DV53" i="16"/>
  <c r="DX53" i="16" s="1"/>
  <c r="CZ53" i="16"/>
  <c r="DB53" i="16" s="1"/>
  <c r="CD53" i="16"/>
  <c r="CF53" i="16" s="1"/>
  <c r="BJ53" i="16"/>
  <c r="BH53" i="16"/>
  <c r="AM53" i="16"/>
  <c r="AO53" i="16" s="1"/>
  <c r="O53" i="16"/>
  <c r="Q53" i="16" s="1"/>
  <c r="CD52" i="16"/>
  <c r="CD54" i="16" s="1"/>
  <c r="CF54" i="16" s="1"/>
  <c r="BH52" i="16"/>
  <c r="BH54" i="16" s="1"/>
  <c r="BJ54" i="16" s="1"/>
  <c r="AM52" i="16"/>
  <c r="AM54" i="16" s="1"/>
  <c r="AO54" i="16" s="1"/>
  <c r="O50" i="16"/>
  <c r="Q50" i="16" s="1"/>
  <c r="O49" i="16"/>
  <c r="Q49" i="16" s="1"/>
  <c r="DM48" i="16"/>
  <c r="DO48" i="16" s="1"/>
  <c r="CQ48" i="16"/>
  <c r="CS48" i="16" s="1"/>
  <c r="BU48" i="16"/>
  <c r="BW48" i="16" s="1"/>
  <c r="P105" i="16" s="1"/>
  <c r="AZ48" i="16"/>
  <c r="BB48" i="16" s="1"/>
  <c r="F105" i="16" s="1"/>
  <c r="AE48" i="16"/>
  <c r="AG48" i="16" s="1"/>
  <c r="P93" i="16" s="1"/>
  <c r="H48" i="16"/>
  <c r="F93" i="16" s="1"/>
  <c r="AE47" i="16"/>
  <c r="AZ47" i="16" s="1"/>
  <c r="O47" i="16"/>
  <c r="Q47" i="16" s="1"/>
  <c r="BH46" i="16"/>
  <c r="BH50" i="16" s="1"/>
  <c r="BJ50" i="16" s="1"/>
  <c r="AM46" i="16"/>
  <c r="AM50" i="16" s="1"/>
  <c r="AO50" i="16" s="1"/>
  <c r="AE46" i="16"/>
  <c r="AZ46" i="16" s="1"/>
  <c r="H46" i="16"/>
  <c r="DN40" i="16"/>
  <c r="DO40" i="16" s="1"/>
  <c r="CR40" i="16"/>
  <c r="CS40" i="16" s="1"/>
  <c r="BV40" i="16"/>
  <c r="BW40" i="16" s="1"/>
  <c r="BA40" i="16"/>
  <c r="BB40" i="16" s="1"/>
  <c r="AV40" i="16"/>
  <c r="BQ40" i="16" s="1"/>
  <c r="CM40" i="16" s="1"/>
  <c r="DI40" i="16" s="1"/>
  <c r="AF40" i="16"/>
  <c r="AG40" i="16" s="1"/>
  <c r="AA40" i="16"/>
  <c r="H40" i="16"/>
  <c r="BH38" i="16"/>
  <c r="BI38" i="16" s="1"/>
  <c r="BK38" i="16" s="1"/>
  <c r="AM38" i="16"/>
  <c r="AN38" i="16" s="1"/>
  <c r="AP38" i="16" s="1"/>
  <c r="P38" i="16"/>
  <c r="R38" i="16" s="1"/>
  <c r="BH37" i="16"/>
  <c r="BI37" i="16" s="1"/>
  <c r="BK37" i="16" s="1"/>
  <c r="AV37" i="16"/>
  <c r="BQ37" i="16" s="1"/>
  <c r="CM37" i="16" s="1"/>
  <c r="DI37" i="16" s="1"/>
  <c r="AM37" i="16"/>
  <c r="AN37" i="16" s="1"/>
  <c r="AP37" i="16" s="1"/>
  <c r="AA37" i="16"/>
  <c r="P37" i="16"/>
  <c r="R37" i="16" s="1"/>
  <c r="BH36" i="16"/>
  <c r="AM36" i="16"/>
  <c r="DO35" i="16"/>
  <c r="P115" i="16" s="1"/>
  <c r="CS35" i="16"/>
  <c r="F115" i="16" s="1"/>
  <c r="BW35" i="16"/>
  <c r="BB35" i="16"/>
  <c r="F103" i="16" s="1"/>
  <c r="AG35" i="16"/>
  <c r="P91" i="16" s="1"/>
  <c r="H35" i="16"/>
  <c r="F91" i="16" s="1"/>
  <c r="P32" i="16"/>
  <c r="P31" i="16"/>
  <c r="R29" i="16"/>
  <c r="S24" i="16"/>
  <c r="R24" i="16"/>
  <c r="M29" i="16"/>
  <c r="M31" i="16" s="1"/>
  <c r="J29" i="16"/>
  <c r="J31" i="16" s="1"/>
  <c r="J32" i="16" s="1"/>
  <c r="G29" i="16"/>
  <c r="G31" i="16" s="1"/>
  <c r="G32" i="16" s="1"/>
  <c r="M18" i="16"/>
  <c r="M20" i="16" s="1"/>
  <c r="M21" i="16" s="1"/>
  <c r="J18" i="16"/>
  <c r="J20" i="16" s="1"/>
  <c r="J21" i="16" s="1"/>
  <c r="G18" i="16"/>
  <c r="G20" i="16" s="1"/>
  <c r="G21" i="16" s="1"/>
  <c r="R2" i="16"/>
  <c r="M32" i="16" l="1"/>
  <c r="BW37" i="16"/>
  <c r="BW42" i="16" s="1"/>
  <c r="AM47" i="16"/>
  <c r="AO47" i="16" s="1"/>
  <c r="AM74" i="16"/>
  <c r="AO74" i="16" s="1"/>
  <c r="BJ58" i="16"/>
  <c r="AG46" i="16"/>
  <c r="CD57" i="16"/>
  <c r="CF58" i="16" s="1"/>
  <c r="BI36" i="16"/>
  <c r="BK36" i="16" s="1"/>
  <c r="BL40" i="16" s="1"/>
  <c r="CZ52" i="16"/>
  <c r="DV52" i="16" s="1"/>
  <c r="DV54" i="16" s="1"/>
  <c r="DX54" i="16" s="1"/>
  <c r="BS70" i="16"/>
  <c r="BS72" i="16" s="1"/>
  <c r="BU72" i="16" s="1"/>
  <c r="BS66" i="16"/>
  <c r="CD36" i="16"/>
  <c r="H50" i="16"/>
  <c r="BS60" i="16"/>
  <c r="BS62" i="16" s="1"/>
  <c r="BU62" i="16" s="1"/>
  <c r="AX57" i="16"/>
  <c r="AZ57" i="16" s="1"/>
  <c r="AC57" i="16"/>
  <c r="AE57" i="16" s="1"/>
  <c r="BB37" i="16"/>
  <c r="BB42" i="16" s="1"/>
  <c r="BH47" i="16"/>
  <c r="BJ47" i="16" s="1"/>
  <c r="CD46" i="16"/>
  <c r="CD47" i="16" s="1"/>
  <c r="CF47" i="16" s="1"/>
  <c r="AM49" i="16"/>
  <c r="AO49" i="16" s="1"/>
  <c r="BH48" i="16"/>
  <c r="BJ48" i="16" s="1"/>
  <c r="AG37" i="16"/>
  <c r="AG42" i="16" s="1"/>
  <c r="AN36" i="16"/>
  <c r="AP36" i="16" s="1"/>
  <c r="AQ40" i="16" s="1"/>
  <c r="O65" i="16"/>
  <c r="Q65" i="16" s="1"/>
  <c r="O48" i="16"/>
  <c r="Q48" i="16" s="1"/>
  <c r="P36" i="16"/>
  <c r="R36" i="16" s="1"/>
  <c r="S40" i="16" s="1"/>
  <c r="CO56" i="16"/>
  <c r="CQ56" i="16" s="1"/>
  <c r="BU56" i="16"/>
  <c r="AZ56" i="16"/>
  <c r="BS55" i="16"/>
  <c r="BS57" i="16" s="1"/>
  <c r="CS37" i="16"/>
  <c r="CS42" i="16" s="1"/>
  <c r="BB47" i="16"/>
  <c r="BB50" i="16" s="1"/>
  <c r="BU47" i="16"/>
  <c r="BH74" i="16"/>
  <c r="BJ74" i="16" s="1"/>
  <c r="CD73" i="16"/>
  <c r="BU46" i="16"/>
  <c r="BB46" i="16"/>
  <c r="AO64" i="16"/>
  <c r="AM65" i="16"/>
  <c r="AO65" i="16" s="1"/>
  <c r="DK65" i="16"/>
  <c r="DK67" i="16" s="1"/>
  <c r="DM67" i="16" s="1"/>
  <c r="CO67" i="16"/>
  <c r="CQ67" i="16" s="1"/>
  <c r="F117" i="16"/>
  <c r="CD38" i="16"/>
  <c r="CZ54" i="16"/>
  <c r="DB54" i="16" s="1"/>
  <c r="CO60" i="16"/>
  <c r="BS61" i="16"/>
  <c r="BU61" i="16" s="1"/>
  <c r="AC62" i="16"/>
  <c r="AE62" i="16" s="1"/>
  <c r="CD62" i="16"/>
  <c r="BJ64" i="16"/>
  <c r="CO70" i="16"/>
  <c r="AC72" i="16"/>
  <c r="AE72" i="16" s="1"/>
  <c r="CG73" i="16"/>
  <c r="BH79" i="16"/>
  <c r="CD37" i="16"/>
  <c r="AG47" i="16"/>
  <c r="AM48" i="16"/>
  <c r="AO48" i="16" s="1"/>
  <c r="BH49" i="16"/>
  <c r="BJ49" i="16" s="1"/>
  <c r="AM63" i="16"/>
  <c r="AO63" i="16" s="1"/>
  <c r="BS67" i="16"/>
  <c r="BU67" i="16" s="1"/>
  <c r="H37" i="16"/>
  <c r="H42" i="16" s="1"/>
  <c r="AX72" i="16"/>
  <c r="AZ72" i="16" s="1"/>
  <c r="AX62" i="16"/>
  <c r="AZ62" i="16" s="1"/>
  <c r="D57" i="16"/>
  <c r="F57" i="16" s="1"/>
  <c r="D62" i="16"/>
  <c r="F62" i="16" s="1"/>
  <c r="H47" i="13"/>
  <c r="J14" i="13"/>
  <c r="J16" i="13" s="1"/>
  <c r="J17" i="13" s="1"/>
  <c r="G14" i="13"/>
  <c r="G16" i="13" s="1"/>
  <c r="G17" i="13" s="1"/>
  <c r="DO47" i="13"/>
  <c r="CS47" i="13"/>
  <c r="BW47" i="13"/>
  <c r="BB47" i="13"/>
  <c r="AG47" i="13"/>
  <c r="DO37" i="16" l="1"/>
  <c r="DO42" i="16" s="1"/>
  <c r="CZ57" i="16"/>
  <c r="CZ58" i="16" s="1"/>
  <c r="CZ59" i="16" s="1"/>
  <c r="DB59" i="16" s="1"/>
  <c r="CD58" i="16"/>
  <c r="CD59" i="16" s="1"/>
  <c r="CF59" i="16" s="1"/>
  <c r="BS71" i="16"/>
  <c r="BU71" i="16" s="1"/>
  <c r="CZ36" i="16"/>
  <c r="CE36" i="16"/>
  <c r="CG36" i="16" s="1"/>
  <c r="CD48" i="16"/>
  <c r="CF48" i="16" s="1"/>
  <c r="CO66" i="16"/>
  <c r="BU66" i="16"/>
  <c r="DK56" i="16"/>
  <c r="DM56" i="16" s="1"/>
  <c r="CD49" i="16"/>
  <c r="CF49" i="16" s="1"/>
  <c r="CD50" i="16"/>
  <c r="CF50" i="16" s="1"/>
  <c r="CZ46" i="16"/>
  <c r="DV46" i="16" s="1"/>
  <c r="AF75" i="16"/>
  <c r="P94" i="16" s="1"/>
  <c r="F95" i="16"/>
  <c r="G75" i="16"/>
  <c r="F94" i="16" s="1"/>
  <c r="BU57" i="16"/>
  <c r="BV75" i="16" s="1"/>
  <c r="P106" i="16" s="1"/>
  <c r="CO55" i="16"/>
  <c r="CO57" i="16" s="1"/>
  <c r="CO61" i="16"/>
  <c r="CQ61" i="16" s="1"/>
  <c r="CO62" i="16"/>
  <c r="CQ62" i="16" s="1"/>
  <c r="DK60" i="16"/>
  <c r="BA75" i="16"/>
  <c r="F106" i="16" s="1"/>
  <c r="CO72" i="16"/>
  <c r="CQ72" i="16" s="1"/>
  <c r="CO71" i="16"/>
  <c r="CQ71" i="16" s="1"/>
  <c r="DK70" i="16"/>
  <c r="BW46" i="16"/>
  <c r="CQ46" i="16"/>
  <c r="F107" i="16"/>
  <c r="P95" i="16"/>
  <c r="AG50" i="16"/>
  <c r="CZ38" i="16"/>
  <c r="CE38" i="16"/>
  <c r="CG38" i="16" s="1"/>
  <c r="CD74" i="16"/>
  <c r="CF74" i="16" s="1"/>
  <c r="CZ73" i="16"/>
  <c r="CZ37" i="16"/>
  <c r="CE37" i="16"/>
  <c r="CG37" i="16" s="1"/>
  <c r="CD63" i="16"/>
  <c r="CF63" i="16" s="1"/>
  <c r="CZ62" i="16"/>
  <c r="CD64" i="16"/>
  <c r="P117" i="16"/>
  <c r="DB58" i="16"/>
  <c r="BH80" i="16"/>
  <c r="BJ79" i="16" s="1"/>
  <c r="CD79" i="16"/>
  <c r="DC73" i="16"/>
  <c r="CF75" i="16"/>
  <c r="CQ47" i="16"/>
  <c r="BW47" i="16"/>
  <c r="BW50" i="16" s="1"/>
  <c r="F4" i="14"/>
  <c r="I4" i="14" s="1"/>
  <c r="L4" i="14" s="1"/>
  <c r="DV57" i="16" l="1"/>
  <c r="DX58" i="16" s="1"/>
  <c r="DK66" i="16"/>
  <c r="DM66" i="16" s="1"/>
  <c r="CQ66" i="16"/>
  <c r="DA36" i="16"/>
  <c r="DC36" i="16" s="1"/>
  <c r="DV36" i="16"/>
  <c r="DW36" i="16" s="1"/>
  <c r="DY36" i="16" s="1"/>
  <c r="CH40" i="16"/>
  <c r="CZ47" i="16"/>
  <c r="DB47" i="16" s="1"/>
  <c r="CZ49" i="16"/>
  <c r="DB49" i="16" s="1"/>
  <c r="CZ48" i="16"/>
  <c r="DB48" i="16" s="1"/>
  <c r="CZ50" i="16"/>
  <c r="DB50" i="16" s="1"/>
  <c r="DK55" i="16"/>
  <c r="CQ57" i="16"/>
  <c r="CR75" i="16" s="1"/>
  <c r="F118" i="16" s="1"/>
  <c r="CZ79" i="16"/>
  <c r="CD80" i="16"/>
  <c r="CF79" i="16" s="1"/>
  <c r="DV58" i="16"/>
  <c r="DV59" i="16" s="1"/>
  <c r="DX59" i="16" s="1"/>
  <c r="DK62" i="16"/>
  <c r="DM62" i="16" s="1"/>
  <c r="DK61" i="16"/>
  <c r="DM61" i="16" s="1"/>
  <c r="CZ74" i="16"/>
  <c r="DB74" i="16" s="1"/>
  <c r="DV73" i="16"/>
  <c r="DV74" i="16" s="1"/>
  <c r="DX74" i="16" s="1"/>
  <c r="DV38" i="16"/>
  <c r="DW38" i="16" s="1"/>
  <c r="DY38" i="16" s="1"/>
  <c r="DA38" i="16"/>
  <c r="DC38" i="16" s="1"/>
  <c r="DM46" i="16"/>
  <c r="DO46" i="16" s="1"/>
  <c r="CS46" i="16"/>
  <c r="DV37" i="16"/>
  <c r="DW37" i="16" s="1"/>
  <c r="DY37" i="16" s="1"/>
  <c r="DA37" i="16"/>
  <c r="DC37" i="16" s="1"/>
  <c r="DY73" i="16"/>
  <c r="DX75" i="16" s="1"/>
  <c r="DB75" i="16"/>
  <c r="CF64" i="16"/>
  <c r="CD65" i="16"/>
  <c r="CF65" i="16" s="1"/>
  <c r="DK71" i="16"/>
  <c r="DM71" i="16" s="1"/>
  <c r="DK72" i="16"/>
  <c r="DM72" i="16" s="1"/>
  <c r="CS47" i="16"/>
  <c r="CS50" i="16" s="1"/>
  <c r="DM47" i="16"/>
  <c r="DO47" i="16" s="1"/>
  <c r="DV62" i="16"/>
  <c r="CZ64" i="16"/>
  <c r="CZ63" i="16"/>
  <c r="DB63" i="16" s="1"/>
  <c r="DV50" i="16"/>
  <c r="DX50" i="16" s="1"/>
  <c r="DV49" i="16"/>
  <c r="DX49" i="16" s="1"/>
  <c r="DV47" i="16"/>
  <c r="DX47" i="16" s="1"/>
  <c r="DV48" i="16"/>
  <c r="DX48" i="16" s="1"/>
  <c r="H4" i="14"/>
  <c r="K4" i="14" l="1"/>
  <c r="AB17" i="16"/>
  <c r="P107" i="16"/>
  <c r="DK57" i="16"/>
  <c r="DM57" i="16" s="1"/>
  <c r="DN75" i="16" s="1"/>
  <c r="P118" i="16" s="1"/>
  <c r="DD40" i="16"/>
  <c r="DZ40" i="16"/>
  <c r="DV79" i="16"/>
  <c r="DV80" i="16" s="1"/>
  <c r="DX79" i="16" s="1"/>
  <c r="CZ80" i="16"/>
  <c r="DB79" i="16" s="1"/>
  <c r="DB64" i="16"/>
  <c r="CZ65" i="16"/>
  <c r="DB65" i="16" s="1"/>
  <c r="DV64" i="16"/>
  <c r="DV63" i="16"/>
  <c r="DX63" i="16" s="1"/>
  <c r="DO50" i="16"/>
  <c r="H7" i="2"/>
  <c r="O4" i="2" s="1"/>
  <c r="F119" i="16" l="1"/>
  <c r="DV65" i="16"/>
  <c r="DX65" i="16" s="1"/>
  <c r="DX64" i="16"/>
  <c r="O8" i="2"/>
  <c r="P119" i="16" l="1"/>
  <c r="D61" i="13"/>
  <c r="F66" i="13" l="1"/>
  <c r="D67" i="13"/>
  <c r="F67" i="13" s="1"/>
  <c r="P32" i="13" l="1"/>
  <c r="R2" i="13" l="1"/>
  <c r="DV53" i="13" l="1"/>
  <c r="CZ53" i="13"/>
  <c r="CD53" i="13"/>
  <c r="BH53" i="13"/>
  <c r="AM53" i="13"/>
  <c r="O53" i="13"/>
  <c r="H6" i="2" l="1"/>
  <c r="H8" i="2" l="1"/>
  <c r="O5" i="2" s="1"/>
  <c r="S49" i="16" s="1"/>
  <c r="O47" i="13"/>
  <c r="CH49" i="16" l="1"/>
  <c r="DD49" i="16"/>
  <c r="DZ49" i="16"/>
  <c r="AQ49" i="16"/>
  <c r="BL49" i="16"/>
  <c r="F96" i="16"/>
  <c r="R82" i="16"/>
  <c r="R86" i="16" s="1"/>
  <c r="BG12" i="11"/>
  <c r="AJ18" i="11"/>
  <c r="BG13" i="11"/>
  <c r="BN9" i="11"/>
  <c r="BN8" i="11"/>
  <c r="AK14" i="8"/>
  <c r="AK15" i="8"/>
  <c r="P108" i="16" l="1"/>
  <c r="CG82" i="16"/>
  <c r="CG86" i="16" s="1"/>
  <c r="G15" i="16"/>
  <c r="G16" i="16" s="1"/>
  <c r="G17" i="16" s="1"/>
  <c r="F92" i="16"/>
  <c r="I96" i="16"/>
  <c r="F108" i="16"/>
  <c r="BK82" i="16"/>
  <c r="BK86" i="16" s="1"/>
  <c r="P96" i="16"/>
  <c r="AP82" i="16"/>
  <c r="AP86" i="16" s="1"/>
  <c r="P120" i="16"/>
  <c r="DY82" i="16"/>
  <c r="DY86" i="16" s="1"/>
  <c r="DC82" i="16"/>
  <c r="DC86" i="16" s="1"/>
  <c r="F120" i="16"/>
  <c r="HJ68" i="8"/>
  <c r="FW68" i="8"/>
  <c r="EJ68" i="8"/>
  <c r="CX68" i="8"/>
  <c r="BM68" i="8"/>
  <c r="AB68" i="8"/>
  <c r="HF68" i="8"/>
  <c r="FS68" i="8"/>
  <c r="EF68" i="8"/>
  <c r="CT68" i="8"/>
  <c r="BI68" i="8"/>
  <c r="F104" i="16" l="1"/>
  <c r="I108" i="16" s="1"/>
  <c r="M15" i="16"/>
  <c r="M16" i="16" s="1"/>
  <c r="M17" i="16" s="1"/>
  <c r="F116" i="16"/>
  <c r="I120" i="16" s="1"/>
  <c r="I25" i="16"/>
  <c r="I26" i="16" s="1"/>
  <c r="I27" i="16" s="1"/>
  <c r="I94" i="16"/>
  <c r="I93" i="16"/>
  <c r="E100" i="16"/>
  <c r="G100" i="16" s="1"/>
  <c r="E99" i="16"/>
  <c r="G99" i="16" s="1"/>
  <c r="I95" i="16"/>
  <c r="G25" i="16"/>
  <c r="G26" i="16" s="1"/>
  <c r="G27" i="16" s="1"/>
  <c r="P104" i="16"/>
  <c r="P116" i="16"/>
  <c r="M25" i="16"/>
  <c r="M26" i="16" s="1"/>
  <c r="M27" i="16" s="1"/>
  <c r="P92" i="16"/>
  <c r="S96" i="16" s="1"/>
  <c r="I15" i="16"/>
  <c r="I16" i="16" s="1"/>
  <c r="I17" i="16" s="1"/>
  <c r="P31" i="13"/>
  <c r="S118" i="16" l="1"/>
  <c r="S119" i="16"/>
  <c r="P124" i="16"/>
  <c r="R124" i="16" s="1"/>
  <c r="P123" i="16"/>
  <c r="R123" i="16" s="1"/>
  <c r="S117" i="16"/>
  <c r="P111" i="16"/>
  <c r="R111" i="16" s="1"/>
  <c r="S107" i="16"/>
  <c r="S106" i="16"/>
  <c r="S105" i="16"/>
  <c r="P112" i="16"/>
  <c r="R112" i="16" s="1"/>
  <c r="S108" i="16"/>
  <c r="I117" i="16"/>
  <c r="I118" i="16"/>
  <c r="E124" i="16"/>
  <c r="G124" i="16" s="1"/>
  <c r="E123" i="16"/>
  <c r="G123" i="16" s="1"/>
  <c r="I119" i="16"/>
  <c r="S120" i="16"/>
  <c r="S95" i="16"/>
  <c r="P99" i="16"/>
  <c r="R99" i="16" s="1"/>
  <c r="S93" i="16"/>
  <c r="S94" i="16"/>
  <c r="P100" i="16"/>
  <c r="R100" i="16" s="1"/>
  <c r="I107" i="16"/>
  <c r="I106" i="16"/>
  <c r="E112" i="16"/>
  <c r="G112" i="16" s="1"/>
  <c r="E111" i="16"/>
  <c r="G111" i="16" s="1"/>
  <c r="I105" i="16"/>
  <c r="U32" i="8"/>
  <c r="U23" i="8"/>
  <c r="AB66" i="8" l="1"/>
  <c r="HF67" i="8"/>
  <c r="HJ67" i="8" s="1"/>
  <c r="HF66" i="8"/>
  <c r="HJ66" i="8" s="1"/>
  <c r="FS67" i="8"/>
  <c r="FW67" i="8" s="1"/>
  <c r="FS66" i="8"/>
  <c r="FW66" i="8" s="1"/>
  <c r="EF67" i="8"/>
  <c r="EJ67" i="8" s="1"/>
  <c r="EF66" i="8"/>
  <c r="EJ66" i="8" s="1"/>
  <c r="CT67" i="8"/>
  <c r="CX67" i="8" s="1"/>
  <c r="CT66" i="8"/>
  <c r="CX66" i="8" s="1"/>
  <c r="BI67" i="8"/>
  <c r="BM67" i="8" s="1"/>
  <c r="BI66" i="8"/>
  <c r="BM66" i="8" s="1"/>
  <c r="AB67" i="8"/>
  <c r="CQ48" i="8"/>
  <c r="CU48" i="8" s="1"/>
  <c r="HC48" i="8"/>
  <c r="HG48" i="8" s="1"/>
  <c r="FP23" i="8"/>
  <c r="FP28" i="8" s="1"/>
  <c r="FP48" i="8"/>
  <c r="FT48" i="8" s="1"/>
  <c r="EC48" i="8"/>
  <c r="EG48" i="8" s="1"/>
  <c r="BF23" i="8"/>
  <c r="BF28" i="8" s="1"/>
  <c r="HF61" i="8"/>
  <c r="HJ61" i="8" s="1"/>
  <c r="HF65" i="8"/>
  <c r="HJ65" i="8" s="1"/>
  <c r="HF64" i="8"/>
  <c r="HJ64" i="8" s="1"/>
  <c r="HF63" i="8"/>
  <c r="HJ63" i="8" s="1"/>
  <c r="HF62" i="8"/>
  <c r="HJ62" i="8" s="1"/>
  <c r="FS65" i="8"/>
  <c r="FW65" i="8" s="1"/>
  <c r="FS64" i="8"/>
  <c r="FW64" i="8" s="1"/>
  <c r="FS63" i="8"/>
  <c r="FW63" i="8" s="1"/>
  <c r="FS62" i="8"/>
  <c r="FW62" i="8" s="1"/>
  <c r="FS61" i="8"/>
  <c r="FW61" i="8" s="1"/>
  <c r="EF65" i="8"/>
  <c r="EJ65" i="8" s="1"/>
  <c r="EF64" i="8"/>
  <c r="EJ64" i="8" s="1"/>
  <c r="EF63" i="8"/>
  <c r="EJ63" i="8" s="1"/>
  <c r="EF62" i="8"/>
  <c r="EJ62" i="8" s="1"/>
  <c r="EF61" i="8"/>
  <c r="EJ61" i="8" s="1"/>
  <c r="CT65" i="8"/>
  <c r="CX65" i="8" s="1"/>
  <c r="CT64" i="8"/>
  <c r="CX64" i="8" s="1"/>
  <c r="CT63" i="8"/>
  <c r="CX63" i="8" s="1"/>
  <c r="CT62" i="8"/>
  <c r="CX62" i="8" s="1"/>
  <c r="CT61" i="8"/>
  <c r="CX61" i="8" s="1"/>
  <c r="BI65" i="8"/>
  <c r="BM65" i="8" s="1"/>
  <c r="BI64" i="8"/>
  <c r="BM64" i="8" s="1"/>
  <c r="BI63" i="8"/>
  <c r="BM63" i="8" s="1"/>
  <c r="BI62" i="8"/>
  <c r="BM62" i="8" s="1"/>
  <c r="BI61" i="8"/>
  <c r="BM61" i="8" s="1"/>
  <c r="X65" i="8"/>
  <c r="AB65" i="8" s="1"/>
  <c r="X64" i="8"/>
  <c r="AB64" i="8" s="1"/>
  <c r="X63" i="8"/>
  <c r="AB63" i="8" s="1"/>
  <c r="X62" i="8"/>
  <c r="AB62" i="8" s="1"/>
  <c r="AB61" i="8"/>
  <c r="HC56" i="8"/>
  <c r="FP56" i="8"/>
  <c r="FT56" i="8" s="1"/>
  <c r="EC56" i="8"/>
  <c r="EG56" i="8" s="1"/>
  <c r="CQ56" i="8"/>
  <c r="BF56" i="8"/>
  <c r="DN56" i="8"/>
  <c r="GM56" i="8"/>
  <c r="EZ56" i="8"/>
  <c r="DM56" i="8"/>
  <c r="CA56" i="8"/>
  <c r="CB56" i="8" s="1"/>
  <c r="AP56" i="8"/>
  <c r="AQ56" i="8" s="1"/>
  <c r="F56" i="8"/>
  <c r="EC32" i="8"/>
  <c r="EB37" i="8" s="1"/>
  <c r="FP52" i="8"/>
  <c r="EC52" i="8"/>
  <c r="BF52" i="8"/>
  <c r="U52" i="8"/>
  <c r="Y52" i="8" s="1"/>
  <c r="GN52" i="8"/>
  <c r="FA52" i="8"/>
  <c r="FE52" i="8" s="1"/>
  <c r="DN52" i="8"/>
  <c r="CB52" i="8"/>
  <c r="AQ52" i="8"/>
  <c r="F52" i="8"/>
  <c r="DN48" i="8"/>
  <c r="DR48" i="8" s="1"/>
  <c r="HC47" i="8"/>
  <c r="HG47" i="8" s="1"/>
  <c r="FP47" i="8"/>
  <c r="FT47" i="8" s="1"/>
  <c r="EC47" i="8"/>
  <c r="EG47" i="8" s="1"/>
  <c r="CQ47" i="8"/>
  <c r="CU47" i="8" s="1"/>
  <c r="BF47" i="8"/>
  <c r="BJ47" i="8" s="1"/>
  <c r="GN48" i="8"/>
  <c r="GR48" i="8" s="1"/>
  <c r="CB48" i="8"/>
  <c r="FA48" i="8"/>
  <c r="FE48" i="8" s="1"/>
  <c r="AQ48" i="8"/>
  <c r="HO25" i="8"/>
  <c r="HO24" i="8"/>
  <c r="GB25" i="8"/>
  <c r="GB24" i="8"/>
  <c r="EO25" i="8"/>
  <c r="EO24" i="8"/>
  <c r="DC25" i="8"/>
  <c r="DC24" i="8"/>
  <c r="DC27" i="8" s="1"/>
  <c r="BR25" i="8"/>
  <c r="BR24" i="8"/>
  <c r="AG25" i="8"/>
  <c r="EC23" i="8"/>
  <c r="EC28" i="8" s="1"/>
  <c r="GQ22" i="8"/>
  <c r="FD22" i="8"/>
  <c r="GR60" i="8"/>
  <c r="HG59" i="8"/>
  <c r="GN59" i="8"/>
  <c r="GR59" i="8" s="1"/>
  <c r="HC55" i="8"/>
  <c r="GR55" i="8"/>
  <c r="GN55" i="8"/>
  <c r="HB52" i="8"/>
  <c r="GM52" i="8"/>
  <c r="HC51" i="8"/>
  <c r="HC52" i="8" s="1"/>
  <c r="GN51" i="8"/>
  <c r="GR51" i="8" s="1"/>
  <c r="GN47" i="8"/>
  <c r="GR47" i="8" s="1"/>
  <c r="GM41" i="8"/>
  <c r="GM40" i="8"/>
  <c r="GW35" i="8"/>
  <c r="GM35" i="8"/>
  <c r="GW34" i="8"/>
  <c r="GM34" i="8"/>
  <c r="GW33" i="8"/>
  <c r="GM33" i="8"/>
  <c r="HB32" i="8"/>
  <c r="GW32" i="8"/>
  <c r="GM32" i="8"/>
  <c r="GT30" i="8" s="1"/>
  <c r="GW26" i="8"/>
  <c r="GM26" i="8"/>
  <c r="GW25" i="8"/>
  <c r="GM25" i="8"/>
  <c r="GW24" i="8"/>
  <c r="GM24" i="8"/>
  <c r="HC23" i="8"/>
  <c r="HC28" i="8" s="1"/>
  <c r="HB23" i="8"/>
  <c r="GW23" i="8"/>
  <c r="GM23" i="8"/>
  <c r="FE60" i="8"/>
  <c r="FT59" i="8"/>
  <c r="FA59" i="8"/>
  <c r="FE59" i="8" s="1"/>
  <c r="FP55" i="8"/>
  <c r="FA55" i="8"/>
  <c r="FE55" i="8" s="1"/>
  <c r="FO52" i="8"/>
  <c r="EZ52" i="8"/>
  <c r="FP51" i="8"/>
  <c r="FA51" i="8"/>
  <c r="FE51" i="8" s="1"/>
  <c r="FA47" i="8"/>
  <c r="FE47" i="8" s="1"/>
  <c r="EZ41" i="8"/>
  <c r="EZ40" i="8"/>
  <c r="FJ35" i="8"/>
  <c r="EZ35" i="8"/>
  <c r="FJ34" i="8"/>
  <c r="EZ34" i="8"/>
  <c r="FJ33" i="8"/>
  <c r="EZ33" i="8"/>
  <c r="FO32" i="8"/>
  <c r="FJ32" i="8"/>
  <c r="EZ32" i="8"/>
  <c r="FG30" i="8" s="1"/>
  <c r="FJ26" i="8"/>
  <c r="EZ26" i="8"/>
  <c r="FJ25" i="8"/>
  <c r="EZ25" i="8"/>
  <c r="FJ24" i="8"/>
  <c r="EZ24" i="8"/>
  <c r="FO23" i="8"/>
  <c r="FJ23" i="8"/>
  <c r="EZ23" i="8"/>
  <c r="DQ22" i="8"/>
  <c r="DR60" i="8"/>
  <c r="EG59" i="8"/>
  <c r="DR59" i="8"/>
  <c r="DN59" i="8"/>
  <c r="EC55" i="8"/>
  <c r="DN55" i="8"/>
  <c r="DR55" i="8" s="1"/>
  <c r="EB52" i="8"/>
  <c r="DM52" i="8"/>
  <c r="EC51" i="8"/>
  <c r="EG51" i="8" s="1"/>
  <c r="DN51" i="8"/>
  <c r="DN47" i="8"/>
  <c r="DR47" i="8" s="1"/>
  <c r="DM41" i="8"/>
  <c r="DM40" i="8"/>
  <c r="DW35" i="8"/>
  <c r="DM35" i="8"/>
  <c r="DW34" i="8"/>
  <c r="DM34" i="8"/>
  <c r="DW33" i="8"/>
  <c r="DM33" i="8"/>
  <c r="EB32" i="8"/>
  <c r="DW32" i="8"/>
  <c r="DM32" i="8"/>
  <c r="DT30" i="8" s="1"/>
  <c r="DW26" i="8"/>
  <c r="DM26" i="8"/>
  <c r="DW25" i="8"/>
  <c r="DM25" i="8"/>
  <c r="DW24" i="8"/>
  <c r="DM24" i="8"/>
  <c r="EB23" i="8"/>
  <c r="DW23" i="8"/>
  <c r="DM23" i="8"/>
  <c r="AV82" i="8"/>
  <c r="AB82" i="8"/>
  <c r="AB84" i="8" s="1"/>
  <c r="H82" i="8"/>
  <c r="CQ23" i="8"/>
  <c r="CQ28" i="8" s="1"/>
  <c r="CP23" i="8"/>
  <c r="BE23" i="8"/>
  <c r="U28" i="8"/>
  <c r="CP52" i="8"/>
  <c r="BE52" i="8"/>
  <c r="CQ51" i="8"/>
  <c r="CU51" i="8" s="1"/>
  <c r="BF51" i="8"/>
  <c r="BJ51" i="8" s="1"/>
  <c r="BF48" i="8"/>
  <c r="BJ48" i="8" s="1"/>
  <c r="Y59" i="8"/>
  <c r="Y51" i="8"/>
  <c r="Y47" i="8"/>
  <c r="FA56" i="8" l="1"/>
  <c r="GN56" i="8"/>
  <c r="BR27" i="8"/>
  <c r="EO27" i="8"/>
  <c r="EI69" i="8" s="1"/>
  <c r="HO27" i="8"/>
  <c r="HI69" i="8" s="1"/>
  <c r="GB27" i="8"/>
  <c r="FV69" i="8" s="1"/>
  <c r="HG51" i="8"/>
  <c r="CW69" i="8"/>
  <c r="BL69" i="8"/>
  <c r="CQ52" i="8"/>
  <c r="CU52" i="8" s="1"/>
  <c r="AV84" i="8"/>
  <c r="H84" i="8"/>
  <c r="HG56" i="8"/>
  <c r="GR56" i="8"/>
  <c r="FE56" i="8"/>
  <c r="DR56" i="8"/>
  <c r="HG52" i="8"/>
  <c r="FT52" i="8"/>
  <c r="EG52" i="8"/>
  <c r="GR52" i="8"/>
  <c r="DR52" i="8"/>
  <c r="FT51" i="8"/>
  <c r="DR51" i="8"/>
  <c r="BJ52" i="8"/>
  <c r="AV71" i="8"/>
  <c r="CU59" i="8"/>
  <c r="BJ59" i="8"/>
  <c r="CQ55" i="8"/>
  <c r="BF55" i="8"/>
  <c r="CF56" i="8"/>
  <c r="CF60" i="8"/>
  <c r="CB59" i="8"/>
  <c r="CF59" i="8" s="1"/>
  <c r="CB55" i="8"/>
  <c r="CF55" i="8" s="1"/>
  <c r="CA52" i="8"/>
  <c r="CB51" i="8"/>
  <c r="CF51" i="8" s="1"/>
  <c r="CB47" i="8"/>
  <c r="CF47" i="8" s="1"/>
  <c r="CA41" i="8"/>
  <c r="CA40" i="8"/>
  <c r="CP32" i="8"/>
  <c r="BE32" i="8"/>
  <c r="CK32" i="8"/>
  <c r="AZ32" i="8"/>
  <c r="CA32" i="8"/>
  <c r="CH30" i="8" s="1"/>
  <c r="AP32" i="8"/>
  <c r="AW30" i="8" s="1"/>
  <c r="CE22" i="8"/>
  <c r="CK35" i="8"/>
  <c r="CA35" i="8"/>
  <c r="CK34" i="8"/>
  <c r="CA34" i="8"/>
  <c r="CK33" i="8"/>
  <c r="CA33" i="8"/>
  <c r="CK26" i="8"/>
  <c r="CA26" i="8"/>
  <c r="CK25" i="8"/>
  <c r="CA25" i="8"/>
  <c r="CK24" i="8"/>
  <c r="CA24" i="8"/>
  <c r="CK23" i="8"/>
  <c r="CA23" i="8"/>
  <c r="AB71" i="8"/>
  <c r="AU56" i="8"/>
  <c r="AQ59" i="8"/>
  <c r="AU59" i="8" s="1"/>
  <c r="AQ55" i="8"/>
  <c r="AU55" i="8" s="1"/>
  <c r="AP52" i="8"/>
  <c r="AQ51" i="8"/>
  <c r="AQ47" i="8"/>
  <c r="AU47" i="8" s="1"/>
  <c r="AU60" i="8"/>
  <c r="H41" i="8"/>
  <c r="H40" i="8"/>
  <c r="AP41" i="8"/>
  <c r="AP40" i="8"/>
  <c r="AZ35" i="8"/>
  <c r="AZ34" i="8"/>
  <c r="AZ33" i="8"/>
  <c r="AP35" i="8"/>
  <c r="AP34" i="8"/>
  <c r="AP33" i="8"/>
  <c r="AZ25" i="8"/>
  <c r="AZ26" i="8"/>
  <c r="AZ24" i="8"/>
  <c r="AZ23" i="8"/>
  <c r="AP26" i="8"/>
  <c r="AP25" i="8"/>
  <c r="AP24" i="8"/>
  <c r="AP23" i="8"/>
  <c r="AT22" i="8"/>
  <c r="I22" i="8"/>
  <c r="H71" i="8"/>
  <c r="CD41" i="8" l="1"/>
  <c r="DP41" i="8"/>
  <c r="GP41" i="8"/>
  <c r="FC41" i="8"/>
  <c r="CD40" i="8"/>
  <c r="DP40" i="8"/>
  <c r="DP43" i="8" s="1"/>
  <c r="GP40" i="8"/>
  <c r="FC40" i="8"/>
  <c r="FC43" i="8" s="1"/>
  <c r="H86" i="8"/>
  <c r="HC32" i="8"/>
  <c r="CQ32" i="8"/>
  <c r="CP37" i="8" s="1"/>
  <c r="BF32" i="8"/>
  <c r="BE37" i="8" s="1"/>
  <c r="FP32" i="8"/>
  <c r="H87" i="8"/>
  <c r="AB86" i="8"/>
  <c r="GQ62" i="8"/>
  <c r="FD62" i="8"/>
  <c r="DQ62" i="8"/>
  <c r="AS41" i="8"/>
  <c r="CF52" i="8"/>
  <c r="AS40" i="8"/>
  <c r="CU56" i="8"/>
  <c r="BJ56" i="8"/>
  <c r="CF48" i="8"/>
  <c r="AU51" i="8"/>
  <c r="Y56" i="8"/>
  <c r="J60" i="8"/>
  <c r="J59" i="8"/>
  <c r="J56" i="8"/>
  <c r="J55" i="8"/>
  <c r="L30" i="8"/>
  <c r="AL21" i="8" s="1"/>
  <c r="O21" i="8"/>
  <c r="GP43" i="8" l="1"/>
  <c r="CD43" i="8"/>
  <c r="AV73" i="8" s="1"/>
  <c r="AS43" i="8"/>
  <c r="AB73" i="8" s="1"/>
  <c r="HB37" i="8"/>
  <c r="X16" i="8" s="1"/>
  <c r="X17" i="8" s="1"/>
  <c r="FO37" i="8"/>
  <c r="Q16" i="8" s="1"/>
  <c r="Q17" i="8" s="1"/>
  <c r="AV85" i="8"/>
  <c r="H85" i="8"/>
  <c r="J16" i="8"/>
  <c r="J17" i="8" s="1"/>
  <c r="AB85" i="8"/>
  <c r="AV86" i="8"/>
  <c r="CE62" i="8"/>
  <c r="X12" i="8" s="1"/>
  <c r="AV76" i="8"/>
  <c r="AB76" i="8"/>
  <c r="J51" i="8"/>
  <c r="J47" i="8"/>
  <c r="AV87" i="8" l="1"/>
  <c r="AB87" i="8"/>
  <c r="X13" i="8"/>
  <c r="AB75" i="8"/>
  <c r="AB83" i="8"/>
  <c r="AV83" i="8"/>
  <c r="H83" i="8"/>
  <c r="AX80" i="8"/>
  <c r="T37" i="8"/>
  <c r="AV75" i="8"/>
  <c r="J48" i="8"/>
  <c r="AU48" i="8"/>
  <c r="J52" i="8"/>
  <c r="AU52" i="8"/>
  <c r="H43" i="8"/>
  <c r="H73" i="8" s="1"/>
  <c r="J91" i="8" l="1"/>
  <c r="J90" i="8"/>
  <c r="AD90" i="8"/>
  <c r="AD91" i="8"/>
  <c r="AX91" i="8"/>
  <c r="AX90" i="8"/>
  <c r="BB88" i="8"/>
  <c r="BB85" i="8"/>
  <c r="BB87" i="8"/>
  <c r="BB84" i="8"/>
  <c r="BB86" i="8"/>
  <c r="AH88" i="8"/>
  <c r="AH87" i="8"/>
  <c r="AH84" i="8"/>
  <c r="AH86" i="8"/>
  <c r="AH85" i="8"/>
  <c r="N88" i="8"/>
  <c r="N84" i="8"/>
  <c r="N86" i="8"/>
  <c r="N87" i="8"/>
  <c r="N85" i="8"/>
  <c r="AT62" i="8"/>
  <c r="AV72" i="8"/>
  <c r="BB77" i="8" s="1"/>
  <c r="AX79" i="8"/>
  <c r="AV74" i="8"/>
  <c r="DM48" i="13"/>
  <c r="CQ48" i="13"/>
  <c r="BU48" i="13"/>
  <c r="AZ48" i="13"/>
  <c r="AE48" i="13"/>
  <c r="AB74" i="8" l="1"/>
  <c r="Q12" i="8"/>
  <c r="Q13" i="8" s="1"/>
  <c r="BB75" i="8"/>
  <c r="BB74" i="8"/>
  <c r="BB76" i="8"/>
  <c r="BB73" i="8"/>
  <c r="U7" i="6"/>
  <c r="O7" i="6"/>
  <c r="AG39" i="6" s="1"/>
  <c r="AL39" i="6" s="1"/>
  <c r="M7" i="6"/>
  <c r="M11" i="6"/>
  <c r="I11" i="6"/>
  <c r="G11" i="6"/>
  <c r="M9" i="6"/>
  <c r="I9" i="6"/>
  <c r="G9" i="6"/>
  <c r="P103" i="13"/>
  <c r="DN40" i="13"/>
  <c r="CR40" i="13"/>
  <c r="BV40" i="13"/>
  <c r="BA40" i="13"/>
  <c r="O18" i="6" l="1"/>
  <c r="X38" i="6"/>
  <c r="AC38" i="6" s="1"/>
  <c r="AG38" i="6"/>
  <c r="AG48" i="6" s="1"/>
  <c r="O38" i="6"/>
  <c r="T48" i="6" s="1"/>
  <c r="AD80" i="8"/>
  <c r="AB72" i="8"/>
  <c r="AH74" i="8" s="1"/>
  <c r="AD79" i="8"/>
  <c r="O39" i="6"/>
  <c r="T39" i="6" s="1"/>
  <c r="X39" i="6"/>
  <c r="AC39" i="6" s="1"/>
  <c r="AG49" i="6"/>
  <c r="AL49" i="6"/>
  <c r="M14" i="13"/>
  <c r="M16" i="13" s="1"/>
  <c r="M17" i="13" s="1"/>
  <c r="DO35" i="13"/>
  <c r="CS35" i="13"/>
  <c r="BW35" i="13"/>
  <c r="BB35" i="13"/>
  <c r="AG35" i="13"/>
  <c r="H35" i="13"/>
  <c r="D57" i="13" s="1"/>
  <c r="DX69" i="13"/>
  <c r="DO48" i="13"/>
  <c r="DB69" i="13"/>
  <c r="CS48" i="13"/>
  <c r="CF69" i="13"/>
  <c r="BW48" i="13"/>
  <c r="P105" i="13" s="1"/>
  <c r="S116" i="13"/>
  <c r="I116" i="13"/>
  <c r="S104" i="13"/>
  <c r="I104" i="13"/>
  <c r="S92" i="13"/>
  <c r="I92" i="13"/>
  <c r="E88" i="13"/>
  <c r="AY81" i="13"/>
  <c r="AD81" i="13"/>
  <c r="AM79" i="13"/>
  <c r="BH79" i="13" s="1"/>
  <c r="CD79" i="13" s="1"/>
  <c r="CZ79" i="13" s="1"/>
  <c r="DV79" i="13" s="1"/>
  <c r="BI73" i="13"/>
  <c r="AP73" i="13"/>
  <c r="BK73" i="13" s="1"/>
  <c r="CG73" i="13" s="1"/>
  <c r="DC73" i="13" s="1"/>
  <c r="DY73" i="13" s="1"/>
  <c r="AM73" i="13"/>
  <c r="D71" i="13"/>
  <c r="F71" i="13" s="1"/>
  <c r="AX70" i="13"/>
  <c r="BS70" i="13" s="1"/>
  <c r="CO70" i="13" s="1"/>
  <c r="DK70" i="13" s="1"/>
  <c r="DK71" i="13" s="1"/>
  <c r="DM71" i="13" s="1"/>
  <c r="AC70" i="13"/>
  <c r="AC71" i="13" s="1"/>
  <c r="AE71" i="13" s="1"/>
  <c r="BJ69" i="13"/>
  <c r="AO69" i="13"/>
  <c r="Q69" i="13"/>
  <c r="AX66" i="13"/>
  <c r="AZ66" i="13" s="1"/>
  <c r="AC66" i="13"/>
  <c r="AE66" i="13" s="1"/>
  <c r="AX65" i="13"/>
  <c r="AC65" i="13"/>
  <c r="AC67" i="13" s="1"/>
  <c r="AE67" i="13" s="1"/>
  <c r="O63" i="13"/>
  <c r="Q63" i="13" s="1"/>
  <c r="BH62" i="13"/>
  <c r="BH63" i="13" s="1"/>
  <c r="BJ63" i="13" s="1"/>
  <c r="AM62" i="13"/>
  <c r="F61" i="13"/>
  <c r="AX60" i="13"/>
  <c r="AX61" i="13" s="1"/>
  <c r="AC60" i="13"/>
  <c r="BH57" i="13"/>
  <c r="AM57" i="13"/>
  <c r="AX56" i="13"/>
  <c r="AC56" i="13"/>
  <c r="AE56" i="13" s="1"/>
  <c r="F56" i="13"/>
  <c r="AX55" i="13"/>
  <c r="BS55" i="13" s="1"/>
  <c r="CO55" i="13" s="1"/>
  <c r="DK55" i="13" s="1"/>
  <c r="AC55" i="13"/>
  <c r="Q53" i="13"/>
  <c r="BH52" i="13"/>
  <c r="AM52" i="13"/>
  <c r="AO53" i="13" s="1"/>
  <c r="H48" i="13"/>
  <c r="F93" i="13" s="1"/>
  <c r="AE47" i="13"/>
  <c r="AZ47" i="13" s="1"/>
  <c r="BU47" i="13" s="1"/>
  <c r="Q47" i="13"/>
  <c r="BH46" i="13"/>
  <c r="BH47" i="13" s="1"/>
  <c r="AM46" i="13"/>
  <c r="AE46" i="13"/>
  <c r="AG46" i="13" s="1"/>
  <c r="H46" i="13"/>
  <c r="AV40" i="13"/>
  <c r="BQ40" i="13" s="1"/>
  <c r="CM40" i="13" s="1"/>
  <c r="DI40" i="13" s="1"/>
  <c r="AF40" i="13"/>
  <c r="AA40" i="13"/>
  <c r="BH38" i="13"/>
  <c r="CD38" i="13" s="1"/>
  <c r="CZ38" i="13" s="1"/>
  <c r="AM38" i="13"/>
  <c r="BH37" i="13"/>
  <c r="CD37" i="13" s="1"/>
  <c r="BA37" i="13"/>
  <c r="AV37" i="13"/>
  <c r="BQ37" i="13" s="1"/>
  <c r="CM37" i="13" s="1"/>
  <c r="DI37" i="13" s="1"/>
  <c r="AM37" i="13"/>
  <c r="AN37" i="13" s="1"/>
  <c r="AP37" i="13" s="1"/>
  <c r="AF37" i="13"/>
  <c r="AG37" i="13" s="1"/>
  <c r="AA37" i="13"/>
  <c r="BH36" i="13"/>
  <c r="AM36" i="13"/>
  <c r="S24" i="13"/>
  <c r="R24" i="13"/>
  <c r="M24" i="13"/>
  <c r="M26" i="13" s="1"/>
  <c r="M27" i="13" s="1"/>
  <c r="J24" i="13"/>
  <c r="J26" i="13" s="1"/>
  <c r="J27" i="13" s="1"/>
  <c r="G24" i="13"/>
  <c r="G26" i="13" s="1"/>
  <c r="G27" i="13" s="1"/>
  <c r="CE37" i="13" l="1"/>
  <c r="BW40" i="13"/>
  <c r="CS40" i="13"/>
  <c r="DO40" i="13"/>
  <c r="BB40" i="13"/>
  <c r="BS65" i="13"/>
  <c r="AX67" i="13"/>
  <c r="AZ67" i="13" s="1"/>
  <c r="DA38" i="13"/>
  <c r="DC38" i="13" s="1"/>
  <c r="P36" i="13"/>
  <c r="R36" i="13" s="1"/>
  <c r="D62" i="13"/>
  <c r="F62" i="13" s="1"/>
  <c r="O49" i="13"/>
  <c r="Q49" i="13" s="1"/>
  <c r="O58" i="13"/>
  <c r="O59" i="13" s="1"/>
  <c r="Q59" i="13" s="1"/>
  <c r="DV38" i="13"/>
  <c r="DW38" i="13" s="1"/>
  <c r="DY38" i="13" s="1"/>
  <c r="AC61" i="13"/>
  <c r="AE61" i="13" s="1"/>
  <c r="AM58" i="13"/>
  <c r="AM59" i="13" s="1"/>
  <c r="AO59" i="13" s="1"/>
  <c r="CD57" i="13"/>
  <c r="BH58" i="13"/>
  <c r="BH59" i="13" s="1"/>
  <c r="BJ59" i="13" s="1"/>
  <c r="BI36" i="13"/>
  <c r="BK36" i="13" s="1"/>
  <c r="CQ81" i="13"/>
  <c r="CP88" i="13" s="1"/>
  <c r="BU81" i="13"/>
  <c r="BT88" i="13" s="1"/>
  <c r="AZ81" i="13"/>
  <c r="AY88" i="13" s="1"/>
  <c r="AD88" i="13"/>
  <c r="DM81" i="13"/>
  <c r="DL88" i="13" s="1"/>
  <c r="H37" i="13"/>
  <c r="AG40" i="13"/>
  <c r="AG42" i="13" s="1"/>
  <c r="BB37" i="13"/>
  <c r="O50" i="13"/>
  <c r="Q50" i="13" s="1"/>
  <c r="H40" i="13"/>
  <c r="BH54" i="13"/>
  <c r="BJ54" i="13" s="1"/>
  <c r="P91" i="13"/>
  <c r="AM54" i="13"/>
  <c r="AO54" i="13" s="1"/>
  <c r="D72" i="13"/>
  <c r="F72" i="13" s="1"/>
  <c r="O54" i="13"/>
  <c r="Q54" i="13" s="1"/>
  <c r="X48" i="6"/>
  <c r="AM50" i="6"/>
  <c r="AC48" i="6"/>
  <c r="AM64" i="13"/>
  <c r="DK57" i="13"/>
  <c r="DM57" i="13" s="1"/>
  <c r="O48" i="6"/>
  <c r="AL48" i="6"/>
  <c r="AM52" i="6" s="1"/>
  <c r="AL38" i="6"/>
  <c r="AM51" i="6" s="1"/>
  <c r="T38" i="6"/>
  <c r="DV80" i="13"/>
  <c r="DX79" i="13" s="1"/>
  <c r="AC57" i="13"/>
  <c r="AE57" i="13" s="1"/>
  <c r="AM48" i="13"/>
  <c r="AO48" i="13" s="1"/>
  <c r="AM47" i="13"/>
  <c r="AO47" i="13" s="1"/>
  <c r="BH50" i="13"/>
  <c r="BJ50" i="13" s="1"/>
  <c r="AM50" i="13"/>
  <c r="AO50" i="13" s="1"/>
  <c r="AH75" i="8"/>
  <c r="AH73" i="8"/>
  <c r="AH77" i="8"/>
  <c r="AH76" i="8"/>
  <c r="AZ46" i="13"/>
  <c r="BB46" i="13" s="1"/>
  <c r="BS66" i="13"/>
  <c r="BU66" i="13" s="1"/>
  <c r="AZ56" i="13"/>
  <c r="BS56" i="13"/>
  <c r="AZ61" i="13"/>
  <c r="BS60" i="13"/>
  <c r="BS71" i="13"/>
  <c r="BU71" i="13" s="1"/>
  <c r="CO71" i="13"/>
  <c r="CQ71" i="13" s="1"/>
  <c r="DK72" i="13"/>
  <c r="DM72" i="13" s="1"/>
  <c r="BS72" i="13"/>
  <c r="BU72" i="13" s="1"/>
  <c r="CD46" i="13"/>
  <c r="CD47" i="13" s="1"/>
  <c r="BH48" i="13"/>
  <c r="BJ48" i="13" s="1"/>
  <c r="H50" i="13"/>
  <c r="BV37" i="13"/>
  <c r="BW37" i="13" s="1"/>
  <c r="CO72" i="13"/>
  <c r="CQ72" i="13" s="1"/>
  <c r="P115" i="13"/>
  <c r="F115" i="13"/>
  <c r="CZ80" i="13"/>
  <c r="DB79" i="13" s="1"/>
  <c r="CO57" i="13"/>
  <c r="CQ57" i="13" s="1"/>
  <c r="CE38" i="13"/>
  <c r="CG38" i="13" s="1"/>
  <c r="BS57" i="13"/>
  <c r="BU57" i="13" s="1"/>
  <c r="CD80" i="13"/>
  <c r="CF79" i="13" s="1"/>
  <c r="AX72" i="13"/>
  <c r="AZ72" i="13" s="1"/>
  <c r="BI38" i="13"/>
  <c r="BK38" i="13" s="1"/>
  <c r="AX62" i="13"/>
  <c r="AZ62" i="13" s="1"/>
  <c r="BI37" i="13"/>
  <c r="BK37" i="13" s="1"/>
  <c r="AX57" i="13"/>
  <c r="AZ57" i="13" s="1"/>
  <c r="BH80" i="13"/>
  <c r="BJ79" i="13" s="1"/>
  <c r="O64" i="13"/>
  <c r="Q64" i="13" s="1"/>
  <c r="F91" i="13"/>
  <c r="O80" i="13"/>
  <c r="Q79" i="13" s="1"/>
  <c r="P38" i="13"/>
  <c r="R38" i="13" s="1"/>
  <c r="P37" i="13"/>
  <c r="R37" i="13" s="1"/>
  <c r="O48" i="13"/>
  <c r="Q48" i="13" s="1"/>
  <c r="BH73" i="13"/>
  <c r="X49" i="6"/>
  <c r="AC49" i="6"/>
  <c r="AD50" i="6" s="1"/>
  <c r="O49" i="6"/>
  <c r="T49" i="6"/>
  <c r="U50" i="6" s="1"/>
  <c r="AM80" i="13"/>
  <c r="AO79" i="13" s="1"/>
  <c r="BH64" i="13"/>
  <c r="BJ64" i="13" s="1"/>
  <c r="CD62" i="13"/>
  <c r="CZ62" i="13" s="1"/>
  <c r="CZ64" i="13" s="1"/>
  <c r="DB64" i="13" s="1"/>
  <c r="CD52" i="13"/>
  <c r="CZ52" i="13" s="1"/>
  <c r="CZ54" i="13" s="1"/>
  <c r="BJ53" i="13"/>
  <c r="BJ47" i="13"/>
  <c r="BH49" i="13"/>
  <c r="BJ49" i="13" s="1"/>
  <c r="AM49" i="13"/>
  <c r="AO49" i="13" s="1"/>
  <c r="BW50" i="13"/>
  <c r="F117" i="13" s="1"/>
  <c r="P117" i="13" s="1"/>
  <c r="CQ47" i="13"/>
  <c r="CG37" i="13"/>
  <c r="CZ37" i="13"/>
  <c r="DA37" i="13" s="1"/>
  <c r="AN36" i="13"/>
  <c r="AP36" i="13" s="1"/>
  <c r="CD36" i="13"/>
  <c r="CE36" i="13" s="1"/>
  <c r="F103" i="13"/>
  <c r="AN38" i="13"/>
  <c r="AP38" i="13" s="1"/>
  <c r="BB48" i="13"/>
  <c r="F105" i="13" s="1"/>
  <c r="AC62" i="13"/>
  <c r="AE62" i="13" s="1"/>
  <c r="AM63" i="13"/>
  <c r="AO63" i="13" s="1"/>
  <c r="AX71" i="13"/>
  <c r="AZ71" i="13" s="1"/>
  <c r="AC72" i="13"/>
  <c r="AE72" i="13" s="1"/>
  <c r="CO65" i="13" l="1"/>
  <c r="BS67" i="13"/>
  <c r="BU67" i="13" s="1"/>
  <c r="BS62" i="13"/>
  <c r="BU62" i="13" s="1"/>
  <c r="BS61" i="13"/>
  <c r="BU61" i="13" s="1"/>
  <c r="CZ57" i="13"/>
  <c r="CD58" i="13"/>
  <c r="CD59" i="13" s="1"/>
  <c r="CF59" i="13" s="1"/>
  <c r="AM65" i="13"/>
  <c r="AO65" i="13" s="1"/>
  <c r="AO64" i="13"/>
  <c r="H42" i="13"/>
  <c r="CD54" i="13"/>
  <c r="CF54" i="13" s="1"/>
  <c r="AN51" i="6"/>
  <c r="CD50" i="13"/>
  <c r="CF50" i="13" s="1"/>
  <c r="BB42" i="13"/>
  <c r="S40" i="13"/>
  <c r="BU46" i="13"/>
  <c r="BW46" i="13" s="1"/>
  <c r="CZ65" i="13"/>
  <c r="DB65" i="13" s="1"/>
  <c r="CO66" i="13"/>
  <c r="CQ66" i="13" s="1"/>
  <c r="CO56" i="13"/>
  <c r="BU56" i="13"/>
  <c r="CO60" i="13"/>
  <c r="CO61" i="13" s="1"/>
  <c r="BH65" i="13"/>
  <c r="BJ65" i="13" s="1"/>
  <c r="O65" i="13"/>
  <c r="Q65" i="13" s="1"/>
  <c r="DV62" i="13"/>
  <c r="CZ63" i="13"/>
  <c r="DB63" i="13" s="1"/>
  <c r="DV52" i="13"/>
  <c r="DV54" i="13" s="1"/>
  <c r="DB53" i="13"/>
  <c r="DB54" i="13"/>
  <c r="CZ46" i="13"/>
  <c r="CF47" i="13"/>
  <c r="CD48" i="13"/>
  <c r="CF48" i="13" s="1"/>
  <c r="CD49" i="13"/>
  <c r="CF49" i="13" s="1"/>
  <c r="CR37" i="13"/>
  <c r="CS37" i="13" s="1"/>
  <c r="BW42" i="13"/>
  <c r="BL40" i="13"/>
  <c r="Q58" i="13"/>
  <c r="CD73" i="13"/>
  <c r="AD52" i="6"/>
  <c r="U51" i="6"/>
  <c r="V51" i="6" s="1"/>
  <c r="AD51" i="6"/>
  <c r="AE51" i="6" s="1"/>
  <c r="U52" i="6"/>
  <c r="V52" i="6" s="1"/>
  <c r="CD63" i="13"/>
  <c r="CF63" i="13" s="1"/>
  <c r="CD64" i="13"/>
  <c r="CF64" i="13" s="1"/>
  <c r="BJ58" i="13"/>
  <c r="AO58" i="13"/>
  <c r="CF53" i="13"/>
  <c r="CS50" i="13"/>
  <c r="DM47" i="13"/>
  <c r="DO50" i="13" s="1"/>
  <c r="DC37" i="13"/>
  <c r="DV37" i="13"/>
  <c r="DW37" i="13" s="1"/>
  <c r="AQ40" i="13"/>
  <c r="CG36" i="13"/>
  <c r="CH40" i="13" s="1"/>
  <c r="CZ36" i="13"/>
  <c r="DA36" i="13" s="1"/>
  <c r="BA75" i="13"/>
  <c r="BB50" i="13"/>
  <c r="AF75" i="13"/>
  <c r="P94" i="13" s="1"/>
  <c r="CQ46" i="13" l="1"/>
  <c r="DK65" i="13"/>
  <c r="DK67" i="13" s="1"/>
  <c r="DM67" i="13" s="1"/>
  <c r="CO67" i="13"/>
  <c r="CQ67" i="13" s="1"/>
  <c r="CF58" i="13"/>
  <c r="DV57" i="13"/>
  <c r="CZ58" i="13"/>
  <c r="P95" i="13"/>
  <c r="F107" i="13"/>
  <c r="F95" i="13"/>
  <c r="CZ47" i="13"/>
  <c r="DB47" i="13" s="1"/>
  <c r="CZ50" i="13"/>
  <c r="DB50" i="13" s="1"/>
  <c r="BV75" i="13"/>
  <c r="P106" i="13" s="1"/>
  <c r="CS46" i="13"/>
  <c r="DM46" i="13"/>
  <c r="DO46" i="13" s="1"/>
  <c r="DK66" i="13"/>
  <c r="DM66" i="13" s="1"/>
  <c r="DK56" i="13"/>
  <c r="DM56" i="13" s="1"/>
  <c r="CQ56" i="13"/>
  <c r="DK60" i="13"/>
  <c r="DK61" i="13" s="1"/>
  <c r="CQ61" i="13"/>
  <c r="CO62" i="13"/>
  <c r="CQ62" i="13" s="1"/>
  <c r="DV63" i="13"/>
  <c r="DX63" i="13" s="1"/>
  <c r="DV64" i="13"/>
  <c r="DX64" i="13" s="1"/>
  <c r="DX54" i="13"/>
  <c r="DX53" i="13"/>
  <c r="DV46" i="13"/>
  <c r="DV50" i="13" s="1"/>
  <c r="CZ49" i="13"/>
  <c r="DB49" i="13" s="1"/>
  <c r="CZ48" i="13"/>
  <c r="DB48" i="13" s="1"/>
  <c r="DY37" i="13"/>
  <c r="DN37" i="13"/>
  <c r="DO37" i="13" s="1"/>
  <c r="CS42" i="13"/>
  <c r="CZ73" i="13"/>
  <c r="CD65" i="13"/>
  <c r="CF65" i="13" s="1"/>
  <c r="DV36" i="13"/>
  <c r="DC36" i="13"/>
  <c r="DD40" i="13" s="1"/>
  <c r="F106" i="13"/>
  <c r="DW36" i="13" l="1"/>
  <c r="DY36" i="13" s="1"/>
  <c r="DZ40" i="13" s="1"/>
  <c r="CZ59" i="13"/>
  <c r="DB59" i="13" s="1"/>
  <c r="DB58" i="13"/>
  <c r="DV58" i="13"/>
  <c r="DV59" i="13" s="1"/>
  <c r="DX59" i="13" s="1"/>
  <c r="P107" i="13"/>
  <c r="DO42" i="13"/>
  <c r="DX50" i="13"/>
  <c r="DV47" i="13"/>
  <c r="DX47" i="13" s="1"/>
  <c r="CR75" i="13"/>
  <c r="F118" i="13" s="1"/>
  <c r="DM61" i="13"/>
  <c r="DK62" i="13"/>
  <c r="DM62" i="13" s="1"/>
  <c r="DV65" i="13"/>
  <c r="DX65" i="13" s="1"/>
  <c r="DV49" i="13"/>
  <c r="DX49" i="13" s="1"/>
  <c r="DV48" i="13"/>
  <c r="DX48" i="13" s="1"/>
  <c r="DV73" i="13"/>
  <c r="DX58" i="13" l="1"/>
  <c r="P119" i="13" s="1"/>
  <c r="F119" i="13"/>
  <c r="DN75" i="13"/>
  <c r="P118" i="13" s="1"/>
  <c r="E38" i="11"/>
  <c r="I38" i="11" s="1"/>
  <c r="AN11" i="11"/>
  <c r="AG11" i="11"/>
  <c r="Z11" i="11"/>
  <c r="S11" i="11"/>
  <c r="L11" i="11"/>
  <c r="AJ19" i="11" s="1"/>
  <c r="AN10" i="11"/>
  <c r="AG10" i="11"/>
  <c r="Z10" i="11"/>
  <c r="S10" i="11"/>
  <c r="L10" i="11"/>
  <c r="V18" i="11" s="1"/>
  <c r="I34" i="11"/>
  <c r="E28" i="11"/>
  <c r="I28" i="11" s="1"/>
  <c r="I27" i="11"/>
  <c r="H30" i="11" s="1"/>
  <c r="V19" i="11" l="1"/>
  <c r="V23" i="11" s="1"/>
  <c r="E39" i="11"/>
  <c r="I39" i="11" s="1"/>
  <c r="E35" i="11"/>
  <c r="I35" i="11" s="1"/>
  <c r="AJ23" i="11"/>
  <c r="AL13" i="11"/>
  <c r="AL14" i="11" s="1"/>
  <c r="AE13" i="11"/>
  <c r="AE14" i="11" s="1"/>
  <c r="X13" i="11"/>
  <c r="X14" i="11" s="1"/>
  <c r="Q13" i="11"/>
  <c r="Q14" i="11" s="1"/>
  <c r="J13" i="11"/>
  <c r="J14" i="11" s="1"/>
  <c r="CT8" i="8"/>
  <c r="AG24" i="8" s="1"/>
  <c r="AG27" i="8" s="1"/>
  <c r="AA69" i="8" s="1"/>
  <c r="H76" i="8" l="1"/>
  <c r="E92" i="7"/>
  <c r="E91" i="7"/>
  <c r="E90" i="7"/>
  <c r="E89" i="7"/>
  <c r="E88" i="7"/>
  <c r="E85" i="7"/>
  <c r="E84" i="7"/>
  <c r="E83" i="7"/>
  <c r="E82" i="7"/>
  <c r="E81" i="7"/>
  <c r="E78" i="7"/>
  <c r="E77" i="7"/>
  <c r="E76" i="7"/>
  <c r="E75" i="7"/>
  <c r="E74" i="7"/>
  <c r="B71" i="7"/>
  <c r="E71" i="7" s="1"/>
  <c r="B70" i="7"/>
  <c r="E70" i="7" s="1"/>
  <c r="B69" i="7"/>
  <c r="E69" i="7" s="1"/>
  <c r="B68" i="7"/>
  <c r="E68" i="7" s="1"/>
  <c r="B67" i="7"/>
  <c r="E67" i="7" s="1"/>
  <c r="E64" i="7"/>
  <c r="B64" i="7"/>
  <c r="B63" i="7"/>
  <c r="E63" i="7" s="1"/>
  <c r="B62" i="7"/>
  <c r="E62" i="7" s="1"/>
  <c r="B61" i="7"/>
  <c r="E61" i="7" s="1"/>
  <c r="B60" i="7"/>
  <c r="E60" i="7" s="1"/>
  <c r="B56" i="7"/>
  <c r="E56" i="7" s="1"/>
  <c r="B55" i="7"/>
  <c r="E55" i="7" s="1"/>
  <c r="B54" i="7"/>
  <c r="E54" i="7" s="1"/>
  <c r="B53" i="7"/>
  <c r="E53" i="7" s="1"/>
  <c r="B52" i="7"/>
  <c r="E52" i="7" s="1"/>
  <c r="B49" i="7"/>
  <c r="E49" i="7" s="1"/>
  <c r="B48" i="7"/>
  <c r="E48" i="7" s="1"/>
  <c r="B47" i="7"/>
  <c r="E47" i="7" s="1"/>
  <c r="B46" i="7"/>
  <c r="E46" i="7" s="1"/>
  <c r="B45" i="7"/>
  <c r="E45" i="7" s="1"/>
  <c r="B41" i="7"/>
  <c r="E41" i="7" s="1"/>
  <c r="E40" i="7"/>
  <c r="B40" i="7"/>
  <c r="B39" i="7"/>
  <c r="E39" i="7" s="1"/>
  <c r="B38" i="7"/>
  <c r="E38" i="7" s="1"/>
  <c r="B37" i="7"/>
  <c r="E37" i="7" s="1"/>
  <c r="E34" i="7"/>
  <c r="E33" i="7"/>
  <c r="E32" i="7"/>
  <c r="E31" i="7"/>
  <c r="E30" i="7"/>
  <c r="E24" i="7"/>
  <c r="E23" i="7"/>
  <c r="E22" i="7"/>
  <c r="E21" i="7"/>
  <c r="E15" i="7"/>
  <c r="D15" i="7"/>
  <c r="E14" i="7"/>
  <c r="D14" i="7"/>
  <c r="E13" i="7"/>
  <c r="D13" i="7"/>
  <c r="N12" i="7"/>
  <c r="I12" i="7"/>
  <c r="E12" i="7"/>
  <c r="D12" i="7"/>
  <c r="E11" i="7"/>
  <c r="D11" i="7"/>
  <c r="N10" i="7"/>
  <c r="I10" i="7"/>
  <c r="E10" i="7"/>
  <c r="D10" i="7"/>
  <c r="E9" i="7"/>
  <c r="D9" i="7"/>
  <c r="E8" i="7"/>
  <c r="D8" i="7"/>
  <c r="M12" i="7" l="1"/>
  <c r="M10" i="7"/>
  <c r="L10" i="7"/>
  <c r="J12" i="7"/>
  <c r="K12" i="7"/>
  <c r="L12" i="7"/>
  <c r="R29" i="2" l="1"/>
  <c r="S49" i="13"/>
  <c r="DZ49" i="13" l="1"/>
  <c r="AQ49" i="13"/>
  <c r="DD49" i="13"/>
  <c r="CH49" i="13"/>
  <c r="BL49" i="13"/>
  <c r="H11" i="2"/>
  <c r="H2" i="2"/>
  <c r="C22" i="2"/>
  <c r="E22" i="2" s="1"/>
  <c r="I18" i="2"/>
  <c r="G22" i="2" s="1"/>
  <c r="Z6" i="2" l="1"/>
  <c r="I22" i="2"/>
  <c r="AG19" i="6" l="1"/>
  <c r="AL29" i="6" s="1"/>
  <c r="AG18" i="6"/>
  <c r="X18" i="6"/>
  <c r="AN50" i="6" l="1"/>
  <c r="AN52" i="6"/>
  <c r="AE50" i="6"/>
  <c r="AE52" i="6"/>
  <c r="AM30" i="6"/>
  <c r="AN30" i="6" s="1"/>
  <c r="O19" i="6"/>
  <c r="X19" i="6"/>
  <c r="AC29" i="6" s="1"/>
  <c r="AD30" i="6" s="1"/>
  <c r="AE30" i="6" s="1"/>
  <c r="AG28" i="6"/>
  <c r="AL18" i="6"/>
  <c r="AL28" i="6"/>
  <c r="AL19" i="6"/>
  <c r="AG29" i="6"/>
  <c r="X28" i="6"/>
  <c r="AC18" i="6"/>
  <c r="AC28" i="6"/>
  <c r="AM53" i="6" l="1"/>
  <c r="AD53" i="6"/>
  <c r="AH41" i="6"/>
  <c r="AI41" i="6" s="1"/>
  <c r="AH52" i="6"/>
  <c r="AI52" i="6" s="1"/>
  <c r="AM42" i="6"/>
  <c r="AN42" i="6" s="1"/>
  <c r="AD41" i="6"/>
  <c r="AE41" i="6" s="1"/>
  <c r="Y52" i="6"/>
  <c r="Z52" i="6" s="1"/>
  <c r="AH42" i="6"/>
  <c r="AI42" i="6" s="1"/>
  <c r="Y41" i="6"/>
  <c r="Z41" i="6" s="1"/>
  <c r="P52" i="6"/>
  <c r="Q52" i="6" s="1"/>
  <c r="AD42" i="6"/>
  <c r="AE42" i="6" s="1"/>
  <c r="U41" i="6"/>
  <c r="V41" i="6" s="1"/>
  <c r="AH51" i="6"/>
  <c r="AI51" i="6" s="1"/>
  <c r="Y42" i="6"/>
  <c r="Z42" i="6" s="1"/>
  <c r="P41" i="6"/>
  <c r="Q41" i="6" s="1"/>
  <c r="AH50" i="6"/>
  <c r="AM41" i="6"/>
  <c r="AN41" i="6" s="1"/>
  <c r="Y51" i="6"/>
  <c r="Z51" i="6" s="1"/>
  <c r="U42" i="6"/>
  <c r="V42" i="6" s="1"/>
  <c r="P51" i="6"/>
  <c r="Q51" i="6" s="1"/>
  <c r="P42" i="6"/>
  <c r="Q42" i="6" s="1"/>
  <c r="AM40" i="6"/>
  <c r="AN40" i="6" s="1"/>
  <c r="P50" i="6"/>
  <c r="Y40" i="6"/>
  <c r="P40" i="6"/>
  <c r="Q40" i="6" s="1"/>
  <c r="AH40" i="6"/>
  <c r="AD40" i="6"/>
  <c r="Y50" i="6"/>
  <c r="Z50" i="6" s="1"/>
  <c r="U40" i="6"/>
  <c r="AC19" i="6"/>
  <c r="AD20" i="6"/>
  <c r="AE20" i="6" s="1"/>
  <c r="AH21" i="6"/>
  <c r="AI21" i="6" s="1"/>
  <c r="Y22" i="6"/>
  <c r="Z22" i="6" s="1"/>
  <c r="AD21" i="6"/>
  <c r="AE21" i="6" s="1"/>
  <c r="AH32" i="6"/>
  <c r="AI32" i="6" s="1"/>
  <c r="Y21" i="6"/>
  <c r="Z21" i="6" s="1"/>
  <c r="Y30" i="6"/>
  <c r="AH31" i="6"/>
  <c r="AI31" i="6" s="1"/>
  <c r="AD22" i="6"/>
  <c r="AE22" i="6" s="1"/>
  <c r="AH30" i="6"/>
  <c r="AI30" i="6" s="1"/>
  <c r="AM22" i="6"/>
  <c r="AN22" i="6" s="1"/>
  <c r="Y32" i="6"/>
  <c r="Z32" i="6" s="1"/>
  <c r="AH22" i="6"/>
  <c r="AI22" i="6" s="1"/>
  <c r="Y31" i="6"/>
  <c r="Z31" i="6" s="1"/>
  <c r="AM21" i="6"/>
  <c r="AN21" i="6" s="1"/>
  <c r="Y20" i="6"/>
  <c r="P30" i="6"/>
  <c r="Q30" i="6" s="1"/>
  <c r="P21" i="6"/>
  <c r="Q21" i="6" s="1"/>
  <c r="AM20" i="6"/>
  <c r="AN20" i="6" s="1"/>
  <c r="P31" i="6"/>
  <c r="Q31" i="6" s="1"/>
  <c r="X29" i="6"/>
  <c r="AD32" i="6" s="1"/>
  <c r="AE32" i="6" s="1"/>
  <c r="AH20" i="6"/>
  <c r="AI20" i="6" s="1"/>
  <c r="AM32" i="6"/>
  <c r="AN32" i="6" s="1"/>
  <c r="AM31" i="6"/>
  <c r="AN31" i="6" s="1"/>
  <c r="P20" i="6"/>
  <c r="Q20" i="6" s="1"/>
  <c r="P22" i="6"/>
  <c r="Q22" i="6" s="1"/>
  <c r="P32" i="6"/>
  <c r="Q32" i="6" s="1"/>
  <c r="T29" i="6"/>
  <c r="U30" i="6" s="1"/>
  <c r="O29" i="6"/>
  <c r="T19" i="6"/>
  <c r="AM43" i="6" l="1"/>
  <c r="P43" i="6"/>
  <c r="Z40" i="6"/>
  <c r="Y43" i="6" s="1"/>
  <c r="AI50" i="6"/>
  <c r="AH53" i="6" s="1"/>
  <c r="Q50" i="6"/>
  <c r="P53" i="6" s="1"/>
  <c r="Y53" i="6"/>
  <c r="AI40" i="6"/>
  <c r="AH43" i="6" s="1"/>
  <c r="DV74" i="13" s="1"/>
  <c r="AE40" i="6"/>
  <c r="AD43" i="6" s="1"/>
  <c r="Z30" i="6"/>
  <c r="Y33" i="6" s="1"/>
  <c r="AD31" i="6"/>
  <c r="AE31" i="6" s="1"/>
  <c r="Z20" i="6"/>
  <c r="Y23" i="6" s="1"/>
  <c r="AH23" i="6"/>
  <c r="AH33" i="6"/>
  <c r="AD23" i="6"/>
  <c r="AM23" i="6"/>
  <c r="AM33" i="6"/>
  <c r="CZ74" i="13" l="1"/>
  <c r="DB75" i="13" s="1"/>
  <c r="DX74" i="13"/>
  <c r="DX75" i="13"/>
  <c r="BH74" i="13"/>
  <c r="AD33" i="6"/>
  <c r="AM74" i="13" s="1"/>
  <c r="T28" i="6"/>
  <c r="U32" i="6" s="1"/>
  <c r="V32" i="6" s="1"/>
  <c r="O28" i="6"/>
  <c r="V50" i="6" s="1"/>
  <c r="U53" i="6" s="1"/>
  <c r="T18" i="6"/>
  <c r="P120" i="13" l="1"/>
  <c r="DY82" i="13"/>
  <c r="DY86" i="13" s="1"/>
  <c r="P116" i="13" s="1"/>
  <c r="P124" i="13" s="1"/>
  <c r="R124" i="13" s="1"/>
  <c r="DB74" i="13"/>
  <c r="F120" i="13" s="1"/>
  <c r="U22" i="6"/>
  <c r="V22" i="6" s="1"/>
  <c r="V40" i="6"/>
  <c r="U43" i="6" s="1"/>
  <c r="CD74" i="13" s="1"/>
  <c r="AO74" i="13"/>
  <c r="AO75" i="13"/>
  <c r="BJ74" i="13"/>
  <c r="BJ75" i="13"/>
  <c r="P33" i="6"/>
  <c r="V30" i="6"/>
  <c r="U20" i="6"/>
  <c r="V20" i="6" s="1"/>
  <c r="U21" i="6"/>
  <c r="V21" i="6" s="1"/>
  <c r="U31" i="6"/>
  <c r="V31" i="6" s="1"/>
  <c r="P23" i="6"/>
  <c r="F108" i="13" l="1"/>
  <c r="M30" i="13"/>
  <c r="M31" i="13" s="1"/>
  <c r="M32" i="13" s="1"/>
  <c r="DC82" i="13"/>
  <c r="DC86" i="13" s="1"/>
  <c r="F116" i="13" s="1"/>
  <c r="I117" i="13" s="1"/>
  <c r="CF74" i="13"/>
  <c r="CF75" i="13"/>
  <c r="AP82" i="13"/>
  <c r="P96" i="13"/>
  <c r="BK82" i="13"/>
  <c r="S119" i="13"/>
  <c r="S118" i="13"/>
  <c r="P123" i="13"/>
  <c r="R123" i="13" s="1"/>
  <c r="S117" i="13"/>
  <c r="U33" i="6"/>
  <c r="U23" i="6"/>
  <c r="O74" i="13" s="1"/>
  <c r="P108" i="13" l="1"/>
  <c r="I30" i="13"/>
  <c r="I31" i="13" s="1"/>
  <c r="I32" i="13" s="1"/>
  <c r="E123" i="13"/>
  <c r="G123" i="13" s="1"/>
  <c r="I120" i="13"/>
  <c r="E124" i="13"/>
  <c r="G124" i="13" s="1"/>
  <c r="I119" i="13"/>
  <c r="I118" i="13"/>
  <c r="Q74" i="13"/>
  <c r="CG82" i="13"/>
  <c r="CG86" i="13" s="1"/>
  <c r="Q75" i="13"/>
  <c r="S120" i="13"/>
  <c r="BK86" i="13"/>
  <c r="R82" i="13" l="1"/>
  <c r="P104" i="13"/>
  <c r="G30" i="13"/>
  <c r="G31" i="13" s="1"/>
  <c r="G32" i="13" s="1"/>
  <c r="F96" i="13"/>
  <c r="M20" i="13"/>
  <c r="M21" i="13" s="1"/>
  <c r="M22" i="13" s="1"/>
  <c r="F104" i="13"/>
  <c r="I107" i="13" s="1"/>
  <c r="S106" i="13" l="1"/>
  <c r="S105" i="13"/>
  <c r="P112" i="13"/>
  <c r="R112" i="13" s="1"/>
  <c r="S107" i="13"/>
  <c r="P111" i="13"/>
  <c r="R111" i="13" s="1"/>
  <c r="I105" i="13"/>
  <c r="E112" i="13"/>
  <c r="G112" i="13" s="1"/>
  <c r="E111" i="13"/>
  <c r="G111" i="13" s="1"/>
  <c r="I108" i="13"/>
  <c r="I106" i="13"/>
  <c r="S108" i="13" l="1"/>
  <c r="AG48" i="13" l="1"/>
  <c r="AG50" i="13" l="1"/>
  <c r="AP86" i="13" s="1"/>
  <c r="I20" i="13" s="1"/>
  <c r="I21" i="13" s="1"/>
  <c r="I22" i="13" s="1"/>
  <c r="P93" i="13"/>
  <c r="P92" i="13" l="1"/>
  <c r="S94" i="13" s="1"/>
  <c r="S95" i="13" l="1"/>
  <c r="P100" i="13"/>
  <c r="R100" i="13" s="1"/>
  <c r="S96" i="13"/>
  <c r="P99" i="13"/>
  <c r="R99" i="13" s="1"/>
  <c r="S93" i="13"/>
  <c r="H75" i="8"/>
  <c r="Y48" i="8"/>
  <c r="J62" i="8" s="1"/>
  <c r="J12" i="8" l="1"/>
  <c r="J13" i="8" s="1"/>
  <c r="H74" i="8"/>
  <c r="J79" i="8" l="1"/>
  <c r="H72" i="8"/>
  <c r="J80" i="8"/>
  <c r="N77" i="8" l="1"/>
  <c r="N75" i="8"/>
  <c r="N76" i="8"/>
  <c r="N73" i="8"/>
  <c r="N74" i="8"/>
  <c r="F57" i="13"/>
  <c r="G75" i="13"/>
  <c r="R86" i="13" s="1"/>
  <c r="G20" i="13" s="1"/>
  <c r="G21" i="13" s="1"/>
  <c r="G22" i="13" s="1"/>
  <c r="F94" i="13" l="1"/>
  <c r="F92" i="13"/>
  <c r="E100" i="13" l="1"/>
  <c r="G100" i="13" s="1"/>
  <c r="E99" i="13"/>
  <c r="G99" i="13" s="1"/>
  <c r="I96" i="13"/>
  <c r="I93" i="13"/>
  <c r="I94" i="13"/>
  <c r="I95" i="13"/>
</calcChain>
</file>

<file path=xl/comments1.xml><?xml version="1.0" encoding="utf-8"?>
<comments xmlns="http://schemas.openxmlformats.org/spreadsheetml/2006/main">
  <authors>
    <author>Uporabnik sistema Windows</author>
    <author>admin</author>
  </authors>
  <commentList>
    <comment ref="H12" authorId="0" shapeId="0">
      <text>
        <r>
          <rPr>
            <sz val="11"/>
            <color indexed="81"/>
            <rFont val="Segoe UI"/>
            <family val="2"/>
            <charset val="238"/>
          </rPr>
          <t>Glede na format tiska, vstavimo število TP iz B1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M1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Format TP 700x
Format TP 500x
</t>
        </r>
      </text>
    </comment>
    <comment ref="O1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Format TP 500
Format TP 330
Format TP 350
</t>
        </r>
      </text>
    </comment>
    <comment ref="U12" authorId="0" shapeId="0">
      <text>
        <r>
          <rPr>
            <sz val="12"/>
            <color indexed="81"/>
            <rFont val="Segoe UI"/>
            <family val="2"/>
            <charset val="238"/>
          </rPr>
          <t>Koliko form je na TP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G15" authorId="0" shapeId="0">
      <text>
        <r>
          <rPr>
            <sz val="14"/>
            <color indexed="81"/>
            <rFont val="Segoe UI"/>
            <family val="2"/>
            <charset val="238"/>
          </rPr>
          <t xml:space="preserve">VPIŠI ROČNO
</t>
        </r>
      </text>
    </comment>
    <comment ref="S2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Orodje CILINDER
</t>
        </r>
      </text>
    </comment>
    <comment ref="R29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klišeja izračunamo
</t>
        </r>
      </text>
    </comment>
    <comment ref="L3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Gramatura do 135g =3.500 pol/uro</t>
        </r>
      </text>
    </comment>
    <comment ref="AK3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Gramatura do 135g =4.000 pol/uro</t>
        </r>
      </text>
    </comment>
    <comment ref="BF3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Gramatura do 135g =4.000 pol/uro</t>
        </r>
      </text>
    </comment>
    <comment ref="CA3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Gramatura do 135g =3.500 pol/uro</t>
        </r>
      </text>
    </comment>
    <comment ref="CW3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Gramatura do 135g =3.500 pol/uro</t>
        </r>
      </text>
    </comment>
    <comment ref="DS3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Gramatura do 135g =3.500 pol/uro</t>
        </r>
      </text>
    </comment>
    <comment ref="B3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G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</t>
        </r>
        <r>
          <rPr>
            <sz val="14"/>
            <color indexed="81"/>
            <rFont val="Segoe UI"/>
            <family val="2"/>
            <charset val="238"/>
          </rPr>
          <t>Cena materiala na komad</t>
        </r>
      </text>
    </comment>
    <comment ref="L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od 136 do 250g = 3.000 pol/h
</t>
        </r>
      </text>
    </comment>
    <comment ref="AA3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AF3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Cena materiala iz nalogov</t>
        </r>
      </text>
    </comment>
    <comment ref="AK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od 136 do 250g = 3.500 pol/h
</t>
        </r>
      </text>
    </comment>
    <comment ref="AV3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BA3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Cena materiala iz nalogov</t>
        </r>
      </text>
    </comment>
    <comment ref="BF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od 136 do 250g = 3.500 pol/h
</t>
        </r>
      </text>
    </comment>
    <comment ref="BQ3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BV3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Cena materiala iz nalogov</t>
        </r>
      </text>
    </comment>
    <comment ref="CA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od 136 do 250g = 3.000 pol/h
</t>
        </r>
      </text>
    </comment>
    <comment ref="CM3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CR3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Cena materiala iz nalogov</t>
        </r>
      </text>
    </comment>
    <comment ref="CW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od 136 do 250g = 3.000 pol/h
</t>
        </r>
      </text>
    </comment>
    <comment ref="DI3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DN3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Cena materiala iz nalogov</t>
        </r>
      </text>
    </comment>
    <comment ref="DS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od 136 do 250g = 3.000 pol/h
</t>
        </r>
      </text>
    </comment>
    <comment ref="L38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nad 250g = 2.500 pol/h</t>
        </r>
      </text>
    </comment>
    <comment ref="AK38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nad 250g = 3.000 pol/h</t>
        </r>
      </text>
    </comment>
    <comment ref="BF38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nad 250g = 3.000 pol/h</t>
        </r>
      </text>
    </comment>
    <comment ref="CA38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nad 250g = 2.500 pol/h</t>
        </r>
      </text>
    </comment>
    <comment ref="CW38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nad 250g = 2.500 pol/h</t>
        </r>
      </text>
    </comment>
    <comment ref="DS38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nad 250g = 2.500 pol/h</t>
        </r>
      </text>
    </comment>
    <comment ref="B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G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Cena materiala iz nalogov</t>
        </r>
      </text>
    </comment>
    <comment ref="AA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AF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Cena materiala iz nalogov</t>
        </r>
      </text>
    </comment>
    <comment ref="AV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BA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Cena materiala iz nalogov</t>
        </r>
      </text>
    </comment>
    <comment ref="BQ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BV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Cena materiala iz nalogov</t>
        </r>
      </text>
    </comment>
    <comment ref="CM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CR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Cena materiala iz nalogov</t>
        </r>
      </text>
    </comment>
    <comment ref="DI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DN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Cena materiala iz nalogov</t>
        </r>
      </text>
    </comment>
    <comment ref="F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Ročna montaža in kopija le te. Cena je 17€/h</t>
        </r>
      </text>
    </comment>
    <comment ref="O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žleb, perforacija en prehod - 0,5h
2.Priprava slepi, zlato en prehod - 1h
3.Priprava slepi, zlato dva prehoda - 2h 
4.Razrez na pol, enkrat več tiska (pole x 2)
5.Izsek
</t>
        </r>
      </text>
    </comment>
    <comment ref="AE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Ročna montaža in kopija le te. Cena je 17€/h</t>
        </r>
      </text>
    </comment>
    <comment ref="AM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žleb, perforacija en prehod - 0,5h
2.Priprava slepi, zlato en prehod - 1h
3.Priprava slepi, zlato dva prehoda - 2h 
4.Razrez na pol, enkrat več tiska (pole x 2)</t>
        </r>
      </text>
    </comment>
    <comment ref="AZ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Ročna montaža in kopija le te. Cena je 17€/h</t>
        </r>
      </text>
    </comment>
    <comment ref="BH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žleb, perforacija en prehod - 0,5h
2.Priprava slepi, zlato en prehod - 1h
3.Priprava slepi, zlato dva prehoda - 2h 
4.Razrez na pol, enkrat več tiska (pole x 2)</t>
        </r>
      </text>
    </comment>
    <comment ref="BU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Ročna montaža in kopija le te. Cena je 17€/h</t>
        </r>
      </text>
    </comment>
    <comment ref="CD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žleb, perforacija en prehod - 0,5h
2.Priprava slepi, zlato en prehod - 1h
3.Priprava slepi, zlato dva prehoda - 2h 
4.Razrez na pol, enkrat več tiska (pole x 2)
5.Izsek
</t>
        </r>
      </text>
    </comment>
    <comment ref="CQ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Ročna montaža in kopija le te. Cena je 17€/h</t>
        </r>
      </text>
    </comment>
    <comment ref="CZ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žleb, perforacija en prehod - 0,5h
2.Priprava slepi, zlato en prehod - 1h
3.Priprava slepi, zlato dva prehoda - 2h 
4.Razrez na pol, enkrat več tiska (pole x 2)
5.Izsek
</t>
        </r>
      </text>
    </comment>
    <comment ref="DM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Ročna montaža in kopija le te. Cena je 17€/h</t>
        </r>
      </text>
    </comment>
    <comment ref="DV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žleb, perforacija en prehod - 0,5h
2.Priprava slepi, zlato en prehod - 1h
3.Priprava slepi, zlato dva prehoda - 2h 
4.Razrez na pol, enkrat več tiska (pole x 2)
5.Izsek
</t>
        </r>
      </text>
    </comment>
    <comment ref="F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Št. plošč potrebnih za tisk (barve + lak)</t>
        </r>
      </text>
    </comment>
    <comment ref="O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perfo in žleb=0,5
Priprava folije enostavno = 1h
zahtevno 2h</t>
        </r>
      </text>
    </comment>
    <comment ref="AE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Ročna montaža in kopija le te. Cena je 17€/h</t>
        </r>
      </text>
    </comment>
    <comment ref="AM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perfo in žleb=0,5
Priprava folije enostavno = 1h
zahtevno 2h</t>
        </r>
      </text>
    </comment>
    <comment ref="AZ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Ročna montaža in kopija le te. Cena je 17€/h</t>
        </r>
      </text>
    </comment>
    <comment ref="BH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perfo in žleb=0,5
Priprava folije enostavno = 1h
zahtevno 2h</t>
        </r>
      </text>
    </comment>
    <comment ref="BU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Št. plošč potrebnih za tisk (barve + lak)</t>
        </r>
      </text>
    </comment>
    <comment ref="CD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perfo in žleb=0,5
Priprava folije enostavno = 1h
zahtevno 2h</t>
        </r>
      </text>
    </comment>
    <comment ref="CQ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Št. plošč potrebnih za tisk (barve + lak)</t>
        </r>
      </text>
    </comment>
    <comment ref="CZ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perfo in žleb=0,5
Priprava folije enostavno = 1h
zahtevno 2h</t>
        </r>
      </text>
    </comment>
    <comment ref="DM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Št. plošč potrebnih za tisk (barve + lak)</t>
        </r>
      </text>
    </comment>
    <comment ref="DV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perfo in žleb=0,5
Priprava folije enostavno = 1h
zahtevno 2h</t>
        </r>
      </text>
    </comment>
    <comment ref="F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Vedno 1 ura montaže v repru.
Cena je 21€/h</t>
        </r>
      </text>
    </comment>
    <comment ref="O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perfo in žleba = 1.500/h
</t>
        </r>
      </text>
    </comment>
    <comment ref="AE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Vedno 1 ura montaže v repru.
Cena je 21€/h</t>
        </r>
      </text>
    </comment>
    <comment ref="AM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perfo in žleba = 1.500/h
</t>
        </r>
      </text>
    </comment>
    <comment ref="AZ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Vedno 1 ura montaže v repru.
Cena je 21€/h</t>
        </r>
      </text>
    </comment>
    <comment ref="BH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perfo in žleba = 1.500/h
</t>
        </r>
      </text>
    </comment>
    <comment ref="BU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Vedno 1 ura montaže v repru.
Cena je 21€/h</t>
        </r>
      </text>
    </comment>
    <comment ref="CD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perfo in žleba = 1.500/h
</t>
        </r>
      </text>
    </comment>
    <comment ref="CQ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Vedno 1 ura montaže v repru.
Cena je 21€/h</t>
        </r>
      </text>
    </comment>
    <comment ref="CZ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perfo in žleba = 1.500/h
</t>
        </r>
      </text>
    </comment>
    <comment ref="DM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Vedno 1 ura montaže v repru.
Cena je 21€/h</t>
        </r>
      </text>
    </comment>
    <comment ref="DV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perfo in žleba = 1.500/h
</t>
        </r>
      </text>
    </comment>
    <comment ref="O4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folije in slepi tisk = 1.000/h
</t>
        </r>
      </text>
    </comment>
    <comment ref="AM4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folije in slepi tisk = 1.000/h
</t>
        </r>
      </text>
    </comment>
    <comment ref="BH4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folije in slepi tisk = 1.000/h
</t>
        </r>
      </text>
    </comment>
    <comment ref="CD4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folije in slepi tisk = 1.000/h
</t>
        </r>
      </text>
    </comment>
    <comment ref="CZ4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folije in slepi tisk = 1.000/h
</t>
        </r>
      </text>
    </comment>
    <comment ref="DV4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folije in slepi tisk = 1.000/h
</t>
        </r>
      </text>
    </comment>
    <comment ref="O5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Izsek = 1.000/h
</t>
        </r>
      </text>
    </comment>
    <comment ref="AM5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Izsek = 1.000/h
</t>
        </r>
      </text>
    </comment>
    <comment ref="BH5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Izsek = 1.000/h
</t>
        </r>
      </text>
    </comment>
    <comment ref="CD5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Izsek = 1.000/h
</t>
        </r>
      </text>
    </comment>
    <comment ref="CZ5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Izsek = 1.000/h
</t>
        </r>
      </text>
    </comment>
    <comment ref="DV5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Izsek = 1.000/h
</t>
        </r>
      </text>
    </comment>
    <comment ref="O5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enostavna - 2h
2.Priprava zahtevna - 3,5h
3.Priprava slepi tisk - 3h
 </t>
        </r>
      </text>
    </comment>
    <comment ref="AM5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enostavna - 2h
2.Priprava zahtevna - 3,5h
3.Priprava slepi tisk - 3h
 </t>
        </r>
      </text>
    </comment>
    <comment ref="BH5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enostavna - 2h
2.Priprava zahtevna - 3,5h
3.Priprava slepi tisk - 3h
 </t>
        </r>
      </text>
    </comment>
    <comment ref="CD5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enostavna - 2h
2.Priprava zahtevna - 3,5h
3.Priprava slepi tisk - 3h
 </t>
        </r>
      </text>
    </comment>
    <comment ref="CZ5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enostavna - 2h
2.Priprava zahtevna - 3,5h
3.Priprava slepi tisk - 3h
 </t>
        </r>
      </text>
    </comment>
    <comment ref="DV5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enostavna - 2h
2.Priprava zahtevna - 3,5h
3.Priprava slepi tisk - 3h
 </t>
        </r>
      </text>
    </comment>
    <comment ref="O5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Enostavna priprava=2h
2. Priprava srednje zahtevna 3h
3. Z slepim tiskom=4h
4. Enostavna priprava 1,5h</t>
        </r>
      </text>
    </comment>
    <comment ref="AM5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Enostavna priprava=2h
2. Priprava srednje zahtevna 3h
3. Z slepim tiskom=4h
4. Enostavna priprava 1,5h</t>
        </r>
      </text>
    </comment>
    <comment ref="BH5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Enostavna priprava=2h
2. Priprava srednje zahtevna 3h
3. Z slepim tiskom=4h
4. Enostavna priprava 1,5h</t>
        </r>
      </text>
    </comment>
    <comment ref="CD5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Enostavna priprava=2h
2. Priprava srednje zahtevna 3h
3. Z slepim tiskom=4h
4. Enostavna priprava 1,5h</t>
        </r>
      </text>
    </comment>
    <comment ref="CZ5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Enostavna priprava=2h
2. Priprava srednje zahtevna 3h
3. Z slepim tiskom=4h
4. Enostavna priprava 1,5h</t>
        </r>
      </text>
    </comment>
    <comment ref="DV5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Enostavna priprava=2h
2. Priprava srednje zahtevna 3h
3. Z slepim tiskom=4h
4. Enostavna priprava 1,5h</t>
        </r>
      </text>
    </comment>
    <comment ref="O5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Štancanje =3.500/h</t>
        </r>
      </text>
    </comment>
    <comment ref="AM5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Štancanje =3.500/h</t>
        </r>
      </text>
    </comment>
    <comment ref="BH5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Štancanje =3.500/h</t>
        </r>
      </text>
    </comment>
    <comment ref="CD5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Štancanje =3.500/h</t>
        </r>
      </text>
    </comment>
    <comment ref="CZ5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Štancanje =3.500/h</t>
        </r>
      </text>
    </comment>
    <comment ref="DV5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Štancanje =3.500/h</t>
        </r>
      </text>
    </comment>
    <comment ref="D5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  <r>
          <rPr>
            <sz val="12"/>
            <color indexed="81"/>
            <rFont val="Segoe UI"/>
            <family val="2"/>
            <charset val="238"/>
          </rPr>
          <t>1. Enostranski tisk   A/0
2. Obojestranski tisk  A/Obr.
3. Obojestranski tisk  A/B</t>
        </r>
      </text>
    </comment>
    <comment ref="AC5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AX5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BS5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CO5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DK5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D5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12"/>
            <color indexed="81"/>
            <rFont val="Segoe UI"/>
            <family val="2"/>
            <charset val="238"/>
          </rPr>
          <t>1-Priprava 0,5h za vse opcije do 4/0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  <r>
          <rPr>
            <sz val="12"/>
            <color indexed="81"/>
            <rFont val="Arial"/>
            <family val="2"/>
            <charset val="238"/>
          </rPr>
          <t>2-</t>
        </r>
        <r>
          <rPr>
            <sz val="12"/>
            <color indexed="81"/>
            <rFont val="Segoe UI"/>
            <family val="2"/>
            <charset val="238"/>
          </rPr>
          <t>Priprava za 4/0=0,75 ure
3-color + 1 barva 1,5
PANTONE:
5 barv 3,5
4 barve 2,75
3 barve 2
2 barvi 1,5
1 barva 1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AC5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AX5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BS5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CO5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DK5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D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O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 4.000/h
2.Luščenje srednje zahtevno 3.000/h
3.Zahtevno luščenje 2.000/h,  
 </t>
        </r>
      </text>
    </comment>
    <comment ref="AC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AM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 4.000/h
2.Luščenje srednje zahtevno 3.000/h
3.Zahtevno luščenje 2.000/h,  
 </t>
        </r>
      </text>
    </comment>
    <comment ref="AX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BH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 4.000/h
2.Luščenje srednje zahtevno 3.000/h
3.Zahtevno luščenje 2.000/h,  
 </t>
        </r>
      </text>
    </comment>
    <comment ref="BS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CD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 4.000/h
2.Luščenje srednje zahtevno 3.000/h
3.Zahtevno luščenje 2.000/h,  
 </t>
        </r>
      </text>
    </comment>
    <comment ref="CO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CZ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 4.000/h
2.Luščenje srednje zahtevno 3.000/h
3.Zahtevno luščenje 2.000/h,  
 </t>
        </r>
      </text>
    </comment>
    <comment ref="DK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DV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 4.000/h
2.Luščenje srednje zahtevno 3.000/h
3.Zahtevno luščenje 2.000/h,  
 </t>
        </r>
      </text>
    </comment>
    <comment ref="O5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AM5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BH5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CD5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CZ5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DV5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O5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AM5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BH5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CD5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CZ5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DV5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D6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Lakirano
2. Lakirano obojestransko</t>
        </r>
      </text>
    </comment>
    <comment ref="AC6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Lakirano
</t>
        </r>
      </text>
    </comment>
    <comment ref="AX6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Lakirano
</t>
        </r>
      </text>
    </comment>
    <comment ref="BS6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Lakirano
2. Lakirano obojestransko</t>
        </r>
      </text>
    </comment>
    <comment ref="CO6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Lakirano
2. Lakirano obojestransko</t>
        </r>
      </text>
    </comment>
    <comment ref="DK6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Lakirano
2. Lakirano obojestransko</t>
        </r>
      </text>
    </comment>
    <comment ref="D6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disp.laka je 0,5 ure</t>
        </r>
      </text>
    </comment>
    <comment ref="AC6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disp.laka je 0,5 ure</t>
        </r>
      </text>
    </comment>
    <comment ref="AX6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disp.laka je 0,5 ure</t>
        </r>
      </text>
    </comment>
    <comment ref="BS6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disp.laka je 0,5 ure</t>
        </r>
      </text>
    </comment>
    <comment ref="CO6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disp.laka je 0,5 ure</t>
        </r>
      </text>
    </comment>
    <comment ref="DK6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disp.laka je 0,5 ure</t>
        </r>
      </text>
    </comment>
    <comment ref="D62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Naklada deljeno z številom stavkov na formi.
Cena za odtis je 0,01€</t>
        </r>
      </text>
    </comment>
    <comment ref="O6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1.Linijsko
2.Križno
3.Dva prehoda na lepilki</t>
        </r>
      </text>
    </comment>
    <comment ref="AC62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Naklada deljeno z številom stavkov na formi.
Cena za odtis je 0,01€</t>
        </r>
      </text>
    </comment>
    <comment ref="AM6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1.Linijsko
2.Križno
3.Dva prehoda na lepilki</t>
        </r>
      </text>
    </comment>
    <comment ref="AX62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Naklada deljeno z številom stavkov na formi.
Cena za odtis je 0,01€</t>
        </r>
      </text>
    </comment>
    <comment ref="BH6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1.Linijsko
2.Križno
3.Dva prehoda na lepilki</t>
        </r>
      </text>
    </comment>
    <comment ref="BS62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Naklada deljeno z številom stavkov na formi.
Cena za odtis je 0,01€</t>
        </r>
      </text>
    </comment>
    <comment ref="CD6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1.Linijsko
2.Križno
3.Dva prehoda na lepilki</t>
        </r>
      </text>
    </comment>
    <comment ref="CO62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Naklada deljeno z številom stavkov na formi.
Cena za odtis je 0,01€</t>
        </r>
      </text>
    </comment>
    <comment ref="CZ6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1.Linijsko
2.Križno
3.Dva prehoda na lepilki</t>
        </r>
      </text>
    </comment>
    <comment ref="DK62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Naklada deljeno z številom stavkov na formi.
Cena za odtis je 0,01€</t>
        </r>
      </text>
    </comment>
    <comment ref="DV6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1.Linijsko
2.Križno
3.Dva prehoda na lepilki</t>
        </r>
      </text>
    </comment>
    <comment ref="O6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lepljenje 0,5h
Križno dno 1h</t>
        </r>
      </text>
    </comment>
    <comment ref="AM6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lepljenje 0,5h
Križno dno 1h</t>
        </r>
      </text>
    </comment>
    <comment ref="BH6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lepljenje 0,5h
Križno dno 1h</t>
        </r>
      </text>
    </comment>
    <comment ref="CD6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lepljenje 0,5h
Križno dno 1h</t>
        </r>
      </text>
    </comment>
    <comment ref="CZ6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lepljenje 0,5h
Križno dno 1h</t>
        </r>
      </text>
    </comment>
    <comment ref="DV6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lepljenje 0,5h
Križno dno 1h</t>
        </r>
      </text>
    </comment>
    <comment ref="O6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AM6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BH6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CD6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CZ6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DV6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D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O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AC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AM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AX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BH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BS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CD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CO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CZ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DK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DV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D6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AC6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AX6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BS6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CO6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DK6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D6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AC6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AX6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BS6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CO6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DK6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O6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Isto kot razrez papirja, le da so tu tiskovne pole v primeru razreza pol na manjši format </t>
        </r>
      </text>
    </comment>
    <comment ref="AM6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Isto kot razrez papirja, le da so tu tiskovne pole v primeru razreza pol na manjši format </t>
        </r>
      </text>
    </comment>
    <comment ref="BH6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Isto kot razrez papirja, le da so tu tiskovne pole v primeru razreza pol na manjši format </t>
        </r>
      </text>
    </comment>
    <comment ref="CD6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Isto kot razrez papirja, le da so tu tiskovne pole v primeru razreza pol na manjši format </t>
        </r>
      </text>
    </comment>
    <comment ref="CZ6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Isto kot razrez papirja, le da so tu tiskovne pole v primeru razreza pol na manjši format </t>
        </r>
      </text>
    </comment>
    <comment ref="DV6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Isto kot razrez papirja, le da so tu tiskovne pole v primeru razreza pol na manjši format </t>
        </r>
      </text>
    </comment>
    <comment ref="D7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Priprava 1,5h
2. Priprava z rezanjem nove gume  3h</t>
        </r>
      </text>
    </comment>
    <comment ref="AC7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Priprava 1,5h
2. Priprava z rezanjem nove gume  3h</t>
        </r>
      </text>
    </comment>
    <comment ref="AX7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Priprava 1,5h
2. Priprava z rezanjem nove gume  3h</t>
        </r>
      </text>
    </comment>
    <comment ref="BS7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Priprava 1,5h
2. Priprava z rezanjem nove gume  3h</t>
        </r>
      </text>
    </comment>
    <comment ref="CO7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Priprava 1,5h
2. Priprava z rezanjem nove gume  3h</t>
        </r>
      </text>
    </comment>
    <comment ref="DK7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Priprava 1,5h
2. Priprava z rezanjem nove gume  3h</t>
        </r>
      </text>
    </comment>
    <comment ref="D7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Prirprava znaša 1,5h
Z rezanjem nove gume znaša 3h</t>
        </r>
      </text>
    </comment>
    <comment ref="AC7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Prirprava znaša 1,5h
Z rezanjem nove gume znaša 3h</t>
        </r>
      </text>
    </comment>
    <comment ref="AX7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Prirprava znaša 1,5h
Z rezanjem nove gume znaša 3h</t>
        </r>
      </text>
    </comment>
    <comment ref="BS7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Prirprava znaša 1,5h
Z rezanjem nove gume znaša 3h</t>
        </r>
      </text>
    </comment>
    <comment ref="CO7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Prirprava znaša 1,5h
Z rezanjem nove gume znaša 3h</t>
        </r>
      </text>
    </comment>
    <comment ref="DK7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Prirprava znaša 1,5h
Z rezanjem nove gume znaša 3h</t>
        </r>
      </text>
    </comment>
    <comment ref="D7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laka je 1.500/h</t>
        </r>
      </text>
    </comment>
    <comment ref="AC7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laka je 1.500/h</t>
        </r>
      </text>
    </comment>
    <comment ref="AX7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laka je 1.500/h</t>
        </r>
      </text>
    </comment>
    <comment ref="BS7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laka je 1.500/h</t>
        </r>
      </text>
    </comment>
    <comment ref="CO7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laka je 1.500/h</t>
        </r>
      </text>
    </comment>
    <comment ref="DK7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laka je 1.500/h</t>
        </r>
      </text>
    </comment>
    <comment ref="O7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Sijajna plastika
2. Mat plastika
3. Kratzfest plastika
4. Softtouch plastika</t>
        </r>
      </text>
    </comment>
    <comment ref="R7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 Obojestransko plastificiranje
</t>
        </r>
      </text>
    </comment>
    <comment ref="AM7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Sijajna folija
2. Mat folija
3. Kratzfest folija
4. Softtouch folija</t>
        </r>
      </text>
    </comment>
    <comment ref="AP7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 Obojestranska folija
</t>
        </r>
      </text>
    </comment>
    <comment ref="BH7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Sijajna folija
2. Mat folija
3. Kratzfest folija
4. Softtouch folija</t>
        </r>
      </text>
    </comment>
    <comment ref="BK7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 Obojestranska folija
</t>
        </r>
      </text>
    </comment>
    <comment ref="CD7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Sijajna folija
2. Mat folija
3. Kratzfest folija
4. Softtouch folija</t>
        </r>
      </text>
    </comment>
    <comment ref="CG7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 Obojestranska folija
</t>
        </r>
      </text>
    </comment>
    <comment ref="CZ7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Sijajna folija
2. Mat folija
3. Kratzfest folija
4. Softtouch folija</t>
        </r>
      </text>
    </comment>
    <comment ref="DC7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 Obojestranska folija
</t>
        </r>
      </text>
    </comment>
    <comment ref="DV7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Sijajna folija
2. Mat folija
3. Kratzfest folija
4. Softtouch folija</t>
        </r>
      </text>
    </comment>
    <comment ref="DY7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 Obojestranska folija
</t>
        </r>
      </text>
    </comment>
    <comment ref="O74" authorId="1" shapeId="0">
      <text>
        <r>
          <rPr>
            <sz val="9"/>
            <color indexed="81"/>
            <rFont val="Segoe UI"/>
            <family val="2"/>
            <charset val="238"/>
          </rPr>
          <t xml:space="preserve">Plastika prepisana iz tabele PLASTIKA
</t>
        </r>
      </text>
    </comment>
    <comment ref="AM74" authorId="1" shapeId="0">
      <text>
        <r>
          <rPr>
            <sz val="9"/>
            <color indexed="81"/>
            <rFont val="Segoe UI"/>
            <family val="2"/>
            <charset val="238"/>
          </rPr>
          <t xml:space="preserve">Plastika prepisana iz tabele PLASTIKA
</t>
        </r>
      </text>
    </comment>
    <comment ref="BH74" authorId="1" shapeId="0">
      <text>
        <r>
          <rPr>
            <sz val="9"/>
            <color indexed="81"/>
            <rFont val="Segoe UI"/>
            <family val="2"/>
            <charset val="238"/>
          </rPr>
          <t xml:space="preserve">Plastika prepisana iz tabele PLASTIKA
</t>
        </r>
      </text>
    </comment>
    <comment ref="CD74" authorId="1" shapeId="0">
      <text>
        <r>
          <rPr>
            <sz val="9"/>
            <color indexed="81"/>
            <rFont val="Segoe UI"/>
            <family val="2"/>
            <charset val="238"/>
          </rPr>
          <t xml:space="preserve">Plastika prepisana iz tabele PLASTIKA
</t>
        </r>
      </text>
    </comment>
    <comment ref="CZ74" authorId="1" shapeId="0">
      <text>
        <r>
          <rPr>
            <sz val="9"/>
            <color indexed="81"/>
            <rFont val="Segoe UI"/>
            <family val="2"/>
            <charset val="238"/>
          </rPr>
          <t xml:space="preserve">Plastika prepisana iz tabele PLASTIKA
</t>
        </r>
      </text>
    </comment>
    <comment ref="DV74" authorId="1" shapeId="0">
      <text>
        <r>
          <rPr>
            <sz val="9"/>
            <color indexed="81"/>
            <rFont val="Segoe UI"/>
            <family val="2"/>
            <charset val="238"/>
          </rPr>
          <t xml:space="preserve">Plastika prepisana iz tabele PLASTIKA
</t>
        </r>
      </text>
    </comment>
    <comment ref="E8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1.UV lak do 30%
2.UV lak več kot 30%
</t>
        </r>
      </text>
    </comment>
    <comment ref="AD8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1.UV lak do 30%
2.UV lak več kot 30%
</t>
        </r>
      </text>
    </comment>
    <comment ref="AY8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1.UV lak do 30%
2.UV lak več kot 30%
</t>
        </r>
      </text>
    </comment>
    <comment ref="BT8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1.UV lak do 30%
2.UV lak več kot 30%
</t>
        </r>
      </text>
    </comment>
    <comment ref="CP8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1.UV lak do 30%
2.UV lak več kot 30%
</t>
        </r>
      </text>
    </comment>
    <comment ref="DL8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1.UV lak do 30%
2.UV lak več kot 30%
</t>
        </r>
      </text>
    </comment>
  </commentList>
</comments>
</file>

<file path=xl/comments2.xml><?xml version="1.0" encoding="utf-8"?>
<comments xmlns="http://schemas.openxmlformats.org/spreadsheetml/2006/main">
  <authors>
    <author>Uporabnik sistema Windows</author>
  </authors>
  <commentList>
    <comment ref="O19" authorId="0" shapeId="0">
      <text>
        <r>
          <rPr>
            <sz val="9"/>
            <color indexed="81"/>
            <rFont val="Tahoma"/>
            <family val="2"/>
            <charset val="238"/>
          </rPr>
          <t xml:space="preserve">1. 700x500
2. 700x330
3. 500x350
</t>
        </r>
      </text>
    </comment>
    <comment ref="X19" authorId="0" shapeId="0">
      <text>
        <r>
          <rPr>
            <sz val="9"/>
            <color indexed="81"/>
            <rFont val="Tahoma"/>
            <family val="2"/>
            <charset val="238"/>
          </rPr>
          <t xml:space="preserve">1. 700x500
2. 700x330
3. 500x350
</t>
        </r>
      </text>
    </comment>
    <comment ref="AG19" authorId="0" shapeId="0">
      <text>
        <r>
          <rPr>
            <sz val="9"/>
            <color indexed="81"/>
            <rFont val="Tahoma"/>
            <family val="2"/>
            <charset val="238"/>
          </rPr>
          <t xml:space="preserve">1. 700x500
2. 700x330
3. 500x350
</t>
        </r>
      </text>
    </comment>
    <comment ref="O39" authorId="0" shapeId="0">
      <text>
        <r>
          <rPr>
            <sz val="9"/>
            <color indexed="81"/>
            <rFont val="Tahoma"/>
            <family val="2"/>
            <charset val="238"/>
          </rPr>
          <t xml:space="preserve">1. 700x500
2. 700x330
3. 500x350
</t>
        </r>
      </text>
    </comment>
    <comment ref="X39" authorId="0" shapeId="0">
      <text>
        <r>
          <rPr>
            <sz val="9"/>
            <color indexed="81"/>
            <rFont val="Tahoma"/>
            <family val="2"/>
            <charset val="238"/>
          </rPr>
          <t xml:space="preserve">1. 700x500
2. 700x330
3. 500x350
</t>
        </r>
      </text>
    </comment>
    <comment ref="AG39" authorId="0" shapeId="0">
      <text>
        <r>
          <rPr>
            <sz val="9"/>
            <color indexed="81"/>
            <rFont val="Tahoma"/>
            <family val="2"/>
            <charset val="238"/>
          </rPr>
          <t xml:space="preserve">1. 700x500
2. 700x330
3. 500x350
</t>
        </r>
      </text>
    </comment>
  </commentList>
</comments>
</file>

<file path=xl/comments3.xml><?xml version="1.0" encoding="utf-8"?>
<comments xmlns="http://schemas.openxmlformats.org/spreadsheetml/2006/main">
  <authors>
    <author>ALah-W7</author>
    <author>Uporabnik sistema Windows</author>
  </authors>
  <commentList>
    <comment ref="U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Število prehodov na C5
</t>
        </r>
      </text>
    </comment>
    <comment ref="E6" authorId="1" shapeId="0">
      <text>
        <r>
          <rPr>
            <sz val="9"/>
            <color indexed="81"/>
            <rFont val="Segoe UI"/>
            <family val="2"/>
            <charset val="238"/>
          </rPr>
          <t xml:space="preserve">Mere v cm
</t>
        </r>
      </text>
    </comment>
    <comment ref="G6" authorId="1" shapeId="0">
      <text>
        <r>
          <rPr>
            <sz val="9"/>
            <color indexed="81"/>
            <rFont val="Segoe UI"/>
            <family val="2"/>
            <charset val="238"/>
          </rPr>
          <t xml:space="preserve">Mere v cm
</t>
        </r>
      </text>
    </comment>
    <comment ref="E8" authorId="1" shapeId="0">
      <text>
        <r>
          <rPr>
            <sz val="9"/>
            <color indexed="81"/>
            <rFont val="Segoe UI"/>
            <family val="2"/>
            <charset val="238"/>
          </rPr>
          <t xml:space="preserve">Cena za 1 kliše. Če naročimo več klišejev se cena pomnoži s številom klišejev.
</t>
        </r>
      </text>
    </comment>
    <comment ref="E9" authorId="1" shapeId="0">
      <text>
        <r>
          <rPr>
            <sz val="9"/>
            <color indexed="81"/>
            <rFont val="Segoe UI"/>
            <family val="2"/>
            <charset val="238"/>
          </rPr>
          <t xml:space="preserve">Vpišemo število klišejev, ki so potrebni za tiskovino.
</t>
        </r>
      </text>
    </comment>
  </commentList>
</comments>
</file>

<file path=xl/comments4.xml><?xml version="1.0" encoding="utf-8"?>
<comments xmlns="http://schemas.openxmlformats.org/spreadsheetml/2006/main">
  <authors>
    <author>Uporabnik sistema Windows</author>
    <author>admin</author>
  </authors>
  <commentList>
    <comment ref="CT6" authorId="0" shapeId="0">
      <text>
        <r>
          <rPr>
            <sz val="9"/>
            <color indexed="81"/>
            <rFont val="Segoe UI"/>
            <family val="2"/>
            <charset val="238"/>
          </rPr>
          <t xml:space="preserve">Koliko strani obsega 
Brošura, Letak
</t>
        </r>
      </text>
    </comment>
    <comment ref="O2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T2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 Papir
</t>
        </r>
      </text>
    </comment>
    <comment ref="AZ2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BE2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1, 2, 3
</t>
        </r>
      </text>
    </comment>
    <comment ref="CK2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CP2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1, 2, 3
</t>
        </r>
      </text>
    </comment>
    <comment ref="DW2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EB2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1, 2, 3
</t>
        </r>
      </text>
    </comment>
    <comment ref="FJ2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FO2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1, 2, 3
</t>
        </r>
      </text>
    </comment>
    <comment ref="GW2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HB2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1, 2, 3
</t>
        </r>
      </text>
    </comment>
    <comment ref="O2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AZ2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CK2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DW2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FJ2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GW2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O2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AZ2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CK2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DW2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FJ2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GW2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O26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AZ26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CK26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DW26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FJ26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GW26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O3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T3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2. Karton
</t>
        </r>
      </text>
    </comment>
    <comment ref="AZ3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BE3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1, 2, 3
</t>
        </r>
      </text>
    </comment>
    <comment ref="CK3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CP3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1, 2, 3
</t>
        </r>
      </text>
    </comment>
    <comment ref="DW3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EB3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1, 2, 3
</t>
        </r>
      </text>
    </comment>
    <comment ref="FJ3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FO3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1, 2, 3
</t>
        </r>
      </text>
    </comment>
    <comment ref="GW3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HB3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1, 2, 3
</t>
        </r>
      </text>
    </comment>
    <comment ref="O3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izračunamo 
</t>
        </r>
      </text>
    </comment>
    <comment ref="AZ3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CK3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DW3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FJ3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GW3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O3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izračunamo 
</t>
        </r>
      </text>
    </comment>
    <comment ref="AZ3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CK3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DW3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FJ3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GW3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O3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izračunamo 
</t>
        </r>
      </text>
    </comment>
    <comment ref="AZ3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CK3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DW3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FJ3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GW3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F47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U47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AQ47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BF47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CB47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CQ47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DN47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EC47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FA47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FP47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GN47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HC47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F48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VPIŠI ROČNO:
Naklada x št. TP v brošuri deljeno z 4.000 pol /h
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U48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VPIŠI ROČNO:
Naklada x št. TP v brošuri deljeno z 4.000 pol /h
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AQ48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VPIŠI ROČNO:
Naklada x št. TP v brošuri deljeno z 4.000 pol /h
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BF48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VPIŠI ROČNO:
Naklada x št. TP v brošuri deljeno z 4.000 pol /h
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CB48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VPIŠI ROČNO:
Naklada x št. TP v brošuri deljeno z 4.000 pol /h
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CQ48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VPIŠI ROČNO:
Naklada x št. TP v brošuri deljeno z 4.000 pol /h
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DN48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VPIŠI ROČNO:
Naklada x št. TP v brošuri deljeno z 4.000 pol /h
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EC48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VPIŠI ROČNO:
Naklada x št. TP v brošuri deljeno z 4.000 pol /h
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FA48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VPIŠI ROČNO:
Naklada x št. TP v brošuri deljeno z 4.000 pol /h
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FP48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VPIŠI ROČNO:
Naklada x št. TP v brošuri deljeno z 4.000 pol /h
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GN48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VPIŠI ROČNO:
Naklada x št. TP v brošuri deljeno z 4.000 pol /h
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HC48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VPIŠI ROČNO:
Naklada x št. TP v brošuri deljeno z 4.000 pol /h
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F5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Priprava je vedno 0,5 ure
</t>
        </r>
      </text>
    </comment>
    <comment ref="U5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Priprava je vedno 0,5 ure
</t>
        </r>
      </text>
    </comment>
    <comment ref="AQ51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BF5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Priprava je vedno 0,5 ure
</t>
        </r>
      </text>
    </comment>
    <comment ref="CB51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CQ5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Priprava je vedno 0,5 ure
</t>
        </r>
      </text>
    </comment>
    <comment ref="DN51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EC5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Priprava je vedno 0,5 ure
</t>
        </r>
      </text>
    </comment>
    <comment ref="FA51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FP5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Priprava je vedno 0,5 ure
</t>
        </r>
      </text>
    </comment>
    <comment ref="GN51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HC5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Priprava je vedno 0,5 ure
</t>
        </r>
      </text>
    </comment>
    <comment ref="E5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 Enostranski lak
2. Obojestranski lak
</t>
        </r>
      </text>
    </comment>
    <comment ref="T52" authorId="0" shapeId="0">
      <text>
        <r>
          <rPr>
            <sz val="9"/>
            <color indexed="81"/>
            <rFont val="Segoe UI"/>
            <family val="2"/>
            <charset val="238"/>
          </rPr>
          <t>1. Lak ovitka enostransko
2. Lak ovitka obojestransko</t>
        </r>
      </text>
    </comment>
    <comment ref="AP52" authorId="0" shapeId="0">
      <text>
        <r>
          <rPr>
            <sz val="9"/>
            <color indexed="81"/>
            <rFont val="Segoe UI"/>
            <family val="2"/>
            <charset val="238"/>
          </rPr>
          <t>1. Enostranski lak
2. Obojestranski lak
3. Lak vložka in ovitka</t>
        </r>
      </text>
    </comment>
    <comment ref="BE52" authorId="0" shapeId="0">
      <text>
        <r>
          <rPr>
            <sz val="9"/>
            <color indexed="81"/>
            <rFont val="Segoe UI"/>
            <family val="2"/>
            <charset val="238"/>
          </rPr>
          <t>1. Lak ovitka enostransko
2. Lak ovitka obojestransko</t>
        </r>
      </text>
    </comment>
    <comment ref="CA52" authorId="0" shapeId="0">
      <text>
        <r>
          <rPr>
            <sz val="9"/>
            <color indexed="81"/>
            <rFont val="Segoe UI"/>
            <family val="2"/>
            <charset val="238"/>
          </rPr>
          <t>1. Enostranski lak
2. Obojestranski lak
3. Lak vložka in ovitka</t>
        </r>
      </text>
    </comment>
    <comment ref="CP52" authorId="0" shapeId="0">
      <text>
        <r>
          <rPr>
            <sz val="9"/>
            <color indexed="81"/>
            <rFont val="Segoe UI"/>
            <family val="2"/>
            <charset val="238"/>
          </rPr>
          <t>1. Lak ovitka enostransko
2. Lak ovitka obojestransko</t>
        </r>
      </text>
    </comment>
    <comment ref="DM52" authorId="0" shapeId="0">
      <text>
        <r>
          <rPr>
            <sz val="9"/>
            <color indexed="81"/>
            <rFont val="Segoe UI"/>
            <family val="2"/>
            <charset val="238"/>
          </rPr>
          <t>1. Enostranski lak
2. Obojestranski lak
3. Lak vložka in ovitka</t>
        </r>
      </text>
    </comment>
    <comment ref="EB52" authorId="0" shapeId="0">
      <text>
        <r>
          <rPr>
            <sz val="9"/>
            <color indexed="81"/>
            <rFont val="Segoe UI"/>
            <family val="2"/>
            <charset val="238"/>
          </rPr>
          <t>1. Lak ovitka enostransko
2. Lak ovitka obojestransko</t>
        </r>
      </text>
    </comment>
    <comment ref="EZ52" authorId="0" shapeId="0">
      <text>
        <r>
          <rPr>
            <sz val="9"/>
            <color indexed="81"/>
            <rFont val="Segoe UI"/>
            <family val="2"/>
            <charset val="238"/>
          </rPr>
          <t>1. Enostranski lak
2. Obojestranski lak
3. Lak vložka in ovitka</t>
        </r>
      </text>
    </comment>
    <comment ref="FO52" authorId="0" shapeId="0">
      <text>
        <r>
          <rPr>
            <sz val="9"/>
            <color indexed="81"/>
            <rFont val="Segoe UI"/>
            <family val="2"/>
            <charset val="238"/>
          </rPr>
          <t>1. Lak ovitka enostransko
2. Lak ovitka obojestransko</t>
        </r>
      </text>
    </comment>
    <comment ref="GM52" authorId="0" shapeId="0">
      <text>
        <r>
          <rPr>
            <sz val="9"/>
            <color indexed="81"/>
            <rFont val="Segoe UI"/>
            <family val="2"/>
            <charset val="238"/>
          </rPr>
          <t>1. Enostranski lak
2. Obojestranski lak
3. Lak vložka in ovitka</t>
        </r>
      </text>
    </comment>
    <comment ref="HB52" authorId="0" shapeId="0">
      <text>
        <r>
          <rPr>
            <sz val="9"/>
            <color indexed="81"/>
            <rFont val="Segoe UI"/>
            <family val="2"/>
            <charset val="238"/>
          </rPr>
          <t>1. Lak ovitka enostransko
2. Lak ovitka obojestransko</t>
        </r>
      </text>
    </comment>
    <comment ref="F55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4/0=0,5 ure
PANTONE:
4 barve 1,5
3 barve 1
2 barvi 0,45
1 barva 0,5
</t>
        </r>
      </text>
    </comment>
    <comment ref="U5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Če šivamo na stolpu napišemo 1, 
če ne šivamo pustimo prazno
</t>
        </r>
      </text>
    </comment>
    <comment ref="AQ55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BF5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Če šivamo na stolpu napišemo 1, 
če ne šivamo pustimo prazno
</t>
        </r>
      </text>
    </comment>
    <comment ref="CB55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CQ5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Če šivamo na stolpu napišemo 1, 
če ne šivamo pustimo prazno
</t>
        </r>
      </text>
    </comment>
    <comment ref="DN55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EC5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Če šivamo na stolpu napišemo 1, 
če ne šivamo pustimo prazno
</t>
        </r>
      </text>
    </comment>
    <comment ref="FA55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FP5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Če šivamo na stolpu napišemo 1, 
če ne šivamo pustimo prazno
</t>
        </r>
      </text>
    </comment>
    <comment ref="GN55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HC5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Če šivamo na stolpu napišemo 1, 
če ne šivamo pustimo prazno
</t>
        </r>
      </text>
    </comment>
    <comment ref="E56" authorId="0" shapeId="0">
      <text>
        <r>
          <rPr>
            <sz val="9"/>
            <color indexed="81"/>
            <rFont val="Segoe UI"/>
            <family val="2"/>
            <charset val="238"/>
          </rPr>
          <t>1. A/B
2. A/Obr
3. A/0</t>
        </r>
      </text>
    </comment>
    <comment ref="AP56" authorId="0" shapeId="0">
      <text>
        <r>
          <rPr>
            <sz val="9"/>
            <color indexed="81"/>
            <rFont val="Segoe UI"/>
            <family val="2"/>
            <charset val="238"/>
          </rPr>
          <t>1. A/B
2. A/Obr
3. A/0</t>
        </r>
      </text>
    </comment>
    <comment ref="CA56" authorId="0" shapeId="0">
      <text>
        <r>
          <rPr>
            <sz val="9"/>
            <color indexed="81"/>
            <rFont val="Segoe UI"/>
            <family val="2"/>
            <charset val="238"/>
          </rPr>
          <t>1. A/B
2. A/Obr
3. A/0</t>
        </r>
      </text>
    </comment>
    <comment ref="DM56" authorId="0" shapeId="0">
      <text>
        <r>
          <rPr>
            <sz val="9"/>
            <color indexed="81"/>
            <rFont val="Segoe UI"/>
            <family val="2"/>
            <charset val="238"/>
          </rPr>
          <t>1. A/B
2. A/Obr
3. A/0</t>
        </r>
      </text>
    </comment>
    <comment ref="EZ56" authorId="0" shapeId="0">
      <text>
        <r>
          <rPr>
            <sz val="9"/>
            <color indexed="81"/>
            <rFont val="Segoe UI"/>
            <family val="2"/>
            <charset val="238"/>
          </rPr>
          <t>1. A/B
2. A/Obr
3. A/0</t>
        </r>
      </text>
    </comment>
    <comment ref="GM56" authorId="0" shapeId="0">
      <text>
        <r>
          <rPr>
            <sz val="9"/>
            <color indexed="81"/>
            <rFont val="Segoe UI"/>
            <family val="2"/>
            <charset val="238"/>
          </rPr>
          <t>1. A/B
2. A/Obr
3. A/0</t>
        </r>
      </text>
    </comment>
    <comment ref="F59" authorId="1" shapeId="0">
      <text>
        <r>
          <rPr>
            <sz val="9"/>
            <color indexed="81"/>
            <rFont val="Segoe UI"/>
            <family val="2"/>
            <charset val="238"/>
          </rPr>
          <t xml:space="preserve">Priprava folije znaša 1 uro po eni strani in za en prehod. Vsak naslednji prehod znaša  +0,5 ure.
</t>
        </r>
      </text>
    </comment>
    <comment ref="U59" authorId="0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1. Sijajna
2. Mat
3. Kratzfest 
4. Softtouch
</t>
        </r>
      </text>
    </comment>
    <comment ref="AQ59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CB59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DN59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FA59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GN59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F60" authorId="0" shapeId="0">
      <text>
        <r>
          <rPr>
            <sz val="9"/>
            <color indexed="81"/>
            <rFont val="Segoe UI"/>
            <family val="2"/>
            <charset val="238"/>
          </rPr>
          <t xml:space="preserve">Tisk znaša 1.000 pol na uro
</t>
        </r>
      </text>
    </comment>
    <comment ref="AQ60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CB60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DN60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FA60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GN60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AA6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BL6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CW6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EI6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FV6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HI6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AA6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BL6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CW6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EI6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FV6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HI6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AA6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BL6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CW6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EI6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FV6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HI6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AA6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BL6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CW6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EI6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FV6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HI6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AA6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BL6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CW6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EI6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FV6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HI65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AA66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BL66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CW66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EI66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FV66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HI66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AA67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BL67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CW67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EI67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FV67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HI67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AA68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BL68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CW68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EI68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FV68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  <comment ref="HI68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1 - Znašanje
</t>
        </r>
      </text>
    </comment>
  </commentList>
</comments>
</file>

<file path=xl/comments5.xml><?xml version="1.0" encoding="utf-8"?>
<comments xmlns="http://schemas.openxmlformats.org/spreadsheetml/2006/main">
  <authors>
    <author>Uporabnik sistema Windows</author>
  </authors>
  <commentList>
    <comment ref="Q18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Q19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materiala izberemo iz tabele DN
</t>
        </r>
      </text>
    </comment>
    <comment ref="Q20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folije izračunamo
</t>
        </r>
      </text>
    </comment>
    <comment ref="Q2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folije izračunamo
</t>
        </r>
      </text>
    </comment>
    <comment ref="K37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 Enostranski lak
2. Obojestranski lak
</t>
        </r>
      </text>
    </comment>
  </commentList>
</comments>
</file>

<file path=xl/comments6.xml><?xml version="1.0" encoding="utf-8"?>
<comments xmlns="http://schemas.openxmlformats.org/spreadsheetml/2006/main">
  <authors>
    <author>Uporabnik sistema Windows</author>
    <author>admin</author>
  </authors>
  <commentList>
    <comment ref="H12" authorId="0" shapeId="0">
      <text>
        <r>
          <rPr>
            <sz val="11"/>
            <color indexed="81"/>
            <rFont val="Segoe UI"/>
            <family val="2"/>
            <charset val="238"/>
          </rPr>
          <t>Glede na format tiska, vstavimo število TP iz B1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M1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Format TP 700x
Format TP 500x
</t>
        </r>
      </text>
    </comment>
    <comment ref="O12" authorId="0" shapeId="0">
      <text>
        <r>
          <rPr>
            <sz val="9"/>
            <color indexed="81"/>
            <rFont val="Segoe UI"/>
            <family val="2"/>
            <charset val="238"/>
          </rPr>
          <t xml:space="preserve">Format TP 500
Format TP 330
Format TP 350
</t>
        </r>
      </text>
    </comment>
    <comment ref="U12" authorId="0" shapeId="0">
      <text>
        <r>
          <rPr>
            <sz val="12"/>
            <color indexed="81"/>
            <rFont val="Segoe UI"/>
            <family val="2"/>
            <charset val="238"/>
          </rPr>
          <t>Koliko form je na TP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G19" authorId="0" shapeId="0">
      <text>
        <r>
          <rPr>
            <sz val="14"/>
            <color indexed="81"/>
            <rFont val="Segoe UI"/>
            <family val="2"/>
            <charset val="238"/>
          </rPr>
          <t xml:space="preserve">VPIŠI ROČNO
</t>
        </r>
      </text>
    </comment>
    <comment ref="R2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Orodje BOBST
</t>
        </r>
      </text>
    </comment>
    <comment ref="S24" authorId="0" shapeId="0">
      <text>
        <r>
          <rPr>
            <sz val="9"/>
            <color indexed="81"/>
            <rFont val="Segoe UI"/>
            <family val="2"/>
            <charset val="238"/>
          </rPr>
          <t xml:space="preserve">Orodje CILINDER
</t>
        </r>
      </text>
    </comment>
    <comment ref="R29" authorId="0" shapeId="0">
      <text>
        <r>
          <rPr>
            <sz val="9"/>
            <color indexed="81"/>
            <rFont val="Segoe UI"/>
            <family val="2"/>
            <charset val="238"/>
          </rPr>
          <t xml:space="preserve">Ceno klišeja izračunamo
</t>
        </r>
      </text>
    </comment>
    <comment ref="L3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Gramatura do 135g =3.500 pol/uro</t>
        </r>
      </text>
    </comment>
    <comment ref="AK3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Gramatura do 135g =4.000 pol/uro</t>
        </r>
      </text>
    </comment>
    <comment ref="BF3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Gramatura do 135g =4.000 pol/uro</t>
        </r>
      </text>
    </comment>
    <comment ref="CA3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Gramatura do 135g =3.500 pol/uro</t>
        </r>
      </text>
    </comment>
    <comment ref="CW3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Gramatura do 135g =3.500 pol/uro</t>
        </r>
      </text>
    </comment>
    <comment ref="DS3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Gramatura do 135g =3.500 pol/uro</t>
        </r>
      </text>
    </comment>
    <comment ref="B3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G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</t>
        </r>
        <r>
          <rPr>
            <sz val="14"/>
            <color indexed="81"/>
            <rFont val="Segoe UI"/>
            <family val="2"/>
            <charset val="238"/>
          </rPr>
          <t>Cena materiala na komad</t>
        </r>
      </text>
    </comment>
    <comment ref="L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od 136 do 250g = 3.000 pol/h
</t>
        </r>
      </text>
    </comment>
    <comment ref="AA3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AF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</t>
        </r>
        <r>
          <rPr>
            <sz val="14"/>
            <color indexed="81"/>
            <rFont val="Segoe UI"/>
            <family val="2"/>
            <charset val="238"/>
          </rPr>
          <t>Cena materiala na komad</t>
        </r>
      </text>
    </comment>
    <comment ref="AK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od 136 do 250g = 3.500 pol/h
</t>
        </r>
      </text>
    </comment>
    <comment ref="AV3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BA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</t>
        </r>
        <r>
          <rPr>
            <sz val="14"/>
            <color indexed="81"/>
            <rFont val="Segoe UI"/>
            <family val="2"/>
            <charset val="238"/>
          </rPr>
          <t>Cena materiala na komad</t>
        </r>
      </text>
    </comment>
    <comment ref="BF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od 136 do 250g = 3.500 pol/h
</t>
        </r>
      </text>
    </comment>
    <comment ref="BQ3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BV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</t>
        </r>
        <r>
          <rPr>
            <sz val="14"/>
            <color indexed="81"/>
            <rFont val="Segoe UI"/>
            <family val="2"/>
            <charset val="238"/>
          </rPr>
          <t>Cena materiala na komad</t>
        </r>
      </text>
    </comment>
    <comment ref="CA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od 136 do 250g = 3.000 pol/h
</t>
        </r>
      </text>
    </comment>
    <comment ref="CM3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CR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</t>
        </r>
        <r>
          <rPr>
            <sz val="14"/>
            <color indexed="81"/>
            <rFont val="Segoe UI"/>
            <family val="2"/>
            <charset val="238"/>
          </rPr>
          <t>Cena materiala na komad</t>
        </r>
      </text>
    </comment>
    <comment ref="CW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od 136 do 250g = 3.000 pol/h
</t>
        </r>
      </text>
    </comment>
    <comment ref="DI3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DN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</t>
        </r>
        <r>
          <rPr>
            <sz val="14"/>
            <color indexed="81"/>
            <rFont val="Segoe UI"/>
            <family val="2"/>
            <charset val="238"/>
          </rPr>
          <t>Cena materiala na komad</t>
        </r>
      </text>
    </comment>
    <comment ref="DS37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od 136 do 250g = 3.000 pol/h
</t>
        </r>
      </text>
    </comment>
    <comment ref="L38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nad 250g = 2.500 pol/h</t>
        </r>
      </text>
    </comment>
    <comment ref="AK38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nad 250g = 3.000 pol/h</t>
        </r>
      </text>
    </comment>
    <comment ref="BF38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nad 250g = 3.000 pol/h</t>
        </r>
      </text>
    </comment>
    <comment ref="CA38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nad 250g = 2.500 pol/h</t>
        </r>
      </text>
    </comment>
    <comment ref="CW38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nad 250g = 2.500 pol/h</t>
        </r>
      </text>
    </comment>
    <comment ref="DS38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Gramatura nad 250g = 2.500 pol/h</t>
        </r>
      </text>
    </comment>
    <comment ref="B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G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Cena materiala iz nalogov</t>
        </r>
      </text>
    </comment>
    <comment ref="AA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AF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Cena materiala iz nalogov</t>
        </r>
      </text>
    </comment>
    <comment ref="AV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BA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Cena materiala iz nalogov</t>
        </r>
      </text>
    </comment>
    <comment ref="BQ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BV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Cena materiala iz nalogov</t>
        </r>
      </text>
    </comment>
    <comment ref="CM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CR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Cena materiala iz nalogov</t>
        </r>
      </text>
    </comment>
    <comment ref="DI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Ceno kartona dobimo v nalogih pod materialom.</t>
        </r>
      </text>
    </comment>
    <comment ref="DN4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Cena materiala iz nalogov</t>
        </r>
      </text>
    </comment>
    <comment ref="F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Ročna montaža in kopija le te. Cena je 17€/h</t>
        </r>
      </text>
    </comment>
    <comment ref="O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žleb, perforacija en prehod - 0,5h
2.Priprava slepi, zlato en prehod - 1h
3.Priprava slepi, zlato dva prehoda - 2h 
4.Razrez na pol, enkrat več tiska (pole x 2)
5.Izsek
</t>
        </r>
      </text>
    </comment>
    <comment ref="AE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Ročna montaža in kopija le te. Cena je 17€/h</t>
        </r>
      </text>
    </comment>
    <comment ref="AM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žleb, perforacija en prehod - 0,5h
2.Priprava slepi, zlato en prehod - 1h
3.Priprava slepi, zlato dva prehoda - 2h 
4.Razrez na pol, enkrat več tiska (pole x 2)</t>
        </r>
      </text>
    </comment>
    <comment ref="AZ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Ročna montaža in kopija le te. Cena je 17€/h</t>
        </r>
      </text>
    </comment>
    <comment ref="BH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žleb, perforacija en prehod - 0,5h
2.Priprava slepi, zlato en prehod - 1h
3.Priprava slepi, zlato dva prehoda - 2h 
4.Razrez na pol, enkrat več tiska (pole x 2)</t>
        </r>
      </text>
    </comment>
    <comment ref="BU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Ročna montaža in kopija le te. Cena je 17€/h</t>
        </r>
      </text>
    </comment>
    <comment ref="CD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žleb, perforacija en prehod - 0,5h
2.Priprava slepi, zlato en prehod - 1h
3.Priprava slepi, zlato dva prehoda - 2h 
4.Razrez na pol, enkrat več tiska (pole x 2)
5.Izsek
</t>
        </r>
      </text>
    </comment>
    <comment ref="CQ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Ročna montaža in kopija le te. Cena je 17€/h</t>
        </r>
      </text>
    </comment>
    <comment ref="CZ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žleb, perforacija en prehod - 0,5h
2.Priprava slepi, zlato en prehod - 1h
3.Priprava slepi, zlato dva prehoda - 2h 
4.Razrez na pol, enkrat več tiska (pole x 2)
5.Izsek
</t>
        </r>
      </text>
    </comment>
    <comment ref="DM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Ročna montaža in kopija le te. Cena je 17€/h</t>
        </r>
      </text>
    </comment>
    <comment ref="DV46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žleb, perforacija en prehod - 0,5h
2.Priprava slepi, zlato en prehod - 1h
3.Priprava slepi, zlato dva prehoda - 2h 
4.Razrez na pol, enkrat več tiska (pole x 2)
5.Izsek
</t>
        </r>
      </text>
    </comment>
    <comment ref="F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Št. plošč potrebnih za tisk (barve + lak)</t>
        </r>
      </text>
    </comment>
    <comment ref="O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perfo in žleb=0,5
Priprava folije enostavno = 1h
zahtevno 2h</t>
        </r>
      </text>
    </comment>
    <comment ref="AE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Ročna montaža in kopija le te. Cena je 17€/h</t>
        </r>
      </text>
    </comment>
    <comment ref="AM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perfo in žleb=0,5
Priprava folije enostavno = 1h
zahtevno 2h</t>
        </r>
      </text>
    </comment>
    <comment ref="AZ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Ročna montaža in kopija le te. Cena je 17€/h</t>
        </r>
      </text>
    </comment>
    <comment ref="BH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perfo in žleb=0,5
Priprava folije enostavno = 1h
zahtevno 2h</t>
        </r>
      </text>
    </comment>
    <comment ref="BU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Št. plošč potrebnih za tisk (barve + lak)</t>
        </r>
      </text>
    </comment>
    <comment ref="CD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perfo in žleb=0,5
Priprava folije enostavno = 1h
zahtevno 2h</t>
        </r>
      </text>
    </comment>
    <comment ref="CQ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Št. plošč potrebnih za tisk (barve + lak)</t>
        </r>
      </text>
    </comment>
    <comment ref="CZ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perfo in žleb=0,5
Priprava folije enostavno = 1h
zahtevno 2h</t>
        </r>
      </text>
    </comment>
    <comment ref="DM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Št. plošč potrebnih za tisk (barve + lak)</t>
        </r>
      </text>
    </comment>
    <comment ref="DV4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perfo in žleb=0,5
Priprava folije enostavno = 1h
zahtevno 2h</t>
        </r>
      </text>
    </comment>
    <comment ref="F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Vedno 1 ura montaže v repru.
Cena je 21€/h</t>
        </r>
      </text>
    </comment>
    <comment ref="O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perfo in žleba = 1.500/h
</t>
        </r>
      </text>
    </comment>
    <comment ref="AE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Vedno 1 ura montaže v repru.
Cena je 21€/h</t>
        </r>
      </text>
    </comment>
    <comment ref="AM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perfo in žleba = 1.500/h
</t>
        </r>
      </text>
    </comment>
    <comment ref="AZ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Vedno 1 ura montaže v repru.
Cena je 21€/h</t>
        </r>
      </text>
    </comment>
    <comment ref="BH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perfo in žleba = 1.500/h
</t>
        </r>
      </text>
    </comment>
    <comment ref="BU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Vedno 1 ura montaže v repru.
Cena je 21€/h</t>
        </r>
      </text>
    </comment>
    <comment ref="CD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perfo in žleba = 1.500/h
</t>
        </r>
      </text>
    </comment>
    <comment ref="CQ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Vedno 1 ura montaže v repru.
Cena je 21€/h</t>
        </r>
      </text>
    </comment>
    <comment ref="CZ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perfo in žleba = 1.500/h
</t>
        </r>
      </text>
    </comment>
    <comment ref="DM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Vedno 1 ura montaže v repru.
Cena je 21€/h</t>
        </r>
      </text>
    </comment>
    <comment ref="DV4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perfo in žleba = 1.500/h
</t>
        </r>
      </text>
    </comment>
    <comment ref="O4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folije in slepi tisk = 1.000/h
</t>
        </r>
      </text>
    </comment>
    <comment ref="AM4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folije in slepi tisk = 1.000/h
</t>
        </r>
      </text>
    </comment>
    <comment ref="BH4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folije in slepi tisk = 1.000/h
</t>
        </r>
      </text>
    </comment>
    <comment ref="CD4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folije in slepi tisk = 1.000/h
</t>
        </r>
      </text>
    </comment>
    <comment ref="CZ4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folije in slepi tisk = 1.000/h
</t>
        </r>
      </text>
    </comment>
    <comment ref="DV4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folije in slepi tisk = 1.000/h
</t>
        </r>
      </text>
    </comment>
    <comment ref="O5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Izsek = 1.000/h
</t>
        </r>
      </text>
    </comment>
    <comment ref="AM5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Izsek = 1.000/h
</t>
        </r>
      </text>
    </comment>
    <comment ref="BH5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Izsek = 1.000/h
</t>
        </r>
      </text>
    </comment>
    <comment ref="CD5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Izsek = 1.000/h
</t>
        </r>
      </text>
    </comment>
    <comment ref="CZ5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Izsek = 1.000/h
</t>
        </r>
      </text>
    </comment>
    <comment ref="DV5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Izsek = 1.000/h
</t>
        </r>
      </text>
    </comment>
    <comment ref="O5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enostavna - 2h
2.Priprava zahtevna - 3,5h
3.Priprava slepi tisk - 3h
 </t>
        </r>
      </text>
    </comment>
    <comment ref="AM5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enostavna - 2h
2.Priprava zahtevna - 3,5h
3.Priprava slepi tisk - 3h
 </t>
        </r>
      </text>
    </comment>
    <comment ref="BH5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enostavna - 2h
2.Priprava zahtevna - 3,5h
3.Priprava slepi tisk - 3h
 </t>
        </r>
      </text>
    </comment>
    <comment ref="CD5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enostavna - 2h
2.Priprava zahtevna - 3,5h
3.Priprava slepi tisk - 3h
 </t>
        </r>
      </text>
    </comment>
    <comment ref="CZ5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enostavna - 2h
2.Priprava zahtevna - 3,5h
3.Priprava slepi tisk - 3h
 </t>
        </r>
      </text>
    </comment>
    <comment ref="DV5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1.Priprava enostavna - 2h
2.Priprava zahtevna - 3,5h
3.Priprava slepi tisk - 3h
 </t>
        </r>
      </text>
    </comment>
    <comment ref="O5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Enostavna priprava=2h
2. Priprava srednje zahtevna 3h
3. Z slepim tiskom=4h
4. Enostavna priprava 1,5h</t>
        </r>
      </text>
    </comment>
    <comment ref="AM5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Enostavna priprava=2h
2. Priprava srednje zahtevna 3h
3. Z slepim tiskom=4h
4. Enostavna priprava 1,5h</t>
        </r>
      </text>
    </comment>
    <comment ref="BH5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Enostavna priprava=2h
2. Priprava srednje zahtevna 3h
3. Z slepim tiskom=4h
4. Enostavna priprava 1,5h</t>
        </r>
      </text>
    </comment>
    <comment ref="CD5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Enostavna priprava=2h
2. Priprava srednje zahtevna 3h
3. Z slepim tiskom=4h
4. Enostavna priprava 1,5h</t>
        </r>
      </text>
    </comment>
    <comment ref="CZ5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Enostavna priprava=2h
2. Priprava srednje zahtevna 3h
3. Z slepim tiskom=4h
4. Enostavna priprava 1,5h</t>
        </r>
      </text>
    </comment>
    <comment ref="DV5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Enostavna priprava=2h
2. Priprava srednje zahtevna 3h
3. Z slepim tiskom=4h
4. Enostavna priprava 1,5h</t>
        </r>
      </text>
    </comment>
    <comment ref="O5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Štancanje =3.500/h</t>
        </r>
      </text>
    </comment>
    <comment ref="AM5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Štancanje =3.500/h</t>
        </r>
      </text>
    </comment>
    <comment ref="BH5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Štancanje =3.500/h</t>
        </r>
      </text>
    </comment>
    <comment ref="CD5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Štancanje =3.500/h</t>
        </r>
      </text>
    </comment>
    <comment ref="CZ5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Štancanje =3.500/h</t>
        </r>
      </text>
    </comment>
    <comment ref="DV5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Štancanje =3.500/h</t>
        </r>
      </text>
    </comment>
    <comment ref="D5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  <r>
          <rPr>
            <sz val="12"/>
            <color indexed="81"/>
            <rFont val="Segoe UI"/>
            <family val="2"/>
            <charset val="238"/>
          </rPr>
          <t>1. Enostranski tisk   A/0
2. Obojestranski tisk  A/Obr.
3. Obojestranski tisk  A/B</t>
        </r>
      </text>
    </comment>
    <comment ref="AC5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BS5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CO5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DK5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D5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12"/>
            <color indexed="81"/>
            <rFont val="Segoe UI"/>
            <family val="2"/>
            <charset val="238"/>
          </rPr>
          <t>1-Priprava 0,5h za vse opcije do 4/0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  <r>
          <rPr>
            <sz val="12"/>
            <color indexed="81"/>
            <rFont val="Arial"/>
            <family val="2"/>
            <charset val="238"/>
          </rPr>
          <t>2-</t>
        </r>
        <r>
          <rPr>
            <sz val="12"/>
            <color indexed="81"/>
            <rFont val="Segoe UI"/>
            <family val="2"/>
            <charset val="238"/>
          </rPr>
          <t>Priprava za 4/0=0,75 ure
3-color + 1 barva 1,5
PANTONE:
5 barv 3,5
4 barve 2,75
3 barve 2
2 barvi 1,5
1 barva 1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AC5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BS5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CO5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DK5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admin:VPIŠI ROČNO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D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O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 4.000/h
2.Luščenje srednje zahtevno 3.000/h
3.Zahtevno luščenje 2.000/h,  
 </t>
        </r>
      </text>
    </comment>
    <comment ref="AC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AM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 4.000/h
2.Luščenje srednje zahtevno 3.000/h
3.Zahtevno luščenje 2.000/h,  
 </t>
        </r>
      </text>
    </comment>
    <comment ref="AX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BH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 4.000/h
2.Luščenje srednje zahtevno 3.000/h
3.Zahtevno luščenje 2.000/h,  
 </t>
        </r>
      </text>
    </comment>
    <comment ref="BS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CD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 4.000/h
2.Luščenje srednje zahtevno 3.000/h
3.Zahtevno luščenje 2.000/h,  
 </t>
        </r>
      </text>
    </comment>
    <comment ref="CO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CZ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 4.000/h
2.Luščenje srednje zahtevno 3.000/h
3.Zahtevno luščenje 2.000/h,  
 </t>
        </r>
      </text>
    </comment>
    <comment ref="DK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DV5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 4.000/h
2.Luščenje srednje zahtevno 3.000/h
3.Zahtevno luščenje 2.000/h,  
 </t>
        </r>
      </text>
    </comment>
    <comment ref="O5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AM5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BH5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CD5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CZ5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DV58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O5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AM5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BH5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CD5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CZ5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DV5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1.Luščenje enostavno=4.000/h
2.Srednje zahtevno = 3.000/h
3.Zahtevno = 2.000/h</t>
        </r>
      </text>
    </comment>
    <comment ref="D6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Lakirano
2. Lakirano obojestransko</t>
        </r>
      </text>
    </comment>
    <comment ref="AC6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Lakirano
</t>
        </r>
      </text>
    </comment>
    <comment ref="AX6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Lakirano
</t>
        </r>
      </text>
    </comment>
    <comment ref="BS6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Lakirano
2. Lakirano obojestransko</t>
        </r>
      </text>
    </comment>
    <comment ref="CO6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Lakirano
2. Lakirano obojestransko</t>
        </r>
      </text>
    </comment>
    <comment ref="DK6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Lakirano
2. Lakirano obojestransko</t>
        </r>
      </text>
    </comment>
    <comment ref="D6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disp.laka je 0,5 ure</t>
        </r>
      </text>
    </comment>
    <comment ref="AC6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disp.laka je 0,5 ure</t>
        </r>
      </text>
    </comment>
    <comment ref="AX6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disp.laka je 0,5 ure</t>
        </r>
      </text>
    </comment>
    <comment ref="BS6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disp.laka je 0,5 ure</t>
        </r>
      </text>
    </comment>
    <comment ref="CO6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disp.laka je 0,5 ure</t>
        </r>
      </text>
    </comment>
    <comment ref="DK6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Priprava disp.laka je 0,5 ure</t>
        </r>
      </text>
    </comment>
    <comment ref="D62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Naklada deljeno z številom stavkov na formi.
Cena za odtis je 0,01€</t>
        </r>
      </text>
    </comment>
    <comment ref="O6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1.Linijsko
2.Križno
3.Dva prehoda na lepilki</t>
        </r>
      </text>
    </comment>
    <comment ref="AC62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Naklada deljeno z številom stavkov na formi.
Cena za odtis je 0,01€</t>
        </r>
      </text>
    </comment>
    <comment ref="AM6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1.Linijsko
2.Križno
3.Dva prehoda na lepilki</t>
        </r>
      </text>
    </comment>
    <comment ref="AX62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Naklada deljeno z številom stavkov na formi.
Cena za odtis je 0,01€</t>
        </r>
      </text>
    </comment>
    <comment ref="BH6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1.Linijsko
2.Križno
3.Dva prehoda na lepilki</t>
        </r>
      </text>
    </comment>
    <comment ref="BS62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Naklada deljeno z številom stavkov na formi.
Cena za odtis je 0,01€</t>
        </r>
      </text>
    </comment>
    <comment ref="CD6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1.Linijsko
2.Križno
3.Dva prehoda na lepilki</t>
        </r>
      </text>
    </comment>
    <comment ref="CO62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Naklada deljeno z številom stavkov na formi.
Cena za odtis je 0,01€</t>
        </r>
      </text>
    </comment>
    <comment ref="CZ6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1.Linijsko
2.Križno
3.Dva prehoda na lepilki</t>
        </r>
      </text>
    </comment>
    <comment ref="DK62" authorId="1" shapeId="0">
      <text>
        <r>
          <rPr>
            <sz val="9"/>
            <color indexed="81"/>
            <rFont val="Segoe UI"/>
            <family val="2"/>
            <charset val="238"/>
          </rPr>
          <t xml:space="preserve">
Naklada deljeno z številom stavkov na formi.
Cena za odtis je 0,01€</t>
        </r>
      </text>
    </comment>
    <comment ref="DV6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1.Linijsko
2.Križno
3.Dva prehoda na lepilki</t>
        </r>
      </text>
    </comment>
    <comment ref="O6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lepljenje 0,5h
Križno dno 1h</t>
        </r>
      </text>
    </comment>
    <comment ref="AM6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lepljenje 0,5h
Križno dno 1h</t>
        </r>
      </text>
    </comment>
    <comment ref="BH6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lepljenje 0,5h
Križno dno 1h</t>
        </r>
      </text>
    </comment>
    <comment ref="CD6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lepljenje 0,5h
Križno dno 1h</t>
        </r>
      </text>
    </comment>
    <comment ref="CZ6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lepljenje 0,5h
Križno dno 1h</t>
        </r>
      </text>
    </comment>
    <comment ref="DV6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lepljenje 0,5h
Križno dno 1h</t>
        </r>
      </text>
    </comment>
    <comment ref="O6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AM6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BH6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CD6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CZ6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DV64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D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O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AC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AM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AX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BH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BS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CD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CO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CZ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DK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Enostranski tisk   A/0
2. Obojestranski tisk  A/Obr.
3. Obojestranski tisk  A/B</t>
        </r>
      </text>
    </comment>
    <comment ref="DV65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Linijsko 5.000/h
Križno dno 3.500/h</t>
        </r>
      </text>
    </comment>
    <comment ref="D6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AC6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AX6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BS6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CO6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DK66" authorId="1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admin:
</t>
        </r>
        <r>
          <rPr>
            <sz val="9"/>
            <color indexed="81"/>
            <rFont val="Segoe UI"/>
            <family val="2"/>
            <charset val="238"/>
          </rPr>
          <t xml:space="preserve">Priprava 0,5h za vse opcije do 4/0
Priprava za 4/0=0,75 ure
color + 1 barva 1,5
PANTONE:
5 barv 3,5
4 barve 2,75
3 barve 2
2 barvi 1,5
1 barva 1
</t>
        </r>
      </text>
    </comment>
    <comment ref="D6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AC6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AX6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BS6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CO6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DK67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Normativ za tisk je 
4.000 /h</t>
        </r>
      </text>
    </comment>
    <comment ref="O6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Isto kot razrez papirja, le da so tu tiskovne pole v primeru razreza pol na manjši format </t>
        </r>
      </text>
    </comment>
    <comment ref="AM6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Isto kot razrez papirja, le da so tu tiskovne pole v primeru razreza pol na manjši format </t>
        </r>
      </text>
    </comment>
    <comment ref="BH6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Isto kot razrez papirja, le da so tu tiskovne pole v primeru razreza pol na manjši format </t>
        </r>
      </text>
    </comment>
    <comment ref="CD6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Isto kot razrez papirja, le da so tu tiskovne pole v primeru razreza pol na manjši format </t>
        </r>
      </text>
    </comment>
    <comment ref="CZ6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Isto kot razrez papirja, le da so tu tiskovne pole v primeru razreza pol na manjši format </t>
        </r>
      </text>
    </comment>
    <comment ref="DV69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Isto kot razrez papirja, le da so tu tiskovne pole v primeru razreza pol na manjši format </t>
        </r>
      </text>
    </comment>
    <comment ref="D7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Priprava 1,5h
2. Priprava z rezanjem nove gume  3h</t>
        </r>
      </text>
    </comment>
    <comment ref="AC7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Priprava 1,5h
2. Priprava z rezanjem nove gume  3h</t>
        </r>
      </text>
    </comment>
    <comment ref="AX7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Priprava 1,5h
2. Priprava z rezanjem nove gume  3h</t>
        </r>
      </text>
    </comment>
    <comment ref="BS7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Priprava 1,5h
2. Priprava z rezanjem nove gume  3h</t>
        </r>
      </text>
    </comment>
    <comment ref="CO7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Priprava 1,5h
2. Priprava z rezanjem nove gume  3h</t>
        </r>
      </text>
    </comment>
    <comment ref="DK70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Priprava 1,5h
2. Priprava z rezanjem nove gume  3h</t>
        </r>
      </text>
    </comment>
    <comment ref="D7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Prirprava znaša 1,5h
Z rezanjem nove gume znaša 3h</t>
        </r>
      </text>
    </comment>
    <comment ref="AC7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Prirprava znaša 1,5h
Z rezanjem nove gume znaša 3h</t>
        </r>
      </text>
    </comment>
    <comment ref="AX7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Prirprava znaša 1,5h
Z rezanjem nove gume znaša 3h</t>
        </r>
      </text>
    </comment>
    <comment ref="BS7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Prirprava znaša 1,5h
Z rezanjem nove gume znaša 3h</t>
        </r>
      </text>
    </comment>
    <comment ref="CO7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Prirprava znaša 1,5h
Z rezanjem nove gume znaša 3h</t>
        </r>
      </text>
    </comment>
    <comment ref="DK71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Prirprava znaša 1,5h
Z rezanjem nove gume znaša 3h</t>
        </r>
      </text>
    </comment>
    <comment ref="D7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laka je 1.500/h</t>
        </r>
      </text>
    </comment>
    <comment ref="AC7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laka je 1.500/h</t>
        </r>
      </text>
    </comment>
    <comment ref="AX7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laka je 1.500/h</t>
        </r>
      </text>
    </comment>
    <comment ref="BS7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laka je 1.500/h</t>
        </r>
      </text>
    </comment>
    <comment ref="CO7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laka je 1.500/h</t>
        </r>
      </text>
    </comment>
    <comment ref="DK72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Tisk laka je 1.500/h</t>
        </r>
      </text>
    </comment>
    <comment ref="O7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Sijajna plastika
2. Mat plastika
3. Kratzfest plastika
4. Softtouch plastika</t>
        </r>
      </text>
    </comment>
    <comment ref="R7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 Obojestransko plastificiranje
</t>
        </r>
      </text>
    </comment>
    <comment ref="AM7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Sijajna folija
2. Mat folija
3. Kratzfest folija
4. Softtouch folija</t>
        </r>
      </text>
    </comment>
    <comment ref="AP7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 Obojestranska folija
</t>
        </r>
      </text>
    </comment>
    <comment ref="BH7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Sijajna folija
2. Mat folija
3. Kratzfest folija
4. Softtouch folija</t>
        </r>
      </text>
    </comment>
    <comment ref="BK7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 Obojestranska folija
</t>
        </r>
      </text>
    </comment>
    <comment ref="CD7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Sijajna folija
2. Mat folija
3. Kratzfest folija
4. Softtouch folija</t>
        </r>
      </text>
    </comment>
    <comment ref="CG7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 Obojestranska folija
</t>
        </r>
      </text>
    </comment>
    <comment ref="CZ7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Sijajna folija
2. Mat folija
3. Kratzfest folija
4. Softtouch folija</t>
        </r>
      </text>
    </comment>
    <comment ref="DC7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 Obojestranska folija
</t>
        </r>
      </text>
    </comment>
    <comment ref="DV73" authorId="1" shapeId="0">
      <text>
        <r>
          <rPr>
            <b/>
            <sz val="9"/>
            <color indexed="81"/>
            <rFont val="Segoe UI"/>
            <family val="2"/>
            <charset val="238"/>
          </rPr>
          <t>admin:</t>
        </r>
        <r>
          <rPr>
            <sz val="9"/>
            <color indexed="81"/>
            <rFont val="Segoe UI"/>
            <family val="2"/>
            <charset val="238"/>
          </rPr>
          <t xml:space="preserve">
1. Sijajna folija
2. Mat folija
3. Kratzfest folija
4. Softtouch folija</t>
        </r>
      </text>
    </comment>
    <comment ref="DY73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 Obojestranska folija
</t>
        </r>
      </text>
    </comment>
    <comment ref="O74" authorId="1" shapeId="0">
      <text>
        <r>
          <rPr>
            <sz val="9"/>
            <color indexed="81"/>
            <rFont val="Segoe UI"/>
            <family val="2"/>
            <charset val="238"/>
          </rPr>
          <t xml:space="preserve">Plastika prepisana iz tabele PLASTIKA
</t>
        </r>
      </text>
    </comment>
    <comment ref="AM74" authorId="1" shapeId="0">
      <text>
        <r>
          <rPr>
            <sz val="9"/>
            <color indexed="81"/>
            <rFont val="Segoe UI"/>
            <family val="2"/>
            <charset val="238"/>
          </rPr>
          <t xml:space="preserve">Plastika prepisana iz tabele PLASTIKA
</t>
        </r>
      </text>
    </comment>
    <comment ref="BH74" authorId="1" shapeId="0">
      <text>
        <r>
          <rPr>
            <sz val="9"/>
            <color indexed="81"/>
            <rFont val="Segoe UI"/>
            <family val="2"/>
            <charset val="238"/>
          </rPr>
          <t xml:space="preserve">Plastika prepisana iz tabele PLASTIKA
</t>
        </r>
      </text>
    </comment>
    <comment ref="CD74" authorId="1" shapeId="0">
      <text>
        <r>
          <rPr>
            <sz val="9"/>
            <color indexed="81"/>
            <rFont val="Segoe UI"/>
            <family val="2"/>
            <charset val="238"/>
          </rPr>
          <t xml:space="preserve">Plastika prepisana iz tabele PLASTIKA
</t>
        </r>
      </text>
    </comment>
    <comment ref="CZ74" authorId="1" shapeId="0">
      <text>
        <r>
          <rPr>
            <sz val="9"/>
            <color indexed="81"/>
            <rFont val="Segoe UI"/>
            <family val="2"/>
            <charset val="238"/>
          </rPr>
          <t xml:space="preserve">Plastika prepisana iz tabele PLASTIKA
</t>
        </r>
      </text>
    </comment>
    <comment ref="DV74" authorId="1" shapeId="0">
      <text>
        <r>
          <rPr>
            <sz val="9"/>
            <color indexed="81"/>
            <rFont val="Segoe UI"/>
            <family val="2"/>
            <charset val="238"/>
          </rPr>
          <t xml:space="preserve">Plastika prepisana iz tabele PLASTIKA
</t>
        </r>
      </text>
    </comment>
    <comment ref="E8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1.UV lak do 30%
2.UV lak več kot 30%
</t>
        </r>
      </text>
    </comment>
    <comment ref="AD8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1.UV lak do 30%
2.UV lak več kot 30%
</t>
        </r>
      </text>
    </comment>
    <comment ref="AY8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1.UV lak do 30%
2.UV lak več kot 30%
</t>
        </r>
      </text>
    </comment>
    <comment ref="BT8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1.UV lak do 30%
2.UV lak več kot 30%
</t>
        </r>
      </text>
    </comment>
    <comment ref="CP8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1.UV lak do 30%
2.UV lak več kot 30%
</t>
        </r>
      </text>
    </comment>
    <comment ref="DL8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1.UV lak do 30%
2.UV lak več kot 30%
</t>
        </r>
      </text>
    </comment>
  </commentList>
</comments>
</file>

<file path=xl/sharedStrings.xml><?xml version="1.0" encoding="utf-8"?>
<sst xmlns="http://schemas.openxmlformats.org/spreadsheetml/2006/main" count="1821" uniqueCount="266">
  <si>
    <t>NAROČNIK:</t>
  </si>
  <si>
    <t>PONUDBA ZA:</t>
  </si>
  <si>
    <t>KOMERCIALIST:</t>
  </si>
  <si>
    <t>FAZE DELA:</t>
  </si>
  <si>
    <t>TISK:</t>
  </si>
  <si>
    <t>DODELAVA:</t>
  </si>
  <si>
    <t>NAKLADA:</t>
  </si>
  <si>
    <t>IZDELAVA TISKOVNE FORME:</t>
  </si>
  <si>
    <t>VSOTA:</t>
  </si>
  <si>
    <t>TISK / STROJ:</t>
  </si>
  <si>
    <t>Priprava:</t>
  </si>
  <si>
    <t>Tisk:</t>
  </si>
  <si>
    <t>H5</t>
  </si>
  <si>
    <t>RAZREZ PAPIRJA:</t>
  </si>
  <si>
    <t>Razrez 1:</t>
  </si>
  <si>
    <t>Razrez 2:</t>
  </si>
  <si>
    <t>Razrez 3:</t>
  </si>
  <si>
    <t>CILINDER</t>
  </si>
  <si>
    <t>BOBST</t>
  </si>
  <si>
    <t>LEPILKA</t>
  </si>
  <si>
    <t>Lepljenje:</t>
  </si>
  <si>
    <t>DISPERZIJSKI LAK</t>
  </si>
  <si>
    <t>RAZREZ / OBREZ</t>
  </si>
  <si>
    <t xml:space="preserve"> </t>
  </si>
  <si>
    <t>TISK / IZSEK / LEPLJENJE</t>
  </si>
  <si>
    <t>Luščenje:</t>
  </si>
  <si>
    <t>Pakiranje:</t>
  </si>
  <si>
    <t>MATERIAL:</t>
  </si>
  <si>
    <t>Plošče:</t>
  </si>
  <si>
    <t>ZNESEK</t>
  </si>
  <si>
    <t>Montaža - kopija:</t>
  </si>
  <si>
    <t>Papir:</t>
  </si>
  <si>
    <t>Karton:</t>
  </si>
  <si>
    <t>PC Repro:</t>
  </si>
  <si>
    <t>IZ B1 POLE:</t>
  </si>
  <si>
    <t>NA TISK. POLI:</t>
  </si>
  <si>
    <t>LUŠČENJE/PAKIRANJE</t>
  </si>
  <si>
    <t>Tisk Ž/P:</t>
  </si>
  <si>
    <t>Tisk folija:</t>
  </si>
  <si>
    <t>V škatli:</t>
  </si>
  <si>
    <t>CENA:</t>
  </si>
  <si>
    <t>CENA ZA KOS:</t>
  </si>
  <si>
    <t>ITF</t>
  </si>
  <si>
    <t>I T F</t>
  </si>
  <si>
    <t xml:space="preserve">D O D E L A V A </t>
  </si>
  <si>
    <t>SPECIFIKACIJA</t>
  </si>
  <si>
    <t>TISK</t>
  </si>
  <si>
    <t>DODELAVA</t>
  </si>
  <si>
    <t>MATERIAL</t>
  </si>
  <si>
    <t>OSTALI STROŠKI</t>
  </si>
  <si>
    <t>CENA SKUPAJ:</t>
  </si>
  <si>
    <t>DODATNE-ZUNANJE USLUGE</t>
  </si>
  <si>
    <t>UV Lakiranje:</t>
  </si>
  <si>
    <t>Plastificiranje:</t>
  </si>
  <si>
    <t>Šivanje:</t>
  </si>
  <si>
    <t>Izsek:</t>
  </si>
  <si>
    <t>Zlatotisk:</t>
  </si>
  <si>
    <t>T  I  S  K</t>
  </si>
  <si>
    <t>ROL./UV</t>
  </si>
  <si>
    <t>U S L U G E</t>
  </si>
  <si>
    <t>PLASTIFIKACIJA</t>
  </si>
  <si>
    <t>Št. škatl:</t>
  </si>
  <si>
    <t>PLASTIFICIRANJE</t>
  </si>
  <si>
    <t>FORMAT TISKOVNE POLE</t>
  </si>
  <si>
    <t>SIJAJNA PLASTIKA</t>
  </si>
  <si>
    <t>MAT PLASTIKA</t>
  </si>
  <si>
    <t>ŠIRINA:</t>
  </si>
  <si>
    <r>
      <t>CENA / m</t>
    </r>
    <r>
      <rPr>
        <vertAlign val="superscript"/>
        <sz val="11"/>
        <color theme="1"/>
        <rFont val="Arial"/>
        <family val="2"/>
        <charset val="238"/>
      </rPr>
      <t>2</t>
    </r>
  </si>
  <si>
    <t>Delo</t>
  </si>
  <si>
    <t>tekoči meter</t>
  </si>
  <si>
    <t>cena/TM</t>
  </si>
  <si>
    <t>700x500</t>
  </si>
  <si>
    <t>700x330</t>
  </si>
  <si>
    <t>500x350</t>
  </si>
  <si>
    <t>SKUPAJ</t>
  </si>
  <si>
    <t>SOFT TOUCH 4</t>
  </si>
  <si>
    <t>KRATZFEST PLASTIKA</t>
  </si>
  <si>
    <t>SOFT TOUCH PLASTIKA</t>
  </si>
  <si>
    <t>Prime zlata</t>
  </si>
  <si>
    <t>t/m</t>
  </si>
  <si>
    <t xml:space="preserve">SIJAJNA </t>
  </si>
  <si>
    <t xml:space="preserve">MAT </t>
  </si>
  <si>
    <t xml:space="preserve">KRAZFEST </t>
  </si>
  <si>
    <t>Plastika:</t>
  </si>
  <si>
    <t>Cenik klišejev</t>
  </si>
  <si>
    <t>Velikost klišeja</t>
  </si>
  <si>
    <t>Film</t>
  </si>
  <si>
    <t>a</t>
  </si>
  <si>
    <t xml:space="preserve"> x</t>
  </si>
  <si>
    <t>b</t>
  </si>
  <si>
    <t>Faseta</t>
  </si>
  <si>
    <t>x</t>
  </si>
  <si>
    <t xml:space="preserve"> = </t>
  </si>
  <si>
    <t>cm2</t>
  </si>
  <si>
    <t>Pošta</t>
  </si>
  <si>
    <t>mm</t>
  </si>
  <si>
    <t>do 30cm2</t>
  </si>
  <si>
    <t>Cena klišeja</t>
  </si>
  <si>
    <t>Osnovni stroški</t>
  </si>
  <si>
    <t xml:space="preserve"> + </t>
  </si>
  <si>
    <t xml:space="preserve"> =</t>
  </si>
  <si>
    <t>vsak nadaljnji cm</t>
  </si>
  <si>
    <r>
      <t>Vsak nadaljni cm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</si>
  <si>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r>
      <t>Fiksna cena klišeja do 30 cm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</si>
  <si>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t>IZRAČUN CENE KLIŠEJA:</t>
  </si>
  <si>
    <t>VELIKOST:</t>
  </si>
  <si>
    <t>CENA ZA KLIŠE:</t>
  </si>
  <si>
    <t>ŠTEVILO KLIŠEJEV:</t>
  </si>
  <si>
    <t>IZRAČUN FOLIJE:</t>
  </si>
  <si>
    <t>FOLIJA</t>
  </si>
  <si>
    <t>Št.TISK. POL:</t>
  </si>
  <si>
    <t>Cenik plastificiranja, uv lakiranja in parcialnega uv lakiranja</t>
  </si>
  <si>
    <t>Količina pol:</t>
  </si>
  <si>
    <t xml:space="preserve">Plastificiranje: </t>
  </si>
  <si>
    <r>
      <rPr>
        <b/>
        <sz val="11"/>
        <color indexed="8"/>
        <rFont val="Calibri"/>
        <family val="2"/>
        <charset val="238"/>
      </rPr>
      <t>Grafoplast d.o.o.</t>
    </r>
    <r>
      <rPr>
        <sz val="11"/>
        <color theme="1"/>
        <rFont val="Calibri"/>
        <family val="2"/>
        <charset val="238"/>
        <scheme val="minor"/>
      </rPr>
      <t>,  Šolska ulica 13, 3210 Sl. Konjice</t>
    </r>
  </si>
  <si>
    <t>CENA FOLIJE - rola</t>
  </si>
  <si>
    <t>T.: 03 759 22 44, Fax: 03 759 22 45, GSM: 040 233 006, mateja@arsstudio.si</t>
  </si>
  <si>
    <t>Cena usluge</t>
  </si>
  <si>
    <t>dožina</t>
  </si>
  <si>
    <t>Sijaj</t>
  </si>
  <si>
    <t>Mat</t>
  </si>
  <si>
    <t>kratzfest</t>
  </si>
  <si>
    <t>soft touch</t>
  </si>
  <si>
    <t>Cenik:</t>
  </si>
  <si>
    <t>Tek. Metr</t>
  </si>
  <si>
    <t>B4</t>
  </si>
  <si>
    <t>B3</t>
  </si>
  <si>
    <t>B2</t>
  </si>
  <si>
    <t>Širina 500</t>
  </si>
  <si>
    <t>B1</t>
  </si>
  <si>
    <t>Širina 320</t>
  </si>
  <si>
    <t>450x320</t>
  </si>
  <si>
    <t>640x440</t>
  </si>
  <si>
    <t>900x640</t>
  </si>
  <si>
    <t>Prip. str. do 500 pol</t>
  </si>
  <si>
    <t>PAM PLUS d.o.o.</t>
  </si>
  <si>
    <t>T.: 031 677 071, pamef@siol.net</t>
  </si>
  <si>
    <t>UV lakiranje - FLEHA 1/0</t>
  </si>
  <si>
    <t>F7402</t>
  </si>
  <si>
    <t xml:space="preserve">Folija za plastificiranje </t>
  </si>
  <si>
    <t>SAIJAJ</t>
  </si>
  <si>
    <t>F7399</t>
  </si>
  <si>
    <t>F7122</t>
  </si>
  <si>
    <t>Folija za plastificiranje MAT</t>
  </si>
  <si>
    <t>1000x700</t>
  </si>
  <si>
    <t>F7646</t>
  </si>
  <si>
    <t>Priprava</t>
  </si>
  <si>
    <t>F7400, F7411</t>
  </si>
  <si>
    <r>
      <rPr>
        <b/>
        <sz val="11"/>
        <color indexed="8"/>
        <rFont val="Calibri"/>
        <family val="2"/>
        <charset val="238"/>
      </rPr>
      <t>Ditis d.o.o.</t>
    </r>
    <r>
      <rPr>
        <sz val="11"/>
        <color theme="1"/>
        <rFont val="Calibri"/>
        <family val="2"/>
        <charset val="238"/>
        <scheme val="minor"/>
      </rPr>
      <t>, Stara cesta 20, 2311 Hoče</t>
    </r>
  </si>
  <si>
    <t>T.: 041 383 799, ivan.zuran@gmail.com</t>
  </si>
  <si>
    <t>UV lakiranje - PARCIALNO</t>
  </si>
  <si>
    <t>Odtis</t>
  </si>
  <si>
    <t>film</t>
  </si>
  <si>
    <t>priprava</t>
  </si>
  <si>
    <t>SIJAJNO                   500x350</t>
  </si>
  <si>
    <t>do 30%                     640x440</t>
  </si>
  <si>
    <t xml:space="preserve"> pokritosti                700x500</t>
  </si>
  <si>
    <t>880x640</t>
  </si>
  <si>
    <t>MAT                           500x350</t>
  </si>
  <si>
    <t>do 60%                     640x440</t>
  </si>
  <si>
    <t>pokritosti                700x500</t>
  </si>
  <si>
    <t>do 90%                     640x440</t>
  </si>
  <si>
    <t>do 90%                    640x440</t>
  </si>
  <si>
    <r>
      <rPr>
        <b/>
        <sz val="11"/>
        <color indexed="10"/>
        <rFont val="Calibri"/>
        <family val="2"/>
        <charset val="238"/>
      </rPr>
      <t>RELIEF</t>
    </r>
    <r>
      <rPr>
        <sz val="11"/>
        <color theme="1"/>
        <rFont val="Calibri"/>
        <family val="2"/>
        <charset val="238"/>
        <scheme val="minor"/>
      </rPr>
      <t xml:space="preserve">                       500x350</t>
    </r>
  </si>
  <si>
    <r>
      <rPr>
        <b/>
        <sz val="11"/>
        <color indexed="10"/>
        <rFont val="Calibri"/>
        <family val="2"/>
        <charset val="238"/>
      </rPr>
      <t>BLEŠČICE</t>
    </r>
    <r>
      <rPr>
        <sz val="11"/>
        <color theme="1"/>
        <rFont val="Calibri"/>
        <family val="2"/>
        <charset val="238"/>
        <scheme val="minor"/>
      </rPr>
      <t xml:space="preserve">                  500x350</t>
    </r>
  </si>
  <si>
    <r>
      <rPr>
        <b/>
        <sz val="11"/>
        <color indexed="10"/>
        <rFont val="Calibri"/>
        <family val="2"/>
        <charset val="238"/>
      </rPr>
      <t xml:space="preserve">RUBL  </t>
    </r>
    <r>
      <rPr>
        <sz val="11"/>
        <color theme="1"/>
        <rFont val="Calibri"/>
        <family val="2"/>
        <charset val="238"/>
        <scheme val="minor"/>
      </rPr>
      <t xml:space="preserve">                       500x350</t>
    </r>
  </si>
  <si>
    <t>SKUPNO ŠT. STRANI:</t>
  </si>
  <si>
    <t>ŠTEVILO CELIH POL:</t>
  </si>
  <si>
    <t>ŠTEVILO POL/Obr.:</t>
  </si>
  <si>
    <t>350x250</t>
  </si>
  <si>
    <t>ORODJE</t>
  </si>
  <si>
    <t xml:space="preserve">KLIŠE </t>
  </si>
  <si>
    <t>Format TP:</t>
  </si>
  <si>
    <t>PONUDBA ZA BROŠURE / LETAKE / DOPISE</t>
  </si>
  <si>
    <t>IZ B1 = TP 700x500</t>
  </si>
  <si>
    <t>IZ B1 = TP 700x330</t>
  </si>
  <si>
    <t>Rok Kadilnik</t>
  </si>
  <si>
    <t>IZ B1 = TP 500x350</t>
  </si>
  <si>
    <t>IZ B1 = TP 350x250</t>
  </si>
  <si>
    <t>ŠT. STRANI NA POLI:</t>
  </si>
  <si>
    <t>ŠT.STR. NA POLI /Obr.:</t>
  </si>
  <si>
    <t>ŠT. POL A/B :</t>
  </si>
  <si>
    <t>ŠT. POL A/Obr. :</t>
  </si>
  <si>
    <t>ŠT. POL A/0 :</t>
  </si>
  <si>
    <t>Offset 90g BB</t>
  </si>
  <si>
    <t>OVITEK A/B</t>
  </si>
  <si>
    <t>OVITEK A/Obr.</t>
  </si>
  <si>
    <t>Folija:</t>
  </si>
  <si>
    <t>OVITEK A/0</t>
  </si>
  <si>
    <t>DOPISI A/B</t>
  </si>
  <si>
    <t>DOPISI A/Obr.:</t>
  </si>
  <si>
    <t>DOPISI A/0</t>
  </si>
  <si>
    <t>Iz B1 pole:</t>
  </si>
  <si>
    <t>DOPISI - LETAKI  A/B</t>
  </si>
  <si>
    <t>DOPISI - LETAKI  A/Obr.:</t>
  </si>
  <si>
    <t>DOPISI - LETAKI  A/0</t>
  </si>
  <si>
    <t>Na TP:</t>
  </si>
  <si>
    <t xml:space="preserve">IZ B1 = TP </t>
  </si>
  <si>
    <t>Št. TP:</t>
  </si>
  <si>
    <t>Burgo gloss 250g SB</t>
  </si>
  <si>
    <t>PONUDBA ZA  LETAKE / DOPISE</t>
  </si>
  <si>
    <t>RAZREZ Papirja:</t>
  </si>
  <si>
    <t>Repro:</t>
  </si>
  <si>
    <t/>
  </si>
  <si>
    <t>PM</t>
  </si>
  <si>
    <t>MATERIAL :</t>
  </si>
  <si>
    <t>MATERIAL Ovitek:</t>
  </si>
  <si>
    <t>ŠT. STR. OVITEK</t>
  </si>
  <si>
    <t>UV:</t>
  </si>
  <si>
    <t>MATERIAL Brošure vložek:</t>
  </si>
  <si>
    <t>TP OVITEK:</t>
  </si>
  <si>
    <t>TP VLOŽEK:</t>
  </si>
  <si>
    <t>Iz B1:</t>
  </si>
  <si>
    <t>RAZREZ materiala:</t>
  </si>
  <si>
    <t>Vsota:</t>
  </si>
  <si>
    <t>PRIPRAVA TF:</t>
  </si>
  <si>
    <t>H5 - R300:</t>
  </si>
  <si>
    <t>Disp. LAK:</t>
  </si>
  <si>
    <t>PM:</t>
  </si>
  <si>
    <t>Stolp:</t>
  </si>
  <si>
    <t>Znašanje:</t>
  </si>
  <si>
    <t>Štetje:</t>
  </si>
  <si>
    <t>Šivanje-hrbet:</t>
  </si>
  <si>
    <t>Izd. Kompletov:</t>
  </si>
  <si>
    <t>Opasovanje:</t>
  </si>
  <si>
    <t>+5%</t>
  </si>
  <si>
    <t>+10%</t>
  </si>
  <si>
    <t xml:space="preserve">Vložek: </t>
  </si>
  <si>
    <t>Ovitek:</t>
  </si>
  <si>
    <t xml:space="preserve">Razrez: </t>
  </si>
  <si>
    <t>Kom. V škatlo:</t>
  </si>
  <si>
    <t>Vložek:</t>
  </si>
  <si>
    <t>Na B1:</t>
  </si>
  <si>
    <t>nivis mat 90g</t>
  </si>
  <si>
    <t>Datum:</t>
  </si>
  <si>
    <t>Cena za prvo naklado</t>
  </si>
  <si>
    <t>KALKULACIJA št.:</t>
  </si>
  <si>
    <t>incada 250g</t>
  </si>
  <si>
    <t>Zlaganje:</t>
  </si>
  <si>
    <t>Pakiranje v šk.:</t>
  </si>
  <si>
    <t>EMBALAŽA:</t>
  </si>
  <si>
    <t>1 ROLA 7.342 dm2</t>
  </si>
  <si>
    <t>PORABA v DM2</t>
  </si>
  <si>
    <t>IZRAČUN CENE MATERALA</t>
  </si>
  <si>
    <t>gramatura</t>
  </si>
  <si>
    <t>površina</t>
  </si>
  <si>
    <t>tona/1000 kg</t>
  </si>
  <si>
    <t>število pol  v toni</t>
  </si>
  <si>
    <t>ŽELJENA KOLIČINA POL</t>
  </si>
  <si>
    <t xml:space="preserve">DIMENZIJA POLE </t>
  </si>
  <si>
    <t xml:space="preserve">TEŽA SKUPAJ - TON </t>
  </si>
  <si>
    <t xml:space="preserve">CENA ZA KOLIČINO </t>
  </si>
  <si>
    <t>cena pole+5%</t>
  </si>
  <si>
    <t>CENA / 1.000:</t>
  </si>
  <si>
    <t>DODATEK</t>
  </si>
  <si>
    <t>Tilen Petrič</t>
  </si>
  <si>
    <t>Z DODATKOM:</t>
  </si>
  <si>
    <t>S8</t>
  </si>
  <si>
    <t>Št. TISK.POL</t>
  </si>
  <si>
    <t>Zloženke 149x158 Glyphomax 8 strani</t>
  </si>
  <si>
    <t>razrez+izsek+zgibanje</t>
  </si>
  <si>
    <t>POL / RAZREZ:</t>
  </si>
  <si>
    <t>S4</t>
  </si>
  <si>
    <t>Zloženke 230467N Glyphomax 8 strani  4/1</t>
  </si>
  <si>
    <r>
      <t>Cena materiala/</t>
    </r>
    <r>
      <rPr>
        <b/>
        <sz val="18"/>
        <color theme="1"/>
        <rFont val="Arial"/>
        <family val="2"/>
        <charset val="238"/>
      </rPr>
      <t>TONA</t>
    </r>
  </si>
  <si>
    <r>
      <t>Cena materiala/</t>
    </r>
    <r>
      <rPr>
        <b/>
        <sz val="18"/>
        <color theme="1"/>
        <rFont val="Arial"/>
        <family val="2"/>
        <charset val="238"/>
      </rPr>
      <t>POLA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</si>
</sst>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#,##0.00\ &quot;€&quot;"/>
    <numFmt numFmtId="165" formatCode="#,##0.000\ &quot;€&quot;"/>
    <numFmt numFmtId="166" formatCode="0.0"/>
    <numFmt numFmtId="167" formatCode="#,##0.00\ _€"/>
    <numFmt numFmtId="168" formatCode="#,##0\ &quot;€&quot;"/>
    <numFmt numFmtId="169" formatCode="#,##0.000\ _€"/>
    <numFmt numFmtId="170" formatCode="0.000"/>
    <numFmt numFmtId="171" formatCode="0.0%"/>
    <numFmt numFmtId="172" formatCode="#,##0.0000\ &quot;€&quot;"/>
    <numFmt numFmtId="173" formatCode="#,##0.0000\ _€"/>
    <numFmt numFmtId="174" formatCode="d/m/yyyy;@"/>
    <numFmt numFmtId="175" formatCode="#,##0.0000"/>
  </numFmts>
  <fonts count="128" x14ac:knownFonts="1"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sz val="12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i/>
      <sz val="11"/>
      <color theme="1"/>
      <name val="Calibri"/>
      <family val="2"/>
      <charset val="238"/>
      <scheme val="minor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  <font>
      <sz val="11"/>
      <color theme="1"/>
      <name val="Arial"/>
      <family val="2"/>
      <charset val="238"/>
    </font>
    <font>
      <b/>
      <i/>
      <sz val="11"/>
      <color theme="1"/>
      <name val="Arial"/>
      <family val="2"/>
      <charset val="238"/>
    </font>
    <font>
      <sz val="12"/>
      <color theme="1"/>
      <name val="Arial"/>
      <family val="2"/>
      <charset val="238"/>
    </font>
    <font>
      <b/>
      <i/>
      <sz val="12"/>
      <color theme="1"/>
      <name val="Arial"/>
      <family val="2"/>
      <charset val="238"/>
    </font>
    <font>
      <u/>
      <sz val="11"/>
      <color theme="1"/>
      <name val="Arial"/>
      <family val="2"/>
      <charset val="238"/>
    </font>
    <font>
      <b/>
      <sz val="12"/>
      <color rgb="FFFF0000"/>
      <name val="Arial"/>
      <family val="2"/>
      <charset val="238"/>
    </font>
    <font>
      <sz val="11"/>
      <color rgb="FF0070C0"/>
      <name val="Arial"/>
      <family val="2"/>
      <charset val="238"/>
    </font>
    <font>
      <b/>
      <i/>
      <sz val="11"/>
      <color rgb="FFFF0000"/>
      <name val="Arial"/>
      <family val="2"/>
      <charset val="238"/>
    </font>
    <font>
      <b/>
      <i/>
      <sz val="11"/>
      <color rgb="FFFF0000"/>
      <name val="Calibri"/>
      <family val="2"/>
      <charset val="238"/>
      <scheme val="minor"/>
    </font>
    <font>
      <b/>
      <i/>
      <sz val="12"/>
      <color rgb="FFFF0000"/>
      <name val="Arial"/>
      <family val="2"/>
      <charset val="238"/>
    </font>
    <font>
      <b/>
      <i/>
      <sz val="12"/>
      <color rgb="FF0070C0"/>
      <name val="Arial"/>
      <family val="2"/>
      <charset val="238"/>
    </font>
    <font>
      <u/>
      <sz val="11"/>
      <color rgb="FF00B0F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  <font>
      <b/>
      <sz val="12"/>
      <color rgb="FF7030A0"/>
      <name val="Arial"/>
      <family val="2"/>
      <charset val="238"/>
    </font>
    <font>
      <b/>
      <i/>
      <sz val="16"/>
      <name val="Arial"/>
      <family val="2"/>
      <charset val="238"/>
    </font>
    <font>
      <b/>
      <i/>
      <sz val="16"/>
      <color rgb="FFFF0000"/>
      <name val="Arial"/>
      <family val="2"/>
      <charset val="238"/>
    </font>
    <font>
      <sz val="11"/>
      <color rgb="FFFF0000"/>
      <name val="Arial"/>
      <family val="2"/>
      <charset val="238"/>
    </font>
    <font>
      <sz val="11"/>
      <color rgb="FF00B0F0"/>
      <name val="Arial"/>
      <family val="2"/>
      <charset val="238"/>
    </font>
    <font>
      <sz val="11"/>
      <name val="Arial"/>
      <family val="2"/>
      <charset val="238"/>
    </font>
    <font>
      <b/>
      <sz val="14"/>
      <color theme="1"/>
      <name val="Arial"/>
      <family val="2"/>
      <charset val="238"/>
    </font>
    <font>
      <vertAlign val="superscript"/>
      <sz val="11"/>
      <color theme="1"/>
      <name val="Arial"/>
      <family val="2"/>
      <charset val="238"/>
    </font>
    <font>
      <sz val="9"/>
      <color indexed="81"/>
      <name val="Tahoma"/>
      <family val="2"/>
      <charset val="238"/>
    </font>
    <font>
      <b/>
      <sz val="20"/>
      <color theme="1"/>
      <name val="Calibri"/>
      <family val="2"/>
      <charset val="238"/>
      <scheme val="minor"/>
    </font>
    <font>
      <b/>
      <sz val="18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b/>
      <i/>
      <sz val="12"/>
      <color theme="4" tint="-0.249977111117893"/>
      <name val="Calibri"/>
      <family val="2"/>
      <charset val="238"/>
      <scheme val="minor"/>
    </font>
    <font>
      <b/>
      <i/>
      <sz val="11"/>
      <color theme="4" tint="-0.249977111117893"/>
      <name val="Calibri"/>
      <family val="2"/>
      <charset val="238"/>
      <scheme val="minor"/>
    </font>
    <font>
      <sz val="11"/>
      <color theme="4" tint="-0.249977111117893"/>
      <name val="Calibri"/>
      <family val="2"/>
      <charset val="238"/>
      <scheme val="minor"/>
    </font>
    <font>
      <b/>
      <i/>
      <sz val="14"/>
      <color rgb="FFFF0000"/>
      <name val="Calibri"/>
      <family val="2"/>
      <charset val="238"/>
      <scheme val="minor"/>
    </font>
    <font>
      <b/>
      <sz val="12"/>
      <color theme="1"/>
      <name val="Arial"/>
      <family val="2"/>
      <charset val="238"/>
    </font>
    <font>
      <b/>
      <sz val="14"/>
      <color rgb="FF7030A0"/>
      <name val="Arial"/>
      <family val="2"/>
      <charset val="238"/>
    </font>
    <font>
      <sz val="14"/>
      <color theme="1"/>
      <name val="Arial"/>
      <family val="2"/>
      <charset val="238"/>
    </font>
    <font>
      <sz val="16"/>
      <color theme="1"/>
      <name val="Arial"/>
      <family val="2"/>
      <charset val="238"/>
    </font>
    <font>
      <sz val="11"/>
      <color rgb="FF0070C0"/>
      <name val="Calibri"/>
      <family val="2"/>
      <charset val="238"/>
      <scheme val="minor"/>
    </font>
    <font>
      <i/>
      <sz val="11"/>
      <color theme="1"/>
      <name val="Arial"/>
      <family val="2"/>
      <charset val="238"/>
    </font>
    <font>
      <sz val="11"/>
      <color rgb="FF00610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  <font>
      <b/>
      <sz val="11"/>
      <color indexed="8"/>
      <name val="Calibri"/>
      <family val="2"/>
      <charset val="238"/>
    </font>
    <font>
      <b/>
      <sz val="1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1"/>
      <color indexed="10"/>
      <name val="Calibri"/>
      <family val="2"/>
      <charset val="238"/>
    </font>
    <font>
      <i/>
      <sz val="12"/>
      <color theme="1"/>
      <name val="Arial"/>
      <family val="2"/>
      <charset val="238"/>
    </font>
    <font>
      <sz val="11"/>
      <name val="Calibri"/>
      <family val="2"/>
      <charset val="238"/>
      <scheme val="minor"/>
    </font>
    <font>
      <b/>
      <i/>
      <sz val="14"/>
      <color theme="1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rgb="FFFF0000"/>
      <name val="Arial"/>
      <family val="2"/>
      <charset val="238"/>
    </font>
    <font>
      <b/>
      <i/>
      <sz val="14"/>
      <color rgb="FF0070C0"/>
      <name val="Arial"/>
      <family val="2"/>
      <charset val="238"/>
    </font>
    <font>
      <u/>
      <sz val="14"/>
      <color rgb="FF00B0F0"/>
      <name val="Arial"/>
      <family val="2"/>
      <charset val="238"/>
    </font>
    <font>
      <sz val="14"/>
      <color rgb="FF00B0F0"/>
      <name val="Arial"/>
      <family val="2"/>
      <charset val="238"/>
    </font>
    <font>
      <b/>
      <i/>
      <sz val="18"/>
      <color theme="1"/>
      <name val="Arial"/>
      <family val="2"/>
      <charset val="238"/>
    </font>
    <font>
      <sz val="18"/>
      <color theme="1"/>
      <name val="Arial"/>
      <family val="2"/>
      <charset val="238"/>
    </font>
    <font>
      <sz val="18"/>
      <color rgb="FFFF0000"/>
      <name val="Arial"/>
      <family val="2"/>
      <charset val="238"/>
    </font>
    <font>
      <b/>
      <i/>
      <sz val="18"/>
      <color rgb="FFFF0000"/>
      <name val="Arial"/>
      <family val="2"/>
      <charset val="238"/>
    </font>
    <font>
      <b/>
      <sz val="18"/>
      <color theme="1"/>
      <name val="Arial"/>
      <family val="2"/>
      <charset val="238"/>
    </font>
    <font>
      <i/>
      <sz val="18"/>
      <color theme="1"/>
      <name val="Arial"/>
      <family val="2"/>
      <charset val="238"/>
    </font>
    <font>
      <i/>
      <sz val="18"/>
      <color theme="1"/>
      <name val="Calibri"/>
      <family val="2"/>
      <charset val="238"/>
      <scheme val="minor"/>
    </font>
    <font>
      <b/>
      <i/>
      <sz val="18"/>
      <color rgb="FF0070C0"/>
      <name val="Arial"/>
      <family val="2"/>
      <charset val="238"/>
    </font>
    <font>
      <sz val="20"/>
      <color theme="1"/>
      <name val="Arial"/>
      <family val="2"/>
      <charset val="238"/>
    </font>
    <font>
      <b/>
      <sz val="18"/>
      <color rgb="FF002060"/>
      <name val="Arial"/>
      <family val="2"/>
      <charset val="238"/>
    </font>
    <font>
      <b/>
      <sz val="20"/>
      <color theme="1"/>
      <name val="Arial"/>
      <family val="2"/>
      <charset val="238"/>
    </font>
    <font>
      <b/>
      <sz val="16"/>
      <color theme="1"/>
      <name val="Arial"/>
      <family val="2"/>
      <charset val="238"/>
    </font>
    <font>
      <i/>
      <sz val="18"/>
      <color rgb="FFFF0000"/>
      <name val="Arial"/>
      <family val="2"/>
      <charset val="238"/>
    </font>
    <font>
      <i/>
      <sz val="18"/>
      <color rgb="FF0070C0"/>
      <name val="Arial"/>
      <family val="2"/>
      <charset val="238"/>
    </font>
    <font>
      <b/>
      <u/>
      <sz val="22"/>
      <color theme="1"/>
      <name val="Arial"/>
      <family val="2"/>
      <charset val="238"/>
    </font>
    <font>
      <b/>
      <sz val="22"/>
      <color theme="1"/>
      <name val="Arial"/>
      <family val="2"/>
      <charset val="238"/>
    </font>
    <font>
      <i/>
      <sz val="16"/>
      <name val="Arial"/>
      <family val="2"/>
      <charset val="238"/>
    </font>
    <font>
      <sz val="16"/>
      <name val="Calibri"/>
      <family val="2"/>
      <charset val="238"/>
      <scheme val="minor"/>
    </font>
    <font>
      <b/>
      <i/>
      <sz val="24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1"/>
      <color rgb="FF0070C0"/>
      <name val="Calibri"/>
      <family val="2"/>
      <charset val="238"/>
      <scheme val="minor"/>
    </font>
    <font>
      <sz val="12"/>
      <color theme="9" tint="0.79998168889431442"/>
      <name val="Arial"/>
      <family val="2"/>
      <charset val="238"/>
    </font>
    <font>
      <sz val="11"/>
      <color theme="9" tint="0.79998168889431442"/>
      <name val="Calibri"/>
      <family val="2"/>
      <charset val="238"/>
      <scheme val="minor"/>
    </font>
    <font>
      <b/>
      <sz val="11"/>
      <color theme="5" tint="-0.249977111117893"/>
      <name val="Calibri"/>
      <family val="2"/>
      <charset val="238"/>
      <scheme val="minor"/>
    </font>
    <font>
      <b/>
      <sz val="12"/>
      <color theme="9" tint="-0.249977111117893"/>
      <name val="Arial"/>
      <family val="2"/>
      <charset val="238"/>
    </font>
    <font>
      <b/>
      <sz val="11"/>
      <color theme="9" tint="-0.249977111117893"/>
      <name val="Calibri"/>
      <family val="2"/>
      <charset val="238"/>
      <scheme val="minor"/>
    </font>
    <font>
      <b/>
      <u/>
      <sz val="12"/>
      <color theme="1"/>
      <name val="Arial"/>
      <family val="2"/>
      <charset val="238"/>
    </font>
    <font>
      <sz val="12"/>
      <name val="Arial"/>
      <family val="2"/>
      <charset val="238"/>
    </font>
    <font>
      <sz val="12"/>
      <color rgb="FF0070C0"/>
      <name val="Arial"/>
      <family val="2"/>
      <charset val="238"/>
    </font>
    <font>
      <b/>
      <i/>
      <sz val="14"/>
      <color theme="1"/>
      <name val="Calibri"/>
      <family val="2"/>
      <charset val="238"/>
      <scheme val="minor"/>
    </font>
    <font>
      <b/>
      <sz val="11"/>
      <color theme="5"/>
      <name val="Calibri"/>
      <family val="2"/>
      <charset val="238"/>
      <scheme val="minor"/>
    </font>
    <font>
      <b/>
      <i/>
      <u/>
      <sz val="11"/>
      <color theme="1"/>
      <name val="Calibri"/>
      <family val="2"/>
      <charset val="238"/>
      <scheme val="minor"/>
    </font>
    <font>
      <b/>
      <i/>
      <u/>
      <sz val="11"/>
      <color rgb="FFFF0000"/>
      <name val="Calibri"/>
      <family val="2"/>
      <charset val="238"/>
      <scheme val="minor"/>
    </font>
    <font>
      <i/>
      <u/>
      <sz val="11"/>
      <color theme="1"/>
      <name val="Calibri"/>
      <family val="2"/>
      <charset val="238"/>
      <scheme val="minor"/>
    </font>
    <font>
      <b/>
      <u/>
      <sz val="16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b/>
      <sz val="12"/>
      <color rgb="FF0070C0"/>
      <name val="Calibri"/>
      <family val="2"/>
      <charset val="238"/>
      <scheme val="minor"/>
    </font>
    <font>
      <b/>
      <i/>
      <sz val="12"/>
      <color rgb="FFFF0000"/>
      <name val="Calibri"/>
      <family val="2"/>
      <charset val="238"/>
      <scheme val="minor"/>
    </font>
    <font>
      <b/>
      <i/>
      <sz val="12"/>
      <color rgb="FF0070C0"/>
      <name val="Calibri"/>
      <family val="2"/>
      <charset val="238"/>
      <scheme val="minor"/>
    </font>
    <font>
      <b/>
      <i/>
      <sz val="11"/>
      <color rgb="FF0070C0"/>
      <name val="Calibri"/>
      <family val="2"/>
      <charset val="238"/>
      <scheme val="minor"/>
    </font>
    <font>
      <b/>
      <sz val="12"/>
      <color theme="5"/>
      <name val="Calibri"/>
      <family val="2"/>
      <charset val="238"/>
      <scheme val="minor"/>
    </font>
    <font>
      <b/>
      <sz val="12"/>
      <color theme="5" tint="-0.249977111117893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2"/>
      <color theme="9" tint="-0.249977111117893"/>
      <name val="Calibri"/>
      <family val="2"/>
      <charset val="238"/>
      <scheme val="minor"/>
    </font>
    <font>
      <b/>
      <i/>
      <u/>
      <sz val="12"/>
      <color theme="1"/>
      <name val="Calibri"/>
      <family val="2"/>
      <charset val="238"/>
      <scheme val="minor"/>
    </font>
    <font>
      <b/>
      <i/>
      <u/>
      <sz val="12"/>
      <color rgb="FFFF0000"/>
      <name val="Calibri"/>
      <family val="2"/>
      <charset val="238"/>
      <scheme val="minor"/>
    </font>
    <font>
      <b/>
      <i/>
      <u/>
      <sz val="14"/>
      <color rgb="FFFF0000"/>
      <name val="Calibri"/>
      <family val="2"/>
      <charset val="238"/>
      <scheme val="minor"/>
    </font>
    <font>
      <b/>
      <sz val="12"/>
      <color rgb="FF00206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8"/>
      <color theme="0"/>
      <name val="Arial"/>
      <family val="2"/>
      <charset val="238"/>
    </font>
    <font>
      <b/>
      <u/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i/>
      <sz val="18"/>
      <name val="Arial"/>
      <family val="2"/>
      <charset val="238"/>
    </font>
    <font>
      <b/>
      <i/>
      <sz val="18"/>
      <color rgb="FF00B050"/>
      <name val="Arial"/>
      <family val="2"/>
      <charset val="238"/>
    </font>
    <font>
      <sz val="11"/>
      <color rgb="FF00B050"/>
      <name val="Calibri"/>
      <family val="2"/>
      <charset val="238"/>
      <scheme val="minor"/>
    </font>
    <font>
      <i/>
      <sz val="18"/>
      <color rgb="FF00B050"/>
      <name val="Arial"/>
      <family val="2"/>
      <charset val="238"/>
    </font>
    <font>
      <i/>
      <sz val="11"/>
      <color rgb="FF00B050"/>
      <name val="Calibri"/>
      <family val="2"/>
      <charset val="238"/>
      <scheme val="minor"/>
    </font>
    <font>
      <sz val="11"/>
      <color indexed="81"/>
      <name val="Segoe UI"/>
      <family val="2"/>
      <charset val="238"/>
    </font>
    <font>
      <sz val="12"/>
      <color indexed="81"/>
      <name val="Segoe UI"/>
      <family val="2"/>
      <charset val="238"/>
    </font>
    <font>
      <sz val="14"/>
      <color indexed="81"/>
      <name val="Segoe UI"/>
      <family val="2"/>
      <charset val="238"/>
    </font>
    <font>
      <sz val="12"/>
      <color indexed="81"/>
      <name val="Arial"/>
      <family val="2"/>
      <charset val="238"/>
    </font>
    <font>
      <sz val="18"/>
      <name val="Arial"/>
      <family val="2"/>
      <charset val="238"/>
    </font>
    <font>
      <sz val="11"/>
      <color rgb="FFFF0000"/>
      <name val="Calibri"/>
      <family val="2"/>
      <charset val="238"/>
      <scheme val="minor"/>
    </font>
    <font>
      <b/>
      <u/>
      <sz val="18"/>
      <color theme="1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46" fillId="12" borderId="0" applyNumberFormat="0" applyBorder="0" applyAlignment="0" applyProtection="0"/>
  </cellStyleXfs>
  <cellXfs count="931">
    <xf numFmtId="0" fontId="0" fillId="0" borderId="0" xfId="0"/>
    <xf numFmtId="0" fontId="9" fillId="0" borderId="0" xfId="0" applyFont="1" applyProtection="1">
      <protection hidden="1"/>
    </xf>
    <xf numFmtId="166" fontId="9" fillId="2" borderId="2" xfId="0" applyNumberFormat="1" applyFont="1" applyFill="1" applyBorder="1" applyProtection="1">
      <protection hidden="1"/>
    </xf>
    <xf numFmtId="2" fontId="9" fillId="2" borderId="2" xfId="0" applyNumberFormat="1" applyFont="1" applyFill="1" applyBorder="1" applyProtection="1">
      <protection hidden="1"/>
    </xf>
    <xf numFmtId="0" fontId="9" fillId="3" borderId="0" xfId="0" applyFont="1" applyFill="1" applyBorder="1" applyProtection="1">
      <protection hidden="1"/>
    </xf>
    <xf numFmtId="0" fontId="9" fillId="3" borderId="1" xfId="0" applyFont="1" applyFill="1" applyBorder="1" applyProtection="1">
      <protection hidden="1"/>
    </xf>
    <xf numFmtId="0" fontId="9" fillId="0" borderId="0" xfId="0" applyFont="1" applyFill="1" applyBorder="1" applyAlignme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9" fillId="3" borderId="0" xfId="0" applyFont="1" applyFill="1" applyProtection="1">
      <protection hidden="1"/>
    </xf>
    <xf numFmtId="0" fontId="13" fillId="3" borderId="0" xfId="0" applyFont="1" applyFill="1" applyProtection="1">
      <protection hidden="1"/>
    </xf>
    <xf numFmtId="1" fontId="9" fillId="2" borderId="2" xfId="0" applyNumberFormat="1" applyFont="1" applyFill="1" applyBorder="1" applyProtection="1">
      <protection hidden="1"/>
    </xf>
    <xf numFmtId="0" fontId="9" fillId="3" borderId="5" xfId="0" applyFont="1" applyFill="1" applyBorder="1" applyProtection="1">
      <protection hidden="1"/>
    </xf>
    <xf numFmtId="0" fontId="9" fillId="3" borderId="3" xfId="0" applyFont="1" applyFill="1" applyBorder="1" applyProtection="1">
      <protection hidden="1"/>
    </xf>
    <xf numFmtId="0" fontId="12" fillId="3" borderId="0" xfId="0" applyFont="1" applyFill="1" applyBorder="1" applyProtection="1">
      <protection hidden="1"/>
    </xf>
    <xf numFmtId="0" fontId="9" fillId="5" borderId="0" xfId="0" applyFont="1" applyFill="1" applyProtection="1">
      <protection hidden="1"/>
    </xf>
    <xf numFmtId="0" fontId="9" fillId="7" borderId="0" xfId="0" applyFont="1" applyFill="1" applyProtection="1">
      <protection hidden="1"/>
    </xf>
    <xf numFmtId="0" fontId="26" fillId="5" borderId="0" xfId="0" applyFont="1" applyFill="1" applyProtection="1">
      <protection hidden="1"/>
    </xf>
    <xf numFmtId="0" fontId="26" fillId="7" borderId="0" xfId="0" applyFont="1" applyFill="1" applyProtection="1">
      <protection hidden="1"/>
    </xf>
    <xf numFmtId="0" fontId="9" fillId="8" borderId="0" xfId="0" applyFont="1" applyFill="1" applyProtection="1">
      <protection hidden="1"/>
    </xf>
    <xf numFmtId="0" fontId="26" fillId="8" borderId="0" xfId="0" applyFont="1" applyFill="1" applyProtection="1">
      <protection hidden="1"/>
    </xf>
    <xf numFmtId="0" fontId="9" fillId="0" borderId="0" xfId="0" applyFont="1" applyFill="1" applyBorder="1" applyProtection="1">
      <protection hidden="1"/>
    </xf>
    <xf numFmtId="3" fontId="9" fillId="0" borderId="0" xfId="0" applyNumberFormat="1" applyFont="1" applyFill="1" applyBorder="1" applyProtection="1">
      <protection hidden="1"/>
    </xf>
    <xf numFmtId="49" fontId="9" fillId="0" borderId="0" xfId="0" applyNumberFormat="1" applyFont="1" applyFill="1" applyBorder="1" applyAlignment="1" applyProtection="1">
      <protection hidden="1"/>
    </xf>
    <xf numFmtId="164" fontId="0" fillId="0" borderId="0" xfId="0" applyNumberFormat="1" applyFill="1" applyBorder="1" applyAlignment="1" applyProtection="1">
      <protection hidden="1"/>
    </xf>
    <xf numFmtId="167" fontId="9" fillId="0" borderId="0" xfId="0" applyNumberFormat="1" applyFont="1" applyFill="1" applyBorder="1" applyProtection="1">
      <protection hidden="1"/>
    </xf>
    <xf numFmtId="164" fontId="9" fillId="0" borderId="0" xfId="0" applyNumberFormat="1" applyFont="1" applyFill="1" applyBorder="1" applyProtection="1">
      <protection hidden="1"/>
    </xf>
    <xf numFmtId="0" fontId="9" fillId="10" borderId="0" xfId="0" applyFont="1" applyFill="1" applyProtection="1">
      <protection hidden="1"/>
    </xf>
    <xf numFmtId="0" fontId="26" fillId="10" borderId="0" xfId="0" applyFont="1" applyFill="1" applyProtection="1">
      <protection hidden="1"/>
    </xf>
    <xf numFmtId="0" fontId="9" fillId="0" borderId="18" xfId="0" applyFont="1" applyBorder="1" applyProtection="1">
      <protection hidden="1"/>
    </xf>
    <xf numFmtId="0" fontId="9" fillId="0" borderId="21" xfId="0" applyFont="1" applyBorder="1" applyProtection="1">
      <protection hidden="1"/>
    </xf>
    <xf numFmtId="0" fontId="9" fillId="0" borderId="0" xfId="0" applyFont="1" applyBorder="1" applyProtection="1">
      <protection hidden="1"/>
    </xf>
    <xf numFmtId="3" fontId="9" fillId="7" borderId="0" xfId="0" applyNumberFormat="1" applyFont="1" applyFill="1" applyBorder="1" applyProtection="1">
      <protection hidden="1"/>
    </xf>
    <xf numFmtId="0" fontId="9" fillId="7" borderId="23" xfId="0" applyFont="1" applyFill="1" applyBorder="1" applyProtection="1">
      <protection hidden="1"/>
    </xf>
    <xf numFmtId="0" fontId="9" fillId="7" borderId="0" xfId="0" applyFont="1" applyFill="1" applyBorder="1" applyProtection="1">
      <protection hidden="1"/>
    </xf>
    <xf numFmtId="49" fontId="9" fillId="5" borderId="22" xfId="0" applyNumberFormat="1" applyFont="1" applyFill="1" applyBorder="1" applyAlignment="1" applyProtection="1">
      <protection hidden="1"/>
    </xf>
    <xf numFmtId="164" fontId="0" fillId="5" borderId="0" xfId="0" applyNumberFormat="1" applyFill="1" applyBorder="1" applyAlignment="1" applyProtection="1">
      <protection hidden="1"/>
    </xf>
    <xf numFmtId="164" fontId="9" fillId="5" borderId="0" xfId="0" applyNumberFormat="1" applyFont="1" applyFill="1" applyBorder="1" applyProtection="1">
      <protection hidden="1"/>
    </xf>
    <xf numFmtId="49" fontId="9" fillId="7" borderId="0" xfId="0" applyNumberFormat="1" applyFont="1" applyFill="1" applyBorder="1" applyAlignment="1" applyProtection="1">
      <protection hidden="1"/>
    </xf>
    <xf numFmtId="164" fontId="0" fillId="7" borderId="0" xfId="0" applyNumberFormat="1" applyFill="1" applyBorder="1" applyAlignment="1" applyProtection="1">
      <protection hidden="1"/>
    </xf>
    <xf numFmtId="0" fontId="9" fillId="5" borderId="22" xfId="0" applyFont="1" applyFill="1" applyBorder="1" applyAlignment="1" applyProtection="1">
      <protection hidden="1"/>
    </xf>
    <xf numFmtId="0" fontId="9" fillId="7" borderId="0" xfId="0" applyFont="1" applyFill="1" applyBorder="1" applyAlignment="1" applyProtection="1">
      <protection hidden="1"/>
    </xf>
    <xf numFmtId="0" fontId="9" fillId="0" borderId="22" xfId="0" applyFont="1" applyBorder="1" applyProtection="1">
      <protection hidden="1"/>
    </xf>
    <xf numFmtId="0" fontId="9" fillId="0" borderId="23" xfId="0" applyFont="1" applyBorder="1" applyProtection="1">
      <protection hidden="1"/>
    </xf>
    <xf numFmtId="3" fontId="9" fillId="8" borderId="22" xfId="0" applyNumberFormat="1" applyFont="1" applyFill="1" applyBorder="1" applyProtection="1">
      <protection hidden="1"/>
    </xf>
    <xf numFmtId="0" fontId="9" fillId="8" borderId="0" xfId="0" applyFont="1" applyFill="1" applyBorder="1" applyProtection="1">
      <protection hidden="1"/>
    </xf>
    <xf numFmtId="3" fontId="9" fillId="10" borderId="0" xfId="0" applyNumberFormat="1" applyFont="1" applyFill="1" applyBorder="1" applyProtection="1">
      <protection hidden="1"/>
    </xf>
    <xf numFmtId="0" fontId="9" fillId="10" borderId="0" xfId="0" applyFont="1" applyFill="1" applyBorder="1" applyProtection="1">
      <protection hidden="1"/>
    </xf>
    <xf numFmtId="0" fontId="9" fillId="10" borderId="23" xfId="0" applyFont="1" applyFill="1" applyBorder="1" applyProtection="1">
      <protection hidden="1"/>
    </xf>
    <xf numFmtId="0" fontId="9" fillId="8" borderId="22" xfId="0" applyFont="1" applyFill="1" applyBorder="1" applyProtection="1">
      <protection hidden="1"/>
    </xf>
    <xf numFmtId="49" fontId="9" fillId="8" borderId="22" xfId="0" applyNumberFormat="1" applyFont="1" applyFill="1" applyBorder="1" applyAlignment="1" applyProtection="1">
      <protection hidden="1"/>
    </xf>
    <xf numFmtId="164" fontId="0" fillId="8" borderId="0" xfId="0" applyNumberFormat="1" applyFill="1" applyBorder="1" applyAlignment="1" applyProtection="1">
      <protection hidden="1"/>
    </xf>
    <xf numFmtId="49" fontId="9" fillId="10" borderId="0" xfId="0" applyNumberFormat="1" applyFont="1" applyFill="1" applyBorder="1" applyAlignment="1" applyProtection="1">
      <protection hidden="1"/>
    </xf>
    <xf numFmtId="164" fontId="0" fillId="10" borderId="0" xfId="0" applyNumberFormat="1" applyFill="1" applyBorder="1" applyAlignment="1" applyProtection="1">
      <protection hidden="1"/>
    </xf>
    <xf numFmtId="0" fontId="9" fillId="8" borderId="22" xfId="0" applyFont="1" applyFill="1" applyBorder="1" applyAlignment="1" applyProtection="1">
      <protection hidden="1"/>
    </xf>
    <xf numFmtId="0" fontId="9" fillId="10" borderId="0" xfId="0" applyFont="1" applyFill="1" applyBorder="1" applyAlignment="1" applyProtection="1">
      <protection hidden="1"/>
    </xf>
    <xf numFmtId="0" fontId="9" fillId="0" borderId="25" xfId="0" applyFont="1" applyBorder="1" applyProtection="1">
      <protection hidden="1"/>
    </xf>
    <xf numFmtId="0" fontId="9" fillId="0" borderId="5" xfId="0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9" fillId="0" borderId="0" xfId="0" applyFont="1" applyAlignment="1" applyProtection="1">
      <alignment horizontal="left"/>
      <protection hidden="1"/>
    </xf>
    <xf numFmtId="0" fontId="9" fillId="5" borderId="22" xfId="0" applyNumberFormat="1" applyFont="1" applyFill="1" applyBorder="1" applyProtection="1">
      <protection hidden="1"/>
    </xf>
    <xf numFmtId="0" fontId="9" fillId="5" borderId="0" xfId="0" applyFont="1" applyFill="1" applyBorder="1" applyProtection="1">
      <protection hidden="1"/>
    </xf>
    <xf numFmtId="0" fontId="9" fillId="5" borderId="22" xfId="0" applyFont="1" applyFill="1" applyBorder="1" applyProtection="1">
      <protection hidden="1"/>
    </xf>
    <xf numFmtId="164" fontId="9" fillId="9" borderId="23" xfId="0" applyNumberFormat="1" applyFont="1" applyFill="1" applyBorder="1" applyProtection="1">
      <protection hidden="1"/>
    </xf>
    <xf numFmtId="164" fontId="9" fillId="7" borderId="23" xfId="0" applyNumberFormat="1" applyFont="1" applyFill="1" applyBorder="1" applyProtection="1">
      <protection hidden="1"/>
    </xf>
    <xf numFmtId="164" fontId="9" fillId="8" borderId="0" xfId="0" applyNumberFormat="1" applyFont="1" applyFill="1" applyBorder="1" applyProtection="1">
      <protection hidden="1"/>
    </xf>
    <xf numFmtId="164" fontId="9" fillId="10" borderId="23" xfId="0" applyNumberFormat="1" applyFont="1" applyFill="1" applyBorder="1" applyProtection="1">
      <protection hidden="1"/>
    </xf>
    <xf numFmtId="2" fontId="9" fillId="3" borderId="0" xfId="0" applyNumberFormat="1" applyFont="1" applyFill="1" applyBorder="1" applyProtection="1">
      <protection hidden="1"/>
    </xf>
    <xf numFmtId="1" fontId="9" fillId="4" borderId="2" xfId="0" applyNumberFormat="1" applyFont="1" applyFill="1" applyBorder="1" applyProtection="1">
      <protection hidden="1"/>
    </xf>
    <xf numFmtId="0" fontId="9" fillId="3" borderId="9" xfId="0" applyFont="1" applyFill="1" applyBorder="1" applyAlignment="1" applyProtection="1">
      <protection hidden="1"/>
    </xf>
    <xf numFmtId="0" fontId="9" fillId="7" borderId="9" xfId="0" applyFont="1" applyFill="1" applyBorder="1" applyAlignment="1" applyProtection="1">
      <protection hidden="1"/>
    </xf>
    <xf numFmtId="0" fontId="18" fillId="0" borderId="0" xfId="0" applyFont="1" applyFill="1" applyBorder="1" applyAlignment="1" applyProtection="1">
      <protection hidden="1"/>
    </xf>
    <xf numFmtId="4" fontId="25" fillId="0" borderId="0" xfId="0" applyNumberFormat="1" applyFont="1" applyFill="1" applyBorder="1" applyAlignment="1" applyProtection="1">
      <alignment horizontal="center"/>
      <protection hidden="1"/>
    </xf>
    <xf numFmtId="2" fontId="13" fillId="2" borderId="2" xfId="0" applyNumberFormat="1" applyFont="1" applyFill="1" applyBorder="1" applyProtection="1">
      <protection hidden="1"/>
    </xf>
    <xf numFmtId="0" fontId="9" fillId="0" borderId="0" xfId="0" applyFont="1" applyFill="1" applyProtection="1">
      <protection hidden="1"/>
    </xf>
    <xf numFmtId="0" fontId="10" fillId="4" borderId="2" xfId="0" applyFont="1" applyFill="1" applyBorder="1" applyAlignment="1" applyProtection="1">
      <protection hidden="1"/>
    </xf>
    <xf numFmtId="0" fontId="23" fillId="0" borderId="0" xfId="0" applyFont="1" applyFill="1" applyBorder="1" applyAlignment="1" applyProtection="1">
      <alignment horizontal="center" vertical="center" textRotation="90"/>
      <protection hidden="1"/>
    </xf>
    <xf numFmtId="0" fontId="41" fillId="0" borderId="0" xfId="0" applyFont="1" applyFill="1" applyBorder="1" applyAlignment="1" applyProtection="1">
      <alignment horizontal="center" vertical="center" textRotation="90"/>
      <protection hidden="1"/>
    </xf>
    <xf numFmtId="0" fontId="42" fillId="0" borderId="0" xfId="0" applyFont="1" applyFill="1" applyBorder="1" applyAlignment="1" applyProtection="1">
      <alignment horizontal="center" vertical="center" textRotation="90"/>
      <protection hidden="1"/>
    </xf>
    <xf numFmtId="0" fontId="10" fillId="4" borderId="2" xfId="0" applyFont="1" applyFill="1" applyBorder="1" applyProtection="1">
      <protection hidden="1"/>
    </xf>
    <xf numFmtId="0" fontId="15" fillId="3" borderId="0" xfId="0" applyFont="1" applyFill="1" applyProtection="1">
      <protection hidden="1"/>
    </xf>
    <xf numFmtId="9" fontId="9" fillId="0" borderId="0" xfId="0" applyNumberFormat="1" applyFont="1" applyFill="1" applyBorder="1" applyAlignment="1" applyProtection="1">
      <protection hidden="1"/>
    </xf>
    <xf numFmtId="0" fontId="9" fillId="3" borderId="10" xfId="0" applyFont="1" applyFill="1" applyBorder="1" applyProtection="1">
      <protection hidden="1"/>
    </xf>
    <xf numFmtId="0" fontId="22" fillId="0" borderId="0" xfId="0" applyFont="1" applyFill="1" applyBorder="1" applyAlignment="1" applyProtection="1">
      <alignment horizontal="center" vertical="center" textRotation="90"/>
      <protection hidden="1"/>
    </xf>
    <xf numFmtId="0" fontId="24" fillId="0" borderId="0" xfId="0" applyFont="1" applyFill="1" applyBorder="1" applyAlignment="1" applyProtection="1">
      <protection hidden="1"/>
    </xf>
    <xf numFmtId="0" fontId="9" fillId="4" borderId="2" xfId="0" applyFont="1" applyFill="1" applyBorder="1" applyProtection="1">
      <protection locked="0" hidden="1"/>
    </xf>
    <xf numFmtId="0" fontId="10" fillId="4" borderId="2" xfId="0" applyFont="1" applyFill="1" applyBorder="1" applyAlignment="1" applyProtection="1">
      <protection locked="0" hidden="1"/>
    </xf>
    <xf numFmtId="2" fontId="9" fillId="4" borderId="2" xfId="0" applyNumberFormat="1" applyFont="1" applyFill="1" applyBorder="1" applyProtection="1">
      <protection locked="0" hidden="1"/>
    </xf>
    <xf numFmtId="0" fontId="28" fillId="4" borderId="2" xfId="0" applyFont="1" applyFill="1" applyBorder="1" applyProtection="1">
      <protection locked="0" hidden="1"/>
    </xf>
    <xf numFmtId="0" fontId="10" fillId="4" borderId="2" xfId="0" applyFont="1" applyFill="1" applyBorder="1" applyProtection="1">
      <protection locked="0" hidden="1"/>
    </xf>
    <xf numFmtId="1" fontId="9" fillId="4" borderId="2" xfId="0" applyNumberFormat="1" applyFont="1" applyFill="1" applyBorder="1" applyProtection="1">
      <protection locked="0" hidden="1"/>
    </xf>
    <xf numFmtId="0" fontId="0" fillId="0" borderId="0" xfId="0" applyProtection="1">
      <protection hidden="1"/>
    </xf>
    <xf numFmtId="0" fontId="21" fillId="0" borderId="0" xfId="0" applyFont="1" applyProtection="1">
      <protection hidden="1"/>
    </xf>
    <xf numFmtId="0" fontId="0" fillId="0" borderId="0" xfId="0" applyAlignment="1" applyProtection="1">
      <alignment horizontal="right"/>
      <protection hidden="1"/>
    </xf>
    <xf numFmtId="2" fontId="0" fillId="0" borderId="0" xfId="0" applyNumberFormat="1" applyProtection="1">
      <protection hidden="1"/>
    </xf>
    <xf numFmtId="0" fontId="0" fillId="10" borderId="6" xfId="0" applyFill="1" applyBorder="1" applyProtection="1">
      <protection hidden="1"/>
    </xf>
    <xf numFmtId="0" fontId="0" fillId="10" borderId="7" xfId="0" applyFill="1" applyBorder="1" applyProtection="1">
      <protection hidden="1"/>
    </xf>
    <xf numFmtId="0" fontId="0" fillId="10" borderId="4" xfId="0" applyFill="1" applyBorder="1" applyProtection="1">
      <protection hidden="1"/>
    </xf>
    <xf numFmtId="0" fontId="0" fillId="9" borderId="8" xfId="0" applyFill="1" applyBorder="1" applyProtection="1">
      <protection hidden="1"/>
    </xf>
    <xf numFmtId="164" fontId="0" fillId="9" borderId="9" xfId="0" applyNumberFormat="1" applyFill="1" applyBorder="1" applyProtection="1">
      <protection hidden="1"/>
    </xf>
    <xf numFmtId="0" fontId="0" fillId="11" borderId="8" xfId="0" applyFill="1" applyBorder="1" applyAlignment="1" applyProtection="1">
      <alignment horizontal="right"/>
      <protection hidden="1"/>
    </xf>
    <xf numFmtId="0" fontId="0" fillId="11" borderId="0" xfId="0" applyFill="1" applyBorder="1" applyProtection="1">
      <protection hidden="1"/>
    </xf>
    <xf numFmtId="0" fontId="0" fillId="11" borderId="0" xfId="0" applyFill="1" applyBorder="1" applyAlignment="1" applyProtection="1">
      <alignment horizontal="left"/>
      <protection hidden="1"/>
    </xf>
    <xf numFmtId="0" fontId="0" fillId="11" borderId="9" xfId="0" applyFill="1" applyBorder="1" applyProtection="1">
      <protection hidden="1"/>
    </xf>
    <xf numFmtId="0" fontId="32" fillId="11" borderId="10" xfId="0" applyFont="1" applyFill="1" applyBorder="1" applyAlignment="1" applyProtection="1">
      <alignment horizontal="right"/>
      <protection hidden="1"/>
    </xf>
    <xf numFmtId="0" fontId="21" fillId="11" borderId="3" xfId="0" applyFont="1" applyFill="1" applyBorder="1" applyProtection="1">
      <protection hidden="1"/>
    </xf>
    <xf numFmtId="0" fontId="32" fillId="11" borderId="3" xfId="0" applyFont="1" applyFill="1" applyBorder="1" applyAlignment="1" applyProtection="1">
      <alignment horizontal="left"/>
      <protection hidden="1"/>
    </xf>
    <xf numFmtId="0" fontId="0" fillId="11" borderId="3" xfId="0" applyFill="1" applyBorder="1" applyProtection="1">
      <protection hidden="1"/>
    </xf>
    <xf numFmtId="0" fontId="21" fillId="9" borderId="8" xfId="0" applyFont="1" applyFill="1" applyBorder="1" applyProtection="1">
      <protection hidden="1"/>
    </xf>
    <xf numFmtId="164" fontId="21" fillId="9" borderId="9" xfId="0" applyNumberFormat="1" applyFont="1" applyFill="1" applyBorder="1" applyProtection="1">
      <protection hidden="1"/>
    </xf>
    <xf numFmtId="164" fontId="33" fillId="11" borderId="10" xfId="0" applyNumberFormat="1" applyFont="1" applyFill="1" applyBorder="1" applyProtection="1">
      <protection hidden="1"/>
    </xf>
    <xf numFmtId="164" fontId="34" fillId="11" borderId="3" xfId="0" applyNumberFormat="1" applyFont="1" applyFill="1" applyBorder="1" applyProtection="1">
      <protection hidden="1"/>
    </xf>
    <xf numFmtId="164" fontId="33" fillId="11" borderId="3" xfId="0" applyNumberFormat="1" applyFont="1" applyFill="1" applyBorder="1" applyProtection="1">
      <protection hidden="1"/>
    </xf>
    <xf numFmtId="0" fontId="21" fillId="9" borderId="10" xfId="0" applyFont="1" applyFill="1" applyBorder="1" applyProtection="1">
      <protection hidden="1"/>
    </xf>
    <xf numFmtId="164" fontId="21" fillId="9" borderId="11" xfId="0" applyNumberFormat="1" applyFont="1" applyFill="1" applyBorder="1" applyProtection="1">
      <protection hidden="1"/>
    </xf>
    <xf numFmtId="0" fontId="0" fillId="0" borderId="0" xfId="0" applyAlignment="1" applyProtection="1">
      <alignment horizontal="right"/>
      <protection locked="0" hidden="1"/>
    </xf>
    <xf numFmtId="164" fontId="15" fillId="0" borderId="0" xfId="0" applyNumberFormat="1" applyFont="1" applyFill="1" applyBorder="1" applyAlignment="1" applyProtection="1">
      <protection hidden="1"/>
    </xf>
    <xf numFmtId="164" fontId="18" fillId="0" borderId="0" xfId="0" applyNumberFormat="1" applyFont="1" applyFill="1" applyBorder="1" applyAlignment="1" applyProtection="1">
      <protection hidden="1"/>
    </xf>
    <xf numFmtId="2" fontId="9" fillId="0" borderId="0" xfId="0" applyNumberFormat="1" applyFont="1" applyFill="1" applyBorder="1" applyAlignment="1" applyProtection="1">
      <protection hidden="1"/>
    </xf>
    <xf numFmtId="164" fontId="15" fillId="3" borderId="10" xfId="0" applyNumberFormat="1" applyFont="1" applyFill="1" applyBorder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5" fillId="4" borderId="2" xfId="0" applyNumberFormat="1" applyFont="1" applyFill="1" applyBorder="1" applyProtection="1">
      <protection hidden="1"/>
    </xf>
    <xf numFmtId="0" fontId="5" fillId="4" borderId="2" xfId="0" applyNumberFormat="1" applyFont="1" applyFill="1" applyBorder="1" applyProtection="1">
      <protection locked="0" hidden="1"/>
    </xf>
    <xf numFmtId="0" fontId="47" fillId="0" borderId="0" xfId="0" applyFont="1"/>
    <xf numFmtId="0" fontId="0" fillId="0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48" fillId="0" borderId="0" xfId="0" applyFont="1" applyFill="1" applyAlignment="1">
      <alignment horizontal="center"/>
    </xf>
    <xf numFmtId="0" fontId="48" fillId="2" borderId="0" xfId="0" applyFont="1" applyFill="1" applyAlignment="1">
      <alignment horizontal="center"/>
    </xf>
    <xf numFmtId="0" fontId="0" fillId="3" borderId="0" xfId="0" applyFill="1"/>
    <xf numFmtId="0" fontId="46" fillId="12" borderId="0" xfId="1"/>
    <xf numFmtId="168" fontId="0" fillId="0" borderId="0" xfId="0" applyNumberFormat="1" applyFill="1"/>
    <xf numFmtId="0" fontId="0" fillId="0" borderId="0" xfId="0" applyAlignment="1">
      <alignment horizontal="right"/>
    </xf>
    <xf numFmtId="165" fontId="0" fillId="0" borderId="0" xfId="0" applyNumberFormat="1"/>
    <xf numFmtId="165" fontId="21" fillId="7" borderId="0" xfId="0" applyNumberFormat="1" applyFont="1" applyFill="1"/>
    <xf numFmtId="0" fontId="0" fillId="2" borderId="0" xfId="0" applyFill="1"/>
    <xf numFmtId="168" fontId="0" fillId="7" borderId="0" xfId="0" applyNumberFormat="1" applyFill="1"/>
    <xf numFmtId="0" fontId="51" fillId="2" borderId="0" xfId="0" applyFont="1" applyFill="1"/>
    <xf numFmtId="168" fontId="52" fillId="7" borderId="0" xfId="0" applyNumberFormat="1" applyFont="1" applyFill="1"/>
    <xf numFmtId="0" fontId="0" fillId="7" borderId="0" xfId="0" applyFill="1"/>
    <xf numFmtId="0" fontId="50" fillId="0" borderId="0" xfId="0" applyFont="1"/>
    <xf numFmtId="165" fontId="0" fillId="0" borderId="0" xfId="0" applyNumberFormat="1" applyFill="1"/>
    <xf numFmtId="0" fontId="21" fillId="0" borderId="0" xfId="0" applyFont="1"/>
    <xf numFmtId="0" fontId="11" fillId="0" borderId="0" xfId="0" applyFont="1" applyProtection="1">
      <protection hidden="1"/>
    </xf>
    <xf numFmtId="0" fontId="11" fillId="0" borderId="0" xfId="0" applyFont="1"/>
    <xf numFmtId="0" fontId="11" fillId="0" borderId="0" xfId="0" applyFont="1" applyAlignment="1" applyProtection="1">
      <alignment horizontal="right"/>
      <protection locked="0"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left"/>
      <protection locked="0" hidden="1"/>
    </xf>
    <xf numFmtId="1" fontId="13" fillId="4" borderId="2" xfId="0" applyNumberFormat="1" applyFont="1" applyFill="1" applyBorder="1" applyProtection="1">
      <protection locked="0" hidden="1"/>
    </xf>
    <xf numFmtId="164" fontId="15" fillId="3" borderId="10" xfId="0" applyNumberFormat="1" applyFont="1" applyFill="1" applyBorder="1" applyProtection="1">
      <protection locked="0" hidden="1"/>
    </xf>
    <xf numFmtId="0" fontId="42" fillId="0" borderId="0" xfId="0" applyFont="1" applyProtection="1">
      <protection hidden="1"/>
    </xf>
    <xf numFmtId="164" fontId="58" fillId="0" borderId="0" xfId="0" applyNumberFormat="1" applyFont="1" applyAlignment="1" applyProtection="1">
      <protection hidden="1"/>
    </xf>
    <xf numFmtId="0" fontId="42" fillId="0" borderId="0" xfId="0" applyFont="1" applyAlignment="1" applyProtection="1">
      <protection hidden="1"/>
    </xf>
    <xf numFmtId="0" fontId="42" fillId="0" borderId="0" xfId="0" applyFont="1" applyFill="1" applyBorder="1" applyAlignment="1" applyProtection="1">
      <protection hidden="1"/>
    </xf>
    <xf numFmtId="3" fontId="42" fillId="0" borderId="0" xfId="0" applyNumberFormat="1" applyFont="1" applyFill="1" applyBorder="1" applyAlignment="1" applyProtection="1">
      <protection hidden="1"/>
    </xf>
    <xf numFmtId="0" fontId="56" fillId="0" borderId="0" xfId="0" applyFont="1" applyFill="1" applyBorder="1" applyAlignment="1" applyProtection="1">
      <protection hidden="1"/>
    </xf>
    <xf numFmtId="164" fontId="58" fillId="0" borderId="0" xfId="0" applyNumberFormat="1" applyFont="1" applyFill="1" applyBorder="1" applyAlignment="1" applyProtection="1">
      <protection hidden="1"/>
    </xf>
    <xf numFmtId="0" fontId="58" fillId="0" borderId="0" xfId="0" applyFont="1" applyFill="1" applyBorder="1" applyAlignment="1" applyProtection="1">
      <protection hidden="1"/>
    </xf>
    <xf numFmtId="165" fontId="59" fillId="0" borderId="0" xfId="0" applyNumberFormat="1" applyFont="1" applyFill="1" applyBorder="1" applyAlignment="1" applyProtection="1">
      <protection hidden="1"/>
    </xf>
    <xf numFmtId="0" fontId="59" fillId="0" borderId="0" xfId="0" applyFont="1" applyFill="1" applyBorder="1" applyAlignment="1" applyProtection="1">
      <protection hidden="1"/>
    </xf>
    <xf numFmtId="0" fontId="42" fillId="0" borderId="0" xfId="0" applyFont="1" applyFill="1" applyBorder="1" applyProtection="1">
      <protection hidden="1"/>
    </xf>
    <xf numFmtId="0" fontId="42" fillId="3" borderId="0" xfId="0" applyFont="1" applyFill="1" applyProtection="1">
      <protection hidden="1"/>
    </xf>
    <xf numFmtId="0" fontId="42" fillId="3" borderId="0" xfId="0" applyFont="1" applyFill="1" applyBorder="1" applyProtection="1">
      <protection hidden="1"/>
    </xf>
    <xf numFmtId="0" fontId="42" fillId="4" borderId="2" xfId="0" applyFont="1" applyFill="1" applyBorder="1" applyProtection="1">
      <protection locked="0" hidden="1"/>
    </xf>
    <xf numFmtId="2" fontId="42" fillId="2" borderId="0" xfId="0" applyNumberFormat="1" applyFont="1" applyFill="1" applyBorder="1" applyProtection="1">
      <protection hidden="1"/>
    </xf>
    <xf numFmtId="0" fontId="42" fillId="0" borderId="0" xfId="0" applyFont="1" applyBorder="1" applyProtection="1">
      <protection hidden="1"/>
    </xf>
    <xf numFmtId="165" fontId="61" fillId="4" borderId="2" xfId="0" applyNumberFormat="1" applyFont="1" applyFill="1" applyBorder="1" applyAlignment="1" applyProtection="1">
      <protection locked="0" hidden="1"/>
    </xf>
    <xf numFmtId="0" fontId="42" fillId="3" borderId="1" xfId="0" applyFont="1" applyFill="1" applyBorder="1" applyProtection="1">
      <protection hidden="1"/>
    </xf>
    <xf numFmtId="164" fontId="57" fillId="0" borderId="0" xfId="0" applyNumberFormat="1" applyFont="1" applyFill="1" applyBorder="1" applyAlignment="1" applyProtection="1">
      <protection hidden="1"/>
    </xf>
    <xf numFmtId="0" fontId="42" fillId="3" borderId="3" xfId="0" applyFont="1" applyFill="1" applyBorder="1" applyProtection="1">
      <protection hidden="1"/>
    </xf>
    <xf numFmtId="0" fontId="63" fillId="0" borderId="0" xfId="0" applyFont="1" applyProtection="1">
      <protection hidden="1"/>
    </xf>
    <xf numFmtId="0" fontId="63" fillId="0" borderId="0" xfId="0" applyFont="1" applyFill="1" applyBorder="1" applyAlignment="1" applyProtection="1">
      <protection hidden="1"/>
    </xf>
    <xf numFmtId="164" fontId="63" fillId="0" borderId="0" xfId="0" applyNumberFormat="1" applyFont="1" applyFill="1" applyBorder="1" applyAlignment="1" applyProtection="1">
      <protection hidden="1"/>
    </xf>
    <xf numFmtId="0" fontId="63" fillId="0" borderId="0" xfId="0" applyFont="1" applyAlignment="1" applyProtection="1">
      <protection hidden="1"/>
    </xf>
    <xf numFmtId="9" fontId="63" fillId="0" borderId="0" xfId="0" applyNumberFormat="1" applyFont="1" applyFill="1" applyBorder="1" applyAlignment="1" applyProtection="1">
      <protection hidden="1"/>
    </xf>
    <xf numFmtId="3" fontId="63" fillId="0" borderId="0" xfId="0" applyNumberFormat="1" applyFont="1" applyFill="1" applyBorder="1" applyAlignment="1" applyProtection="1">
      <protection hidden="1"/>
    </xf>
    <xf numFmtId="0" fontId="62" fillId="0" borderId="0" xfId="0" applyFont="1" applyFill="1" applyBorder="1" applyAlignment="1" applyProtection="1">
      <protection hidden="1"/>
    </xf>
    <xf numFmtId="164" fontId="65" fillId="0" borderId="0" xfId="0" applyNumberFormat="1" applyFont="1" applyFill="1" applyBorder="1" applyAlignment="1" applyProtection="1">
      <protection hidden="1"/>
    </xf>
    <xf numFmtId="0" fontId="65" fillId="0" borderId="0" xfId="0" applyFont="1" applyFill="1" applyBorder="1" applyAlignment="1" applyProtection="1">
      <protection hidden="1"/>
    </xf>
    <xf numFmtId="0" fontId="69" fillId="0" borderId="0" xfId="0" applyFont="1" applyFill="1" applyBorder="1" applyAlignment="1" applyProtection="1">
      <protection hidden="1"/>
    </xf>
    <xf numFmtId="0" fontId="11" fillId="0" borderId="3" xfId="0" applyFont="1" applyBorder="1" applyAlignment="1" applyProtection="1">
      <alignment horizontal="left"/>
      <protection hidden="1"/>
    </xf>
    <xf numFmtId="0" fontId="77" fillId="0" borderId="3" xfId="0" applyFont="1" applyBorder="1" applyAlignment="1" applyProtection="1">
      <alignment horizontal="center"/>
      <protection locked="0" hidden="1"/>
    </xf>
    <xf numFmtId="0" fontId="77" fillId="0" borderId="3" xfId="0" applyFont="1" applyBorder="1" applyAlignment="1" applyProtection="1">
      <alignment horizontal="left"/>
      <protection locked="0" hidden="1"/>
    </xf>
    <xf numFmtId="168" fontId="65" fillId="0" borderId="3" xfId="0" applyNumberFormat="1" applyFont="1" applyBorder="1" applyAlignment="1" applyProtection="1">
      <alignment horizontal="left"/>
      <protection hidden="1"/>
    </xf>
    <xf numFmtId="0" fontId="65" fillId="0" borderId="3" xfId="0" applyFont="1" applyBorder="1" applyAlignment="1" applyProtection="1">
      <protection hidden="1"/>
    </xf>
    <xf numFmtId="164" fontId="80" fillId="0" borderId="3" xfId="0" applyNumberFormat="1" applyFont="1" applyFill="1" applyBorder="1" applyAlignment="1" applyProtection="1">
      <protection hidden="1"/>
    </xf>
    <xf numFmtId="164" fontId="80" fillId="0" borderId="3" xfId="0" applyNumberFormat="1" applyFont="1" applyBorder="1" applyAlignment="1" applyProtection="1">
      <protection hidden="1"/>
    </xf>
    <xf numFmtId="0" fontId="63" fillId="0" borderId="4" xfId="0" applyFont="1" applyBorder="1" applyAlignment="1" applyProtection="1">
      <protection hidden="1"/>
    </xf>
    <xf numFmtId="0" fontId="63" fillId="0" borderId="0" xfId="0" applyFont="1" applyBorder="1" applyProtection="1">
      <protection hidden="1"/>
    </xf>
    <xf numFmtId="164" fontId="74" fillId="0" borderId="0" xfId="0" applyNumberFormat="1" applyFont="1" applyFill="1" applyBorder="1" applyAlignment="1" applyProtection="1">
      <protection hidden="1"/>
    </xf>
    <xf numFmtId="0" fontId="65" fillId="0" borderId="0" xfId="0" applyFont="1" applyBorder="1" applyAlignment="1" applyProtection="1">
      <protection hidden="1"/>
    </xf>
    <xf numFmtId="0" fontId="0" fillId="0" borderId="0" xfId="0" applyBorder="1" applyAlignment="1" applyProtection="1">
      <protection hidden="1"/>
    </xf>
    <xf numFmtId="3" fontId="66" fillId="0" borderId="0" xfId="0" applyNumberFormat="1" applyFont="1" applyFill="1" applyBorder="1" applyAlignment="1" applyProtection="1">
      <protection hidden="1"/>
    </xf>
    <xf numFmtId="0" fontId="42" fillId="4" borderId="2" xfId="0" applyFont="1" applyFill="1" applyBorder="1" applyProtection="1">
      <protection hidden="1"/>
    </xf>
    <xf numFmtId="165" fontId="61" fillId="4" borderId="2" xfId="0" applyNumberFormat="1" applyFont="1" applyFill="1" applyBorder="1" applyAlignment="1" applyProtection="1">
      <protection hidden="1"/>
    </xf>
    <xf numFmtId="0" fontId="9" fillId="4" borderId="2" xfId="0" applyFont="1" applyFill="1" applyBorder="1" applyProtection="1">
      <protection hidden="1"/>
    </xf>
    <xf numFmtId="2" fontId="9" fillId="4" borderId="2" xfId="0" applyNumberFormat="1" applyFont="1" applyFill="1" applyBorder="1" applyProtection="1">
      <protection hidden="1"/>
    </xf>
    <xf numFmtId="0" fontId="28" fillId="4" borderId="2" xfId="0" applyFont="1" applyFill="1" applyBorder="1" applyProtection="1">
      <protection hidden="1"/>
    </xf>
    <xf numFmtId="2" fontId="28" fillId="4" borderId="2" xfId="0" applyNumberFormat="1" applyFont="1" applyFill="1" applyBorder="1" applyProtection="1">
      <protection hidden="1"/>
    </xf>
    <xf numFmtId="0" fontId="9" fillId="3" borderId="0" xfId="0" applyFont="1" applyFill="1" applyProtection="1">
      <protection locked="0" hidden="1"/>
    </xf>
    <xf numFmtId="0" fontId="12" fillId="0" borderId="0" xfId="0" applyFont="1" applyFill="1" applyBorder="1" applyAlignment="1" applyProtection="1">
      <protection hidden="1"/>
    </xf>
    <xf numFmtId="0" fontId="9" fillId="0" borderId="0" xfId="0" applyFont="1" applyFill="1" applyBorder="1" applyAlignment="1" applyProtection="1">
      <protection hidden="1"/>
    </xf>
    <xf numFmtId="0" fontId="11" fillId="0" borderId="0" xfId="0" applyFont="1" applyAlignment="1" applyProtection="1">
      <protection hidden="1"/>
    </xf>
    <xf numFmtId="0" fontId="11" fillId="0" borderId="0" xfId="0" applyFont="1" applyAlignment="1" applyProtection="1">
      <protection locked="0" hidden="1"/>
    </xf>
    <xf numFmtId="0" fontId="0" fillId="0" borderId="0" xfId="0" applyAlignment="1"/>
    <xf numFmtId="0" fontId="51" fillId="0" borderId="0" xfId="0" applyFont="1" applyAlignment="1"/>
    <xf numFmtId="0" fontId="40" fillId="0" borderId="0" xfId="0" applyFont="1" applyAlignment="1"/>
    <xf numFmtId="0" fontId="11" fillId="0" borderId="0" xfId="0" applyFont="1" applyAlignment="1"/>
    <xf numFmtId="0" fontId="11" fillId="0" borderId="0" xfId="0" applyFont="1" applyFill="1" applyBorder="1" applyAlignment="1"/>
    <xf numFmtId="0" fontId="11" fillId="0" borderId="0" xfId="0" applyFont="1" applyFill="1" applyBorder="1"/>
    <xf numFmtId="0" fontId="11" fillId="0" borderId="0" xfId="0" applyFont="1" applyBorder="1"/>
    <xf numFmtId="0" fontId="83" fillId="0" borderId="0" xfId="0" applyFont="1" applyFill="1" applyBorder="1" applyAlignment="1"/>
    <xf numFmtId="0" fontId="84" fillId="0" borderId="0" xfId="0" applyFont="1" applyFill="1" applyBorder="1" applyAlignment="1"/>
    <xf numFmtId="0" fontId="11" fillId="0" borderId="0" xfId="0" applyFont="1" applyBorder="1" applyAlignment="1" applyProtection="1">
      <protection hidden="1"/>
    </xf>
    <xf numFmtId="0" fontId="11" fillId="0" borderId="0" xfId="0" applyFont="1" applyBorder="1" applyAlignment="1"/>
    <xf numFmtId="0" fontId="81" fillId="0" borderId="0" xfId="0" applyFont="1" applyBorder="1" applyAlignment="1"/>
    <xf numFmtId="0" fontId="81" fillId="0" borderId="0" xfId="0" applyFont="1" applyBorder="1" applyAlignment="1" applyProtection="1">
      <alignment horizontal="center"/>
      <protection hidden="1"/>
    </xf>
    <xf numFmtId="3" fontId="11" fillId="0" borderId="0" xfId="0" applyNumberFormat="1" applyFont="1" applyFill="1" applyBorder="1" applyAlignment="1" applyProtection="1">
      <protection locked="0" hidden="1"/>
    </xf>
    <xf numFmtId="0" fontId="11" fillId="0" borderId="0" xfId="0" applyFont="1" applyFill="1" applyBorder="1" applyAlignment="1" applyProtection="1">
      <protection hidden="1"/>
    </xf>
    <xf numFmtId="0" fontId="9" fillId="0" borderId="0" xfId="0" applyFont="1" applyFill="1" applyBorder="1" applyProtection="1">
      <protection locked="0" hidden="1"/>
    </xf>
    <xf numFmtId="1" fontId="9" fillId="0" borderId="0" xfId="0" applyNumberFormat="1" applyFont="1" applyFill="1" applyBorder="1" applyAlignment="1" applyProtection="1">
      <protection hidden="1"/>
    </xf>
    <xf numFmtId="2" fontId="9" fillId="0" borderId="0" xfId="0" applyNumberFormat="1" applyFont="1" applyFill="1" applyBorder="1" applyAlignment="1" applyProtection="1">
      <protection locked="0" hidden="1"/>
    </xf>
    <xf numFmtId="0" fontId="11" fillId="2" borderId="12" xfId="0" applyFont="1" applyFill="1" applyBorder="1"/>
    <xf numFmtId="0" fontId="63" fillId="0" borderId="0" xfId="0" applyFont="1" applyBorder="1" applyAlignment="1" applyProtection="1">
      <alignment horizontal="right"/>
      <protection hidden="1"/>
    </xf>
    <xf numFmtId="0" fontId="11" fillId="0" borderId="0" xfId="0" applyFont="1" applyBorder="1" applyAlignment="1" applyProtection="1">
      <alignment horizontal="left"/>
      <protection hidden="1"/>
    </xf>
    <xf numFmtId="3" fontId="9" fillId="0" borderId="0" xfId="0" applyNumberFormat="1" applyFont="1" applyFill="1" applyBorder="1" applyAlignment="1" applyProtection="1">
      <protection hidden="1"/>
    </xf>
    <xf numFmtId="3" fontId="0" fillId="0" borderId="0" xfId="0" applyNumberFormat="1" applyFill="1" applyBorder="1" applyAlignment="1" applyProtection="1">
      <protection hidden="1"/>
    </xf>
    <xf numFmtId="0" fontId="56" fillId="0" borderId="0" xfId="0" applyFont="1" applyFill="1" applyBorder="1" applyProtection="1">
      <protection hidden="1"/>
    </xf>
    <xf numFmtId="3" fontId="56" fillId="4" borderId="0" xfId="0" applyNumberFormat="1" applyFont="1" applyFill="1" applyBorder="1" applyAlignment="1" applyProtection="1">
      <protection hidden="1"/>
    </xf>
    <xf numFmtId="3" fontId="91" fillId="0" borderId="0" xfId="0" applyNumberFormat="1" applyFont="1" applyFill="1" applyBorder="1" applyAlignment="1" applyProtection="1">
      <protection hidden="1"/>
    </xf>
    <xf numFmtId="3" fontId="56" fillId="0" borderId="0" xfId="0" applyNumberFormat="1" applyFont="1" applyFill="1" applyBorder="1" applyAlignment="1" applyProtection="1">
      <protection hidden="1"/>
    </xf>
    <xf numFmtId="164" fontId="18" fillId="0" borderId="0" xfId="0" applyNumberFormat="1" applyFont="1" applyFill="1" applyBorder="1" applyProtection="1">
      <protection hidden="1"/>
    </xf>
    <xf numFmtId="1" fontId="9" fillId="0" borderId="0" xfId="0" applyNumberFormat="1" applyFont="1" applyFill="1" applyBorder="1" applyProtection="1">
      <protection hidden="1"/>
    </xf>
    <xf numFmtId="0" fontId="11" fillId="0" borderId="0" xfId="0" applyFont="1" applyFill="1" applyBorder="1" applyAlignment="1" applyProtection="1">
      <protection hidden="1"/>
    </xf>
    <xf numFmtId="0" fontId="0" fillId="0" borderId="0" xfId="0" applyFont="1" applyFill="1" applyBorder="1" applyAlignment="1"/>
    <xf numFmtId="0" fontId="21" fillId="0" borderId="0" xfId="0" applyFont="1" applyAlignment="1"/>
    <xf numFmtId="0" fontId="93" fillId="0" borderId="0" xfId="0" applyFont="1" applyAlignment="1"/>
    <xf numFmtId="0" fontId="51" fillId="0" borderId="0" xfId="0" applyFont="1"/>
    <xf numFmtId="0" fontId="0" fillId="0" borderId="0" xfId="0" applyFont="1" applyAlignment="1"/>
    <xf numFmtId="0" fontId="51" fillId="0" borderId="0" xfId="0" applyFont="1" applyProtection="1">
      <protection hidden="1"/>
    </xf>
    <xf numFmtId="0" fontId="51" fillId="0" borderId="0" xfId="0" applyFont="1" applyAlignment="1" applyProtection="1">
      <protection hidden="1"/>
    </xf>
    <xf numFmtId="0" fontId="51" fillId="0" borderId="0" xfId="0" applyFont="1" applyAlignment="1" applyProtection="1">
      <alignment horizontal="right"/>
      <protection locked="0" hidden="1"/>
    </xf>
    <xf numFmtId="0" fontId="51" fillId="0" borderId="0" xfId="0" applyFont="1" applyAlignment="1" applyProtection="1">
      <alignment horizontal="center"/>
      <protection hidden="1"/>
    </xf>
    <xf numFmtId="0" fontId="51" fillId="0" borderId="0" xfId="0" applyFont="1" applyAlignment="1" applyProtection="1">
      <alignment horizontal="left"/>
      <protection locked="0" hidden="1"/>
    </xf>
    <xf numFmtId="0" fontId="51" fillId="0" borderId="0" xfId="0" applyFont="1" applyAlignment="1" applyProtection="1">
      <protection locked="0" hidden="1"/>
    </xf>
    <xf numFmtId="0" fontId="51" fillId="0" borderId="0" xfId="0" applyFont="1" applyBorder="1"/>
    <xf numFmtId="0" fontId="51" fillId="0" borderId="0" xfId="0" applyFont="1" applyFill="1" applyBorder="1"/>
    <xf numFmtId="3" fontId="0" fillId="0" borderId="0" xfId="0" applyNumberFormat="1" applyFont="1" applyFill="1" applyBorder="1" applyAlignment="1" applyProtection="1">
      <protection locked="0" hidden="1"/>
    </xf>
    <xf numFmtId="0" fontId="0" fillId="0" borderId="0" xfId="0" applyFont="1" applyFill="1" applyBorder="1" applyAlignment="1" applyProtection="1">
      <protection hidden="1"/>
    </xf>
    <xf numFmtId="0" fontId="0" fillId="0" borderId="3" xfId="0" applyFont="1" applyBorder="1"/>
    <xf numFmtId="164" fontId="17" fillId="0" borderId="0" xfId="0" applyNumberFormat="1" applyFont="1" applyFill="1" applyBorder="1" applyAlignment="1" applyProtection="1">
      <protection hidden="1"/>
    </xf>
    <xf numFmtId="0" fontId="0" fillId="0" borderId="4" xfId="0" applyFont="1" applyBorder="1"/>
    <xf numFmtId="0" fontId="51" fillId="0" borderId="2" xfId="0" applyFont="1" applyBorder="1"/>
    <xf numFmtId="0" fontId="51" fillId="0" borderId="0" xfId="0" applyFont="1" applyFill="1" applyBorder="1" applyAlignment="1"/>
    <xf numFmtId="165" fontId="0" fillId="0" borderId="0" xfId="0" applyNumberFormat="1" applyFont="1" applyFill="1" applyBorder="1" applyAlignment="1"/>
    <xf numFmtId="0" fontId="0" fillId="0" borderId="2" xfId="0" applyFont="1" applyBorder="1"/>
    <xf numFmtId="0" fontId="107" fillId="0" borderId="0" xfId="0" applyFont="1" applyAlignment="1"/>
    <xf numFmtId="0" fontId="107" fillId="0" borderId="0" xfId="0" applyFont="1" applyAlignment="1"/>
    <xf numFmtId="0" fontId="93" fillId="0" borderId="0" xfId="0" applyFont="1" applyAlignment="1"/>
    <xf numFmtId="0" fontId="51" fillId="0" borderId="0" xfId="0" applyFont="1" applyAlignment="1"/>
    <xf numFmtId="0" fontId="0" fillId="0" borderId="0" xfId="0" applyFont="1" applyAlignment="1"/>
    <xf numFmtId="0" fontId="0" fillId="0" borderId="0" xfId="0" applyFont="1" applyFill="1" applyBorder="1" applyAlignment="1" applyProtection="1">
      <protection hidden="1"/>
    </xf>
    <xf numFmtId="0" fontId="0" fillId="0" borderId="0" xfId="0" applyAlignment="1"/>
    <xf numFmtId="0" fontId="107" fillId="0" borderId="0" xfId="0" applyFont="1" applyAlignment="1"/>
    <xf numFmtId="0" fontId="0" fillId="0" borderId="0" xfId="0" applyFont="1" applyAlignment="1"/>
    <xf numFmtId="0" fontId="51" fillId="0" borderId="3" xfId="0" applyFont="1" applyBorder="1" applyAlignment="1" applyProtection="1">
      <protection hidden="1"/>
    </xf>
    <xf numFmtId="0" fontId="0" fillId="0" borderId="3" xfId="0" applyFont="1" applyBorder="1" applyAlignment="1"/>
    <xf numFmtId="0" fontId="0" fillId="0" borderId="0" xfId="0" applyFont="1" applyFill="1" applyBorder="1" applyAlignment="1" applyProtection="1">
      <protection hidden="1"/>
    </xf>
    <xf numFmtId="0" fontId="101" fillId="0" borderId="0" xfId="0" applyFont="1" applyAlignment="1" applyProtection="1">
      <protection hidden="1"/>
    </xf>
    <xf numFmtId="0" fontId="51" fillId="0" borderId="0" xfId="0" applyFont="1" applyAlignment="1"/>
    <xf numFmtId="1" fontId="99" fillId="0" borderId="6" xfId="0" applyNumberFormat="1" applyFont="1" applyBorder="1" applyAlignment="1" applyProtection="1">
      <alignment horizontal="center"/>
      <protection hidden="1"/>
    </xf>
    <xf numFmtId="0" fontId="82" fillId="0" borderId="7" xfId="0" applyFont="1" applyBorder="1" applyAlignment="1"/>
    <xf numFmtId="0" fontId="93" fillId="0" borderId="0" xfId="0" applyFont="1" applyAlignment="1"/>
    <xf numFmtId="0" fontId="51" fillId="0" borderId="0" xfId="0" applyFont="1" applyFill="1" applyBorder="1" applyAlignment="1" applyProtection="1">
      <protection hidden="1"/>
    </xf>
    <xf numFmtId="169" fontId="102" fillId="0" borderId="0" xfId="0" applyNumberFormat="1" applyFont="1" applyFill="1" applyBorder="1" applyAlignment="1" applyProtection="1">
      <protection hidden="1"/>
    </xf>
    <xf numFmtId="169" fontId="44" fillId="0" borderId="0" xfId="0" applyNumberFormat="1" applyFont="1" applyBorder="1" applyAlignment="1"/>
    <xf numFmtId="170" fontId="102" fillId="0" borderId="0" xfId="0" applyNumberFormat="1" applyFont="1" applyFill="1" applyBorder="1" applyAlignment="1" applyProtection="1">
      <protection hidden="1"/>
    </xf>
    <xf numFmtId="170" fontId="44" fillId="0" borderId="0" xfId="0" applyNumberFormat="1" applyFont="1" applyBorder="1" applyAlignment="1"/>
    <xf numFmtId="164" fontId="102" fillId="0" borderId="0" xfId="0" applyNumberFormat="1" applyFont="1" applyFill="1" applyBorder="1" applyAlignment="1" applyProtection="1">
      <protection hidden="1"/>
    </xf>
    <xf numFmtId="0" fontId="44" fillId="0" borderId="0" xfId="0" applyFont="1" applyBorder="1" applyAlignment="1"/>
    <xf numFmtId="0" fontId="0" fillId="0" borderId="0" xfId="0" applyFont="1" applyBorder="1" applyAlignment="1"/>
    <xf numFmtId="169" fontId="51" fillId="0" borderId="0" xfId="0" applyNumberFormat="1" applyFont="1"/>
    <xf numFmtId="0" fontId="51" fillId="0" borderId="28" xfId="0" applyFont="1" applyBorder="1"/>
    <xf numFmtId="0" fontId="51" fillId="0" borderId="29" xfId="0" applyFont="1" applyBorder="1"/>
    <xf numFmtId="0" fontId="51" fillId="0" borderId="9" xfId="0" applyFont="1" applyBorder="1"/>
    <xf numFmtId="0" fontId="51" fillId="0" borderId="8" xfId="0" applyFont="1" applyBorder="1"/>
    <xf numFmtId="0" fontId="51" fillId="0" borderId="10" xfId="0" applyFont="1" applyBorder="1"/>
    <xf numFmtId="0" fontId="51" fillId="0" borderId="3" xfId="0" applyFont="1" applyBorder="1"/>
    <xf numFmtId="0" fontId="2" fillId="0" borderId="0" xfId="0" applyFont="1"/>
    <xf numFmtId="172" fontId="69" fillId="0" borderId="3" xfId="0" applyNumberFormat="1" applyFont="1" applyFill="1" applyBorder="1" applyAlignment="1" applyProtection="1">
      <protection hidden="1"/>
    </xf>
    <xf numFmtId="172" fontId="69" fillId="0" borderId="4" xfId="0" applyNumberFormat="1" applyFont="1" applyFill="1" applyBorder="1" applyAlignment="1" applyProtection="1">
      <protection hidden="1"/>
    </xf>
    <xf numFmtId="0" fontId="63" fillId="4" borderId="3" xfId="0" applyFont="1" applyFill="1" applyBorder="1" applyProtection="1">
      <protection hidden="1"/>
    </xf>
    <xf numFmtId="0" fontId="9" fillId="4" borderId="3" xfId="0" applyFont="1" applyFill="1" applyBorder="1" applyProtection="1">
      <protection hidden="1"/>
    </xf>
    <xf numFmtId="0" fontId="66" fillId="0" borderId="0" xfId="0" applyFont="1" applyBorder="1" applyAlignment="1" applyProtection="1">
      <alignment horizontal="center"/>
      <protection hidden="1"/>
    </xf>
    <xf numFmtId="168" fontId="113" fillId="0" borderId="3" xfId="0" applyNumberFormat="1" applyFont="1" applyFill="1" applyBorder="1" applyAlignment="1" applyProtection="1">
      <protection hidden="1"/>
    </xf>
    <xf numFmtId="0" fontId="63" fillId="0" borderId="3" xfId="0" applyFont="1" applyBorder="1" applyAlignment="1" applyProtection="1">
      <protection hidden="1"/>
    </xf>
    <xf numFmtId="165" fontId="69" fillId="0" borderId="0" xfId="0" applyNumberFormat="1" applyFont="1" applyFill="1" applyBorder="1" applyAlignment="1" applyProtection="1">
      <protection hidden="1"/>
    </xf>
    <xf numFmtId="0" fontId="62" fillId="0" borderId="0" xfId="0" applyFont="1" applyAlignment="1" applyProtection="1">
      <protection hidden="1"/>
    </xf>
    <xf numFmtId="0" fontId="42" fillId="3" borderId="0" xfId="0" applyFont="1" applyFill="1" applyAlignment="1" applyProtection="1">
      <protection hidden="1"/>
    </xf>
    <xf numFmtId="0" fontId="42" fillId="3" borderId="0" xfId="0" applyFont="1" applyFill="1" applyBorder="1" applyAlignment="1" applyProtection="1">
      <protection hidden="1"/>
    </xf>
    <xf numFmtId="0" fontId="9" fillId="0" borderId="0" xfId="0" applyFont="1" applyAlignment="1" applyProtection="1">
      <protection hidden="1"/>
    </xf>
    <xf numFmtId="0" fontId="12" fillId="0" borderId="0" xfId="0" applyFont="1" applyFill="1" applyBorder="1" applyAlignment="1" applyProtection="1">
      <protection hidden="1"/>
    </xf>
    <xf numFmtId="0" fontId="9" fillId="0" borderId="0" xfId="0" applyFont="1" applyFill="1" applyBorder="1" applyAlignment="1" applyProtection="1">
      <protection hidden="1"/>
    </xf>
    <xf numFmtId="0" fontId="9" fillId="3" borderId="0" xfId="0" applyFont="1" applyFill="1" applyAlignment="1" applyProtection="1">
      <protection hidden="1"/>
    </xf>
    <xf numFmtId="0" fontId="10" fillId="3" borderId="0" xfId="0" applyFont="1" applyFill="1" applyBorder="1" applyAlignment="1" applyProtection="1">
      <protection hidden="1"/>
    </xf>
    <xf numFmtId="0" fontId="9" fillId="3" borderId="0" xfId="0" applyFont="1" applyFill="1" applyBorder="1" applyAlignment="1" applyProtection="1">
      <protection hidden="1"/>
    </xf>
    <xf numFmtId="0" fontId="9" fillId="3" borderId="8" xfId="0" applyFont="1" applyFill="1" applyBorder="1" applyAlignment="1" applyProtection="1">
      <protection hidden="1"/>
    </xf>
    <xf numFmtId="0" fontId="10" fillId="0" borderId="0" xfId="0" applyFont="1" applyFill="1" applyBorder="1" applyAlignment="1" applyProtection="1">
      <protection hidden="1"/>
    </xf>
    <xf numFmtId="165" fontId="75" fillId="0" borderId="0" xfId="0" applyNumberFormat="1" applyFont="1" applyFill="1" applyBorder="1" applyAlignment="1" applyProtection="1">
      <protection hidden="1"/>
    </xf>
    <xf numFmtId="0" fontId="77" fillId="0" borderId="0" xfId="0" applyFont="1" applyBorder="1" applyAlignment="1" applyProtection="1">
      <alignment horizontal="center"/>
      <protection hidden="1"/>
    </xf>
    <xf numFmtId="0" fontId="77" fillId="0" borderId="0" xfId="0" applyFont="1" applyBorder="1" applyAlignment="1" applyProtection="1">
      <alignment horizontal="left"/>
      <protection hidden="1"/>
    </xf>
    <xf numFmtId="0" fontId="77" fillId="0" borderId="0" xfId="0" applyFont="1" applyBorder="1" applyAlignment="1" applyProtection="1">
      <alignment horizontal="right"/>
      <protection hidden="1"/>
    </xf>
    <xf numFmtId="1" fontId="13" fillId="4" borderId="2" xfId="0" applyNumberFormat="1" applyFont="1" applyFill="1" applyBorder="1" applyProtection="1">
      <protection hidden="1"/>
    </xf>
    <xf numFmtId="0" fontId="76" fillId="0" borderId="0" xfId="0" applyFont="1" applyAlignment="1" applyProtection="1">
      <alignment horizontal="center"/>
      <protection locked="0" hidden="1"/>
    </xf>
    <xf numFmtId="2" fontId="9" fillId="2" borderId="2" xfId="0" applyNumberFormat="1" applyFont="1" applyFill="1" applyBorder="1" applyProtection="1">
      <protection locked="0" hidden="1"/>
    </xf>
    <xf numFmtId="0" fontId="0" fillId="0" borderId="0" xfId="0" applyAlignment="1">
      <alignment horizontal="center"/>
    </xf>
    <xf numFmtId="0" fontId="72" fillId="0" borderId="0" xfId="0" applyFont="1" applyAlignment="1">
      <alignment horizontal="center"/>
    </xf>
    <xf numFmtId="0" fontId="66" fillId="0" borderId="0" xfId="0" applyFont="1" applyBorder="1" applyAlignment="1" applyProtection="1">
      <protection locked="0" hidden="1"/>
    </xf>
    <xf numFmtId="0" fontId="66" fillId="0" borderId="0" xfId="0" applyFont="1" applyBorder="1" applyAlignment="1" applyProtection="1">
      <alignment horizontal="left"/>
      <protection locked="0" hidden="1"/>
    </xf>
    <xf numFmtId="4" fontId="0" fillId="0" borderId="0" xfId="0" applyNumberFormat="1" applyProtection="1">
      <protection hidden="1"/>
    </xf>
    <xf numFmtId="0" fontId="115" fillId="0" borderId="0" xfId="0" applyFont="1" applyAlignment="1" applyProtection="1">
      <alignment horizontal="center"/>
      <protection hidden="1"/>
    </xf>
    <xf numFmtId="0" fontId="47" fillId="0" borderId="0" xfId="0" applyFont="1" applyAlignment="1" applyProtection="1">
      <alignment horizontal="center"/>
      <protection hidden="1"/>
    </xf>
    <xf numFmtId="172" fontId="47" fillId="0" borderId="0" xfId="0" applyNumberFormat="1" applyFont="1" applyAlignment="1" applyProtection="1">
      <alignment horizontal="center"/>
      <protection hidden="1"/>
    </xf>
    <xf numFmtId="3" fontId="47" fillId="0" borderId="0" xfId="0" applyNumberFormat="1" applyFont="1" applyAlignment="1" applyProtection="1">
      <alignment horizontal="center"/>
      <protection hidden="1"/>
    </xf>
    <xf numFmtId="168" fontId="47" fillId="0" borderId="0" xfId="0" applyNumberFormat="1" applyFont="1" applyAlignment="1" applyProtection="1">
      <alignment horizontal="center"/>
      <protection hidden="1"/>
    </xf>
    <xf numFmtId="4" fontId="47" fillId="0" borderId="0" xfId="0" applyNumberFormat="1" applyFont="1" applyAlignment="1" applyProtection="1">
      <alignment horizontal="center"/>
      <protection hidden="1"/>
    </xf>
    <xf numFmtId="0" fontId="63" fillId="0" borderId="3" xfId="0" applyFont="1" applyBorder="1" applyAlignment="1" applyProtection="1">
      <protection hidden="1"/>
    </xf>
    <xf numFmtId="0" fontId="47" fillId="13" borderId="0" xfId="0" applyFont="1" applyFill="1" applyAlignment="1" applyProtection="1">
      <alignment horizontal="center"/>
      <protection hidden="1"/>
    </xf>
    <xf numFmtId="3" fontId="47" fillId="13" borderId="0" xfId="0" applyNumberFormat="1" applyFont="1" applyFill="1" applyAlignment="1" applyProtection="1">
      <alignment horizontal="center"/>
      <protection hidden="1"/>
    </xf>
    <xf numFmtId="0" fontId="47" fillId="13" borderId="0" xfId="0" applyFont="1" applyFill="1" applyProtection="1">
      <protection hidden="1"/>
    </xf>
    <xf numFmtId="0" fontId="47" fillId="13" borderId="0" xfId="0" applyFont="1" applyFill="1" applyAlignment="1" applyProtection="1">
      <alignment horizontal="left"/>
      <protection hidden="1"/>
    </xf>
    <xf numFmtId="0" fontId="9" fillId="0" borderId="0" xfId="0" applyFont="1" applyAlignment="1" applyProtection="1">
      <protection hidden="1"/>
    </xf>
    <xf numFmtId="0" fontId="63" fillId="0" borderId="0" xfId="0" applyFont="1" applyBorder="1" applyAlignment="1" applyProtection="1">
      <protection hidden="1"/>
    </xf>
    <xf numFmtId="0" fontId="0" fillId="0" borderId="0" xfId="0" applyAlignment="1" applyProtection="1">
      <protection hidden="1"/>
    </xf>
    <xf numFmtId="0" fontId="76" fillId="0" borderId="0" xfId="0" applyFont="1" applyAlignment="1" applyProtection="1">
      <alignment horizontal="center"/>
      <protection locked="0" hidden="1"/>
    </xf>
    <xf numFmtId="0" fontId="10" fillId="3" borderId="0" xfId="0" applyFont="1" applyFill="1" applyBorder="1" applyAlignment="1" applyProtection="1">
      <protection hidden="1"/>
    </xf>
    <xf numFmtId="0" fontId="9" fillId="3" borderId="0" xfId="0" applyFont="1" applyFill="1" applyAlignment="1" applyProtection="1">
      <protection hidden="1"/>
    </xf>
    <xf numFmtId="0" fontId="10" fillId="3" borderId="15" xfId="0" applyFont="1" applyFill="1" applyBorder="1" applyAlignment="1" applyProtection="1">
      <protection hidden="1"/>
    </xf>
    <xf numFmtId="0" fontId="10" fillId="0" borderId="1" xfId="0" applyFont="1" applyBorder="1" applyAlignment="1" applyProtection="1">
      <protection hidden="1"/>
    </xf>
    <xf numFmtId="0" fontId="24" fillId="3" borderId="5" xfId="0" applyFont="1" applyFill="1" applyBorder="1" applyAlignment="1" applyProtection="1">
      <protection hidden="1"/>
    </xf>
    <xf numFmtId="0" fontId="43" fillId="0" borderId="5" xfId="0" applyFont="1" applyBorder="1" applyAlignment="1" applyProtection="1">
      <protection hidden="1"/>
    </xf>
    <xf numFmtId="0" fontId="9" fillId="3" borderId="0" xfId="0" applyFont="1" applyFill="1" applyBorder="1" applyAlignment="1" applyProtection="1">
      <protection hidden="1"/>
    </xf>
    <xf numFmtId="0" fontId="9" fillId="0" borderId="0" xfId="0" applyFont="1" applyAlignment="1" applyProtection="1">
      <protection hidden="1"/>
    </xf>
    <xf numFmtId="0" fontId="42" fillId="3" borderId="0" xfId="0" applyFont="1" applyFill="1" applyAlignment="1" applyProtection="1">
      <protection hidden="1"/>
    </xf>
    <xf numFmtId="0" fontId="56" fillId="3" borderId="1" xfId="0" applyFont="1" applyFill="1" applyBorder="1" applyAlignment="1" applyProtection="1">
      <protection hidden="1"/>
    </xf>
    <xf numFmtId="0" fontId="12" fillId="0" borderId="0" xfId="0" applyFont="1" applyFill="1" applyBorder="1" applyAlignment="1" applyProtection="1">
      <protection hidden="1"/>
    </xf>
    <xf numFmtId="0" fontId="9" fillId="0" borderId="0" xfId="0" applyFont="1" applyFill="1" applyBorder="1" applyAlignment="1" applyProtection="1">
      <protection hidden="1"/>
    </xf>
    <xf numFmtId="0" fontId="9" fillId="3" borderId="8" xfId="0" applyFont="1" applyFill="1" applyBorder="1" applyAlignment="1" applyProtection="1">
      <protection hidden="1"/>
    </xf>
    <xf numFmtId="0" fontId="42" fillId="3" borderId="0" xfId="0" applyFont="1" applyFill="1" applyBorder="1" applyAlignment="1" applyProtection="1">
      <protection hidden="1"/>
    </xf>
    <xf numFmtId="0" fontId="56" fillId="0" borderId="0" xfId="0" applyFont="1" applyBorder="1" applyAlignment="1" applyProtection="1">
      <protection hidden="1"/>
    </xf>
    <xf numFmtId="0" fontId="63" fillId="0" borderId="11" xfId="0" applyFont="1" applyBorder="1" applyAlignment="1" applyProtection="1">
      <protection hidden="1"/>
    </xf>
    <xf numFmtId="0" fontId="63" fillId="0" borderId="9" xfId="0" applyFont="1" applyBorder="1" applyAlignment="1" applyProtection="1">
      <protection hidden="1"/>
    </xf>
    <xf numFmtId="0" fontId="63" fillId="0" borderId="10" xfId="0" applyFont="1" applyBorder="1" applyAlignment="1" applyProtection="1">
      <protection hidden="1"/>
    </xf>
    <xf numFmtId="0" fontId="63" fillId="0" borderId="3" xfId="0" applyFont="1" applyBorder="1" applyAlignment="1" applyProtection="1">
      <protection hidden="1"/>
    </xf>
    <xf numFmtId="0" fontId="0" fillId="0" borderId="11" xfId="0" applyBorder="1" applyAlignment="1" applyProtection="1">
      <protection hidden="1"/>
    </xf>
    <xf numFmtId="0" fontId="63" fillId="0" borderId="8" xfId="0" applyFont="1" applyBorder="1" applyAlignment="1" applyProtection="1">
      <protection hidden="1"/>
    </xf>
    <xf numFmtId="0" fontId="63" fillId="0" borderId="0" xfId="0" applyFont="1" applyBorder="1" applyAlignment="1" applyProtection="1">
      <protection hidden="1"/>
    </xf>
    <xf numFmtId="0" fontId="63" fillId="0" borderId="15" xfId="0" applyFont="1" applyBorder="1" applyAlignment="1" applyProtection="1">
      <protection hidden="1"/>
    </xf>
    <xf numFmtId="0" fontId="63" fillId="0" borderId="1" xfId="0" applyFont="1" applyBorder="1" applyAlignment="1" applyProtection="1">
      <protection hidden="1"/>
    </xf>
    <xf numFmtId="0" fontId="0" fillId="0" borderId="16" xfId="0" applyBorder="1" applyAlignment="1" applyProtection="1">
      <protection hidden="1"/>
    </xf>
    <xf numFmtId="0" fontId="0" fillId="0" borderId="9" xfId="0" applyBorder="1" applyAlignment="1" applyProtection="1">
      <protection hidden="1"/>
    </xf>
    <xf numFmtId="0" fontId="0" fillId="0" borderId="1" xfId="0" applyBorder="1" applyAlignment="1" applyProtection="1">
      <protection hidden="1"/>
    </xf>
    <xf numFmtId="0" fontId="0" fillId="0" borderId="3" xfId="0" applyBorder="1" applyAlignment="1" applyProtection="1">
      <protection hidden="1"/>
    </xf>
    <xf numFmtId="0" fontId="62" fillId="0" borderId="0" xfId="0" applyFont="1" applyAlignment="1" applyProtection="1">
      <protection hidden="1"/>
    </xf>
    <xf numFmtId="0" fontId="63" fillId="0" borderId="16" xfId="0" applyFont="1" applyBorder="1" applyAlignment="1" applyProtection="1">
      <protection hidden="1"/>
    </xf>
    <xf numFmtId="0" fontId="0" fillId="0" borderId="0" xfId="0" applyBorder="1" applyAlignment="1" applyProtection="1">
      <protection hidden="1"/>
    </xf>
    <xf numFmtId="0" fontId="0" fillId="0" borderId="0" xfId="0" applyAlignment="1" applyProtection="1">
      <protection hidden="1"/>
    </xf>
    <xf numFmtId="165" fontId="69" fillId="0" borderId="0" xfId="0" applyNumberFormat="1" applyFont="1" applyFill="1" applyBorder="1" applyAlignment="1" applyProtection="1">
      <protection hidden="1"/>
    </xf>
    <xf numFmtId="0" fontId="10" fillId="0" borderId="0" xfId="0" applyFont="1" applyFill="1" applyBorder="1" applyAlignment="1" applyProtection="1">
      <protection hidden="1"/>
    </xf>
    <xf numFmtId="0" fontId="1" fillId="0" borderId="0" xfId="0" applyFont="1" applyProtection="1">
      <protection hidden="1"/>
    </xf>
    <xf numFmtId="0" fontId="78" fillId="0" borderId="0" xfId="0" applyFont="1" applyBorder="1" applyAlignment="1" applyProtection="1">
      <alignment horizontal="right"/>
      <protection hidden="1"/>
    </xf>
    <xf numFmtId="0" fontId="79" fillId="0" borderId="0" xfId="0" applyFont="1" applyBorder="1" applyAlignment="1" applyProtection="1">
      <alignment horizontal="right"/>
      <protection hidden="1"/>
    </xf>
    <xf numFmtId="168" fontId="113" fillId="0" borderId="0" xfId="0" applyNumberFormat="1" applyFont="1" applyFill="1" applyBorder="1" applyAlignment="1" applyProtection="1">
      <protection hidden="1"/>
    </xf>
    <xf numFmtId="168" fontId="65" fillId="0" borderId="0" xfId="0" applyNumberFormat="1" applyFont="1" applyBorder="1" applyAlignment="1" applyProtection="1">
      <alignment horizontal="left"/>
      <protection hidden="1"/>
    </xf>
    <xf numFmtId="0" fontId="77" fillId="0" borderId="0" xfId="0" applyFont="1" applyBorder="1" applyAlignment="1" applyProtection="1">
      <alignment horizontal="right"/>
      <protection locked="0" hidden="1"/>
    </xf>
    <xf numFmtId="0" fontId="42" fillId="0" borderId="0" xfId="0" applyFont="1" applyBorder="1" applyAlignment="1" applyProtection="1">
      <alignment horizontal="center"/>
      <protection hidden="1"/>
    </xf>
    <xf numFmtId="0" fontId="47" fillId="0" borderId="0" xfId="0" applyFont="1" applyFill="1" applyAlignment="1" applyProtection="1">
      <alignment horizontal="left"/>
      <protection hidden="1"/>
    </xf>
    <xf numFmtId="0" fontId="63" fillId="8" borderId="3" xfId="0" applyFont="1" applyFill="1" applyBorder="1" applyAlignment="1" applyProtection="1">
      <protection hidden="1"/>
    </xf>
    <xf numFmtId="0" fontId="9" fillId="2" borderId="0" xfId="0" applyFont="1" applyFill="1" applyProtection="1">
      <protection hidden="1"/>
    </xf>
    <xf numFmtId="0" fontId="63" fillId="2" borderId="4" xfId="0" applyFont="1" applyFill="1" applyBorder="1" applyAlignment="1" applyProtection="1">
      <protection hidden="1"/>
    </xf>
    <xf numFmtId="0" fontId="48" fillId="2" borderId="4" xfId="0" applyFont="1" applyFill="1" applyBorder="1" applyAlignment="1" applyProtection="1">
      <protection hidden="1"/>
    </xf>
    <xf numFmtId="3" fontId="67" fillId="2" borderId="4" xfId="0" applyNumberFormat="1" applyFont="1" applyFill="1" applyBorder="1" applyProtection="1">
      <protection hidden="1"/>
    </xf>
    <xf numFmtId="0" fontId="63" fillId="2" borderId="0" xfId="0" applyFont="1" applyFill="1" applyProtection="1">
      <protection hidden="1"/>
    </xf>
    <xf numFmtId="0" fontId="63" fillId="2" borderId="4" xfId="0" applyFont="1" applyFill="1" applyBorder="1" applyProtection="1">
      <protection hidden="1"/>
    </xf>
    <xf numFmtId="0" fontId="48" fillId="2" borderId="0" xfId="0" applyFont="1" applyFill="1" applyBorder="1" applyAlignment="1" applyProtection="1">
      <protection hidden="1"/>
    </xf>
    <xf numFmtId="0" fontId="62" fillId="2" borderId="4" xfId="0" applyFont="1" applyFill="1" applyBorder="1" applyProtection="1">
      <protection hidden="1"/>
    </xf>
    <xf numFmtId="0" fontId="125" fillId="2" borderId="3" xfId="0" applyFont="1" applyFill="1" applyBorder="1" applyAlignment="1" applyProtection="1">
      <protection hidden="1"/>
    </xf>
    <xf numFmtId="0" fontId="116" fillId="2" borderId="4" xfId="0" applyFont="1" applyFill="1" applyBorder="1" applyProtection="1">
      <protection hidden="1"/>
    </xf>
    <xf numFmtId="3" fontId="66" fillId="2" borderId="2" xfId="0" applyNumberFormat="1" applyFont="1" applyFill="1" applyBorder="1" applyAlignment="1" applyProtection="1">
      <protection locked="0" hidden="1"/>
    </xf>
    <xf numFmtId="0" fontId="63" fillId="2" borderId="0" xfId="0" applyFont="1" applyFill="1" applyAlignment="1" applyProtection="1">
      <protection hidden="1"/>
    </xf>
    <xf numFmtId="4" fontId="63" fillId="2" borderId="0" xfId="0" applyNumberFormat="1" applyFont="1" applyFill="1" applyProtection="1">
      <protection hidden="1"/>
    </xf>
    <xf numFmtId="173" fontId="75" fillId="2" borderId="3" xfId="0" applyNumberFormat="1" applyFont="1" applyFill="1" applyBorder="1" applyAlignment="1" applyProtection="1">
      <protection hidden="1"/>
    </xf>
    <xf numFmtId="173" fontId="63" fillId="2" borderId="0" xfId="0" applyNumberFormat="1" applyFont="1" applyFill="1" applyProtection="1">
      <protection hidden="1"/>
    </xf>
    <xf numFmtId="175" fontId="119" fillId="2" borderId="4" xfId="0" applyNumberFormat="1" applyFont="1" applyFill="1" applyBorder="1" applyAlignment="1" applyProtection="1">
      <protection hidden="1"/>
    </xf>
    <xf numFmtId="0" fontId="48" fillId="8" borderId="3" xfId="0" applyFont="1" applyFill="1" applyBorder="1" applyAlignment="1" applyProtection="1">
      <protection hidden="1"/>
    </xf>
    <xf numFmtId="3" fontId="67" fillId="8" borderId="3" xfId="0" applyNumberFormat="1" applyFont="1" applyFill="1" applyBorder="1" applyProtection="1">
      <protection hidden="1"/>
    </xf>
    <xf numFmtId="0" fontId="63" fillId="8" borderId="0" xfId="0" applyFont="1" applyFill="1" applyProtection="1">
      <protection hidden="1"/>
    </xf>
    <xf numFmtId="0" fontId="63" fillId="8" borderId="4" xfId="0" applyFont="1" applyFill="1" applyBorder="1" applyProtection="1">
      <protection hidden="1"/>
    </xf>
    <xf numFmtId="0" fontId="48" fillId="8" borderId="4" xfId="0" applyFont="1" applyFill="1" applyBorder="1" applyAlignment="1" applyProtection="1">
      <protection hidden="1"/>
    </xf>
    <xf numFmtId="0" fontId="62" fillId="8" borderId="4" xfId="0" applyFont="1" applyFill="1" applyBorder="1" applyProtection="1">
      <protection hidden="1"/>
    </xf>
    <xf numFmtId="0" fontId="48" fillId="8" borderId="0" xfId="0" applyFont="1" applyFill="1" applyBorder="1" applyAlignment="1" applyProtection="1">
      <protection hidden="1"/>
    </xf>
    <xf numFmtId="0" fontId="63" fillId="8" borderId="4" xfId="0" applyFont="1" applyFill="1" applyBorder="1" applyAlignment="1" applyProtection="1">
      <protection hidden="1"/>
    </xf>
    <xf numFmtId="3" fontId="66" fillId="8" borderId="2" xfId="0" applyNumberFormat="1" applyFont="1" applyFill="1" applyBorder="1" applyAlignment="1" applyProtection="1">
      <protection locked="0" hidden="1"/>
    </xf>
    <xf numFmtId="0" fontId="63" fillId="8" borderId="0" xfId="0" applyFont="1" applyFill="1" applyAlignment="1" applyProtection="1">
      <protection hidden="1"/>
    </xf>
    <xf numFmtId="2" fontId="63" fillId="8" borderId="0" xfId="0" applyNumberFormat="1" applyFont="1" applyFill="1" applyProtection="1">
      <protection hidden="1"/>
    </xf>
    <xf numFmtId="173" fontId="75" fillId="8" borderId="3" xfId="0" applyNumberFormat="1" applyFont="1" applyFill="1" applyBorder="1" applyAlignment="1" applyProtection="1">
      <protection hidden="1"/>
    </xf>
    <xf numFmtId="173" fontId="63" fillId="8" borderId="0" xfId="0" applyNumberFormat="1" applyFont="1" applyFill="1" applyProtection="1">
      <protection hidden="1"/>
    </xf>
    <xf numFmtId="175" fontId="119" fillId="8" borderId="4" xfId="0" applyNumberFormat="1" applyFont="1" applyFill="1" applyBorder="1" applyAlignment="1" applyProtection="1">
      <protection hidden="1"/>
    </xf>
    <xf numFmtId="0" fontId="65" fillId="8" borderId="4" xfId="0" applyFont="1" applyFill="1" applyBorder="1" applyProtection="1">
      <protection hidden="1"/>
    </xf>
    <xf numFmtId="0" fontId="65" fillId="2" borderId="4" xfId="0" applyFont="1" applyFill="1" applyBorder="1" applyProtection="1">
      <protection hidden="1"/>
    </xf>
    <xf numFmtId="0" fontId="9" fillId="8" borderId="3" xfId="0" applyFont="1" applyFill="1" applyBorder="1" applyProtection="1">
      <protection hidden="1"/>
    </xf>
    <xf numFmtId="3" fontId="66" fillId="8" borderId="11" xfId="0" applyNumberFormat="1" applyFont="1" applyFill="1" applyBorder="1" applyAlignment="1" applyProtection="1">
      <protection hidden="1"/>
    </xf>
    <xf numFmtId="0" fontId="9" fillId="8" borderId="4" xfId="0" applyFont="1" applyFill="1" applyBorder="1" applyProtection="1">
      <protection hidden="1"/>
    </xf>
    <xf numFmtId="164" fontId="74" fillId="8" borderId="4" xfId="0" applyNumberFormat="1" applyFont="1" applyFill="1" applyBorder="1" applyAlignment="1" applyProtection="1">
      <protection hidden="1"/>
    </xf>
    <xf numFmtId="165" fontId="75" fillId="8" borderId="4" xfId="0" applyNumberFormat="1" applyFont="1" applyFill="1" applyBorder="1" applyAlignment="1" applyProtection="1">
      <protection hidden="1"/>
    </xf>
    <xf numFmtId="0" fontId="9" fillId="2" borderId="3" xfId="0" applyFont="1" applyFill="1" applyBorder="1" applyProtection="1">
      <protection hidden="1"/>
    </xf>
    <xf numFmtId="3" fontId="66" fillId="2" borderId="11" xfId="0" applyNumberFormat="1" applyFont="1" applyFill="1" applyBorder="1" applyAlignment="1" applyProtection="1">
      <protection hidden="1"/>
    </xf>
    <xf numFmtId="0" fontId="9" fillId="2" borderId="4" xfId="0" applyFont="1" applyFill="1" applyBorder="1" applyProtection="1">
      <protection hidden="1"/>
    </xf>
    <xf numFmtId="164" fontId="74" fillId="2" borderId="4" xfId="0" applyNumberFormat="1" applyFont="1" applyFill="1" applyBorder="1" applyAlignment="1" applyProtection="1">
      <protection hidden="1"/>
    </xf>
    <xf numFmtId="165" fontId="75" fillId="2" borderId="4" xfId="0" applyNumberFormat="1" applyFont="1" applyFill="1" applyBorder="1" applyAlignment="1" applyProtection="1">
      <protection hidden="1"/>
    </xf>
    <xf numFmtId="1" fontId="13" fillId="2" borderId="2" xfId="0" applyNumberFormat="1" applyFont="1" applyFill="1" applyBorder="1" applyProtection="1">
      <protection hidden="1"/>
    </xf>
    <xf numFmtId="4" fontId="65" fillId="8" borderId="3" xfId="0" applyNumberFormat="1" applyFont="1" applyFill="1" applyBorder="1" applyAlignment="1" applyProtection="1">
      <protection hidden="1"/>
    </xf>
    <xf numFmtId="4" fontId="65" fillId="2" borderId="3" xfId="0" applyNumberFormat="1" applyFont="1" applyFill="1" applyBorder="1" applyAlignment="1" applyProtection="1">
      <protection hidden="1"/>
    </xf>
    <xf numFmtId="172" fontId="75" fillId="8" borderId="3" xfId="0" applyNumberFormat="1" applyFont="1" applyFill="1" applyBorder="1" applyAlignment="1" applyProtection="1">
      <alignment horizontal="right"/>
      <protection hidden="1"/>
    </xf>
    <xf numFmtId="164" fontId="65" fillId="8" borderId="3" xfId="0" applyNumberFormat="1" applyFont="1" applyFill="1" applyBorder="1" applyAlignment="1" applyProtection="1">
      <protection hidden="1"/>
    </xf>
    <xf numFmtId="164" fontId="63" fillId="8" borderId="0" xfId="0" applyNumberFormat="1" applyFont="1" applyFill="1" applyProtection="1">
      <protection hidden="1"/>
    </xf>
    <xf numFmtId="172" fontId="63" fillId="8" borderId="0" xfId="0" applyNumberFormat="1" applyFont="1" applyFill="1" applyProtection="1">
      <protection hidden="1"/>
    </xf>
    <xf numFmtId="164" fontId="119" fillId="8" borderId="4" xfId="0" applyNumberFormat="1" applyFont="1" applyFill="1" applyBorder="1" applyAlignment="1" applyProtection="1">
      <alignment horizontal="right"/>
      <protection hidden="1"/>
    </xf>
    <xf numFmtId="3" fontId="65" fillId="8" borderId="4" xfId="0" applyNumberFormat="1" applyFont="1" applyFill="1" applyBorder="1" applyProtection="1">
      <protection hidden="1"/>
    </xf>
    <xf numFmtId="0" fontId="63" fillId="2" borderId="0" xfId="0" applyFont="1" applyFill="1" applyAlignment="1" applyProtection="1">
      <alignment horizontal="right"/>
      <protection hidden="1"/>
    </xf>
    <xf numFmtId="3" fontId="116" fillId="2" borderId="4" xfId="0" applyNumberFormat="1" applyFont="1" applyFill="1" applyBorder="1" applyAlignment="1" applyProtection="1">
      <alignment horizontal="right"/>
      <protection hidden="1"/>
    </xf>
    <xf numFmtId="3" fontId="65" fillId="2" borderId="4" xfId="0" applyNumberFormat="1" applyFont="1" applyFill="1" applyBorder="1" applyAlignment="1" applyProtection="1">
      <alignment horizontal="right"/>
      <protection hidden="1"/>
    </xf>
    <xf numFmtId="164" fontId="65" fillId="2" borderId="3" xfId="0" applyNumberFormat="1" applyFont="1" applyFill="1" applyBorder="1" applyAlignment="1" applyProtection="1">
      <protection hidden="1"/>
    </xf>
    <xf numFmtId="164" fontId="63" fillId="2" borderId="0" xfId="0" applyNumberFormat="1" applyFont="1" applyFill="1" applyProtection="1">
      <protection hidden="1"/>
    </xf>
    <xf numFmtId="164" fontId="119" fillId="2" borderId="4" xfId="0" applyNumberFormat="1" applyFont="1" applyFill="1" applyBorder="1" applyAlignment="1" applyProtection="1">
      <protection hidden="1"/>
    </xf>
    <xf numFmtId="172" fontId="75" fillId="2" borderId="3" xfId="0" applyNumberFormat="1" applyFont="1" applyFill="1" applyBorder="1" applyAlignment="1" applyProtection="1">
      <protection hidden="1"/>
    </xf>
    <xf numFmtId="172" fontId="63" fillId="2" borderId="0" xfId="0" applyNumberFormat="1" applyFont="1" applyFill="1" applyProtection="1">
      <protection hidden="1"/>
    </xf>
    <xf numFmtId="168" fontId="127" fillId="0" borderId="0" xfId="0" applyNumberFormat="1" applyFont="1" applyProtection="1">
      <protection hidden="1"/>
    </xf>
    <xf numFmtId="172" fontId="127" fillId="0" borderId="0" xfId="0" applyNumberFormat="1" applyFont="1" applyProtection="1">
      <protection hidden="1"/>
    </xf>
    <xf numFmtId="172" fontId="61" fillId="4" borderId="2" xfId="0" applyNumberFormat="1" applyFont="1" applyFill="1" applyBorder="1" applyAlignment="1" applyProtection="1">
      <protection locked="0" hidden="1"/>
    </xf>
    <xf numFmtId="3" fontId="62" fillId="8" borderId="4" xfId="0" applyNumberFormat="1" applyFont="1" applyFill="1" applyBorder="1" applyAlignment="1" applyProtection="1">
      <protection hidden="1"/>
    </xf>
    <xf numFmtId="0" fontId="21" fillId="8" borderId="4" xfId="0" applyFont="1" applyFill="1" applyBorder="1" applyAlignment="1"/>
    <xf numFmtId="3" fontId="62" fillId="2" borderId="4" xfId="0" applyNumberFormat="1" applyFont="1" applyFill="1" applyBorder="1" applyAlignment="1" applyProtection="1">
      <protection hidden="1"/>
    </xf>
    <xf numFmtId="0" fontId="21" fillId="2" borderId="4" xfId="0" applyFont="1" applyFill="1" applyBorder="1" applyAlignment="1"/>
    <xf numFmtId="0" fontId="0" fillId="8" borderId="4" xfId="0" applyFill="1" applyBorder="1" applyAlignment="1"/>
    <xf numFmtId="3" fontId="116" fillId="2" borderId="4" xfId="0" applyNumberFormat="1" applyFont="1" applyFill="1" applyBorder="1" applyAlignment="1" applyProtection="1">
      <protection hidden="1"/>
    </xf>
    <xf numFmtId="0" fontId="55" fillId="2" borderId="4" xfId="0" applyFont="1" applyFill="1" applyBorder="1" applyAlignment="1"/>
    <xf numFmtId="3" fontId="65" fillId="8" borderId="4" xfId="0" applyNumberFormat="1" applyFont="1" applyFill="1" applyBorder="1" applyAlignment="1" applyProtection="1">
      <protection hidden="1"/>
    </xf>
    <xf numFmtId="0" fontId="126" fillId="8" borderId="4" xfId="0" applyFont="1" applyFill="1" applyBorder="1" applyAlignment="1"/>
    <xf numFmtId="0" fontId="117" fillId="8" borderId="4" xfId="0" applyFont="1" applyFill="1" applyBorder="1" applyAlignment="1" applyProtection="1">
      <protection hidden="1"/>
    </xf>
    <xf numFmtId="0" fontId="118" fillId="8" borderId="4" xfId="0" applyFont="1" applyFill="1" applyBorder="1" applyAlignment="1"/>
    <xf numFmtId="0" fontId="117" fillId="2" borderId="4" xfId="0" applyFont="1" applyFill="1" applyBorder="1" applyAlignment="1" applyProtection="1">
      <protection hidden="1"/>
    </xf>
    <xf numFmtId="0" fontId="118" fillId="2" borderId="4" xfId="0" applyFont="1" applyFill="1" applyBorder="1" applyAlignment="1"/>
    <xf numFmtId="175" fontId="119" fillId="2" borderId="4" xfId="0" applyNumberFormat="1" applyFont="1" applyFill="1" applyBorder="1" applyAlignment="1" applyProtection="1">
      <protection hidden="1"/>
    </xf>
    <xf numFmtId="175" fontId="120" fillId="2" borderId="4" xfId="0" applyNumberFormat="1" applyFont="1" applyFill="1" applyBorder="1" applyAlignment="1"/>
    <xf numFmtId="175" fontId="119" fillId="8" borderId="4" xfId="0" applyNumberFormat="1" applyFont="1" applyFill="1" applyBorder="1" applyAlignment="1" applyProtection="1">
      <protection hidden="1"/>
    </xf>
    <xf numFmtId="175" fontId="120" fillId="8" borderId="4" xfId="0" applyNumberFormat="1" applyFont="1" applyFill="1" applyBorder="1" applyAlignment="1"/>
    <xf numFmtId="0" fontId="9" fillId="8" borderId="4" xfId="0" applyFont="1" applyFill="1" applyBorder="1" applyAlignment="1" applyProtection="1">
      <protection hidden="1"/>
    </xf>
    <xf numFmtId="3" fontId="65" fillId="2" borderId="4" xfId="0" applyNumberFormat="1" applyFont="1" applyFill="1" applyBorder="1" applyAlignment="1" applyProtection="1">
      <protection hidden="1"/>
    </xf>
    <xf numFmtId="0" fontId="126" fillId="2" borderId="4" xfId="0" applyFont="1" applyFill="1" applyBorder="1" applyAlignment="1"/>
    <xf numFmtId="0" fontId="69" fillId="8" borderId="4" xfId="0" applyFont="1" applyFill="1" applyBorder="1" applyAlignment="1" applyProtection="1">
      <protection hidden="1"/>
    </xf>
    <xf numFmtId="173" fontId="75" fillId="8" borderId="3" xfId="0" applyNumberFormat="1" applyFont="1" applyFill="1" applyBorder="1" applyAlignment="1" applyProtection="1">
      <protection hidden="1"/>
    </xf>
    <xf numFmtId="173" fontId="75" fillId="8" borderId="4" xfId="0" applyNumberFormat="1" applyFont="1" applyFill="1" applyBorder="1" applyAlignment="1" applyProtection="1">
      <protection hidden="1"/>
    </xf>
    <xf numFmtId="173" fontId="0" fillId="8" borderId="4" xfId="0" applyNumberFormat="1" applyFill="1" applyBorder="1" applyAlignment="1" applyProtection="1">
      <protection hidden="1"/>
    </xf>
    <xf numFmtId="174" fontId="63" fillId="0" borderId="0" xfId="0" applyNumberFormat="1" applyFont="1" applyAlignment="1" applyProtection="1">
      <protection hidden="1"/>
    </xf>
    <xf numFmtId="174" fontId="48" fillId="0" borderId="0" xfId="0" applyNumberFormat="1" applyFont="1" applyAlignment="1" applyProtection="1">
      <protection hidden="1"/>
    </xf>
    <xf numFmtId="0" fontId="63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right"/>
      <protection hidden="1"/>
    </xf>
    <xf numFmtId="0" fontId="67" fillId="0" borderId="0" xfId="0" applyFont="1" applyAlignment="1" applyProtection="1">
      <protection hidden="1"/>
    </xf>
    <xf numFmtId="49" fontId="72" fillId="0" borderId="3" xfId="0" applyNumberFormat="1" applyFont="1" applyBorder="1" applyAlignment="1" applyProtection="1">
      <protection locked="0" hidden="1"/>
    </xf>
    <xf numFmtId="49" fontId="0" fillId="0" borderId="3" xfId="0" applyNumberFormat="1" applyBorder="1" applyAlignment="1" applyProtection="1">
      <protection locked="0" hidden="1"/>
    </xf>
    <xf numFmtId="0" fontId="70" fillId="0" borderId="4" xfId="0" applyFont="1" applyBorder="1" applyAlignment="1" applyProtection="1">
      <protection locked="0" hidden="1"/>
    </xf>
    <xf numFmtId="0" fontId="0" fillId="0" borderId="4" xfId="0" applyBorder="1" applyAlignment="1" applyProtection="1">
      <protection locked="0" hidden="1"/>
    </xf>
    <xf numFmtId="0" fontId="63" fillId="0" borderId="3" xfId="0" applyFont="1" applyBorder="1" applyAlignment="1" applyProtection="1">
      <alignment horizontal="right"/>
      <protection hidden="1"/>
    </xf>
    <xf numFmtId="0" fontId="72" fillId="0" borderId="0" xfId="0" applyFont="1" applyAlignment="1" applyProtection="1">
      <protection locked="0" hidden="1"/>
    </xf>
    <xf numFmtId="0" fontId="67" fillId="0" borderId="0" xfId="0" applyFont="1" applyAlignment="1" applyProtection="1">
      <alignment horizontal="right"/>
      <protection hidden="1"/>
    </xf>
    <xf numFmtId="0" fontId="63" fillId="0" borderId="3" xfId="0" applyFont="1" applyBorder="1" applyAlignment="1" applyProtection="1">
      <protection hidden="1"/>
    </xf>
    <xf numFmtId="0" fontId="0" fillId="0" borderId="3" xfId="0" applyBorder="1" applyAlignment="1"/>
    <xf numFmtId="164" fontId="65" fillId="0" borderId="3" xfId="0" applyNumberFormat="1" applyFont="1" applyBorder="1" applyAlignment="1" applyProtection="1">
      <protection hidden="1"/>
    </xf>
    <xf numFmtId="0" fontId="48" fillId="0" borderId="3" xfId="0" applyFont="1" applyBorder="1" applyAlignment="1" applyProtection="1">
      <protection hidden="1"/>
    </xf>
    <xf numFmtId="0" fontId="65" fillId="2" borderId="4" xfId="0" applyFont="1" applyFill="1" applyBorder="1" applyAlignment="1" applyProtection="1">
      <protection hidden="1"/>
    </xf>
    <xf numFmtId="4" fontId="65" fillId="2" borderId="3" xfId="0" applyNumberFormat="1" applyFont="1" applyFill="1" applyBorder="1" applyAlignment="1" applyProtection="1">
      <protection hidden="1"/>
    </xf>
    <xf numFmtId="4" fontId="65" fillId="2" borderId="4" xfId="0" applyNumberFormat="1" applyFont="1" applyFill="1" applyBorder="1" applyAlignment="1" applyProtection="1">
      <protection hidden="1"/>
    </xf>
    <xf numFmtId="4" fontId="21" fillId="2" borderId="4" xfId="0" applyNumberFormat="1" applyFont="1" applyFill="1" applyBorder="1" applyAlignment="1" applyProtection="1">
      <protection hidden="1"/>
    </xf>
    <xf numFmtId="0" fontId="69" fillId="2" borderId="4" xfId="0" applyFont="1" applyFill="1" applyBorder="1" applyAlignment="1" applyProtection="1">
      <protection hidden="1"/>
    </xf>
    <xf numFmtId="173" fontId="75" fillId="2" borderId="3" xfId="0" applyNumberFormat="1" applyFont="1" applyFill="1" applyBorder="1" applyAlignment="1" applyProtection="1">
      <protection hidden="1"/>
    </xf>
    <xf numFmtId="173" fontId="75" fillId="2" borderId="4" xfId="0" applyNumberFormat="1" applyFont="1" applyFill="1" applyBorder="1" applyAlignment="1" applyProtection="1">
      <protection hidden="1"/>
    </xf>
    <xf numFmtId="173" fontId="0" fillId="2" borderId="4" xfId="0" applyNumberFormat="1" applyFill="1" applyBorder="1" applyAlignment="1" applyProtection="1">
      <protection hidden="1"/>
    </xf>
    <xf numFmtId="165" fontId="69" fillId="0" borderId="0" xfId="0" applyNumberFormat="1" applyFont="1" applyFill="1" applyBorder="1" applyAlignment="1" applyProtection="1">
      <protection hidden="1"/>
    </xf>
    <xf numFmtId="0" fontId="21" fillId="0" borderId="0" xfId="0" applyFont="1" applyAlignment="1" applyProtection="1">
      <protection hidden="1"/>
    </xf>
    <xf numFmtId="3" fontId="67" fillId="2" borderId="4" xfId="0" applyNumberFormat="1" applyFont="1" applyFill="1" applyBorder="1" applyAlignment="1" applyProtection="1">
      <protection hidden="1"/>
    </xf>
    <xf numFmtId="3" fontId="68" fillId="2" borderId="4" xfId="0" applyNumberFormat="1" applyFont="1" applyFill="1" applyBorder="1" applyAlignment="1" applyProtection="1">
      <protection hidden="1"/>
    </xf>
    <xf numFmtId="0" fontId="0" fillId="2" borderId="4" xfId="0" applyFill="1" applyBorder="1" applyAlignment="1" applyProtection="1">
      <protection hidden="1"/>
    </xf>
    <xf numFmtId="0" fontId="78" fillId="0" borderId="3" xfId="0" applyFont="1" applyBorder="1" applyAlignment="1" applyProtection="1">
      <alignment horizontal="right"/>
      <protection hidden="1"/>
    </xf>
    <xf numFmtId="0" fontId="79" fillId="0" borderId="3" xfId="0" applyFont="1" applyBorder="1" applyAlignment="1" applyProtection="1">
      <alignment horizontal="right"/>
      <protection hidden="1"/>
    </xf>
    <xf numFmtId="0" fontId="62" fillId="2" borderId="3" xfId="0" applyFont="1" applyFill="1" applyBorder="1" applyAlignment="1" applyProtection="1">
      <protection hidden="1"/>
    </xf>
    <xf numFmtId="3" fontId="66" fillId="2" borderId="6" xfId="0" applyNumberFormat="1" applyFont="1" applyFill="1" applyBorder="1" applyAlignment="1" applyProtection="1">
      <protection locked="0" hidden="1"/>
    </xf>
    <xf numFmtId="3" fontId="66" fillId="2" borderId="4" xfId="0" applyNumberFormat="1" applyFont="1" applyFill="1" applyBorder="1" applyAlignment="1" applyProtection="1">
      <protection locked="0" hidden="1"/>
    </xf>
    <xf numFmtId="3" fontId="66" fillId="2" borderId="7" xfId="0" applyNumberFormat="1" applyFont="1" applyFill="1" applyBorder="1" applyAlignment="1" applyProtection="1">
      <protection locked="0" hidden="1"/>
    </xf>
    <xf numFmtId="0" fontId="0" fillId="2" borderId="7" xfId="0" applyFill="1" applyBorder="1" applyAlignment="1" applyProtection="1">
      <protection locked="0" hidden="1"/>
    </xf>
    <xf numFmtId="0" fontId="56" fillId="0" borderId="0" xfId="0" applyFont="1" applyAlignment="1" applyProtection="1">
      <protection hidden="1"/>
    </xf>
    <xf numFmtId="3" fontId="73" fillId="4" borderId="0" xfId="0" applyNumberFormat="1" applyFont="1" applyFill="1" applyAlignment="1" applyProtection="1">
      <protection hidden="1"/>
    </xf>
    <xf numFmtId="0" fontId="73" fillId="4" borderId="0" xfId="0" applyFont="1" applyFill="1" applyAlignment="1" applyProtection="1">
      <protection hidden="1"/>
    </xf>
    <xf numFmtId="0" fontId="56" fillId="0" borderId="0" xfId="0" applyFont="1" applyBorder="1" applyAlignment="1" applyProtection="1">
      <protection hidden="1"/>
    </xf>
    <xf numFmtId="0" fontId="42" fillId="3" borderId="0" xfId="0" applyFont="1" applyFill="1" applyAlignment="1" applyProtection="1">
      <protection hidden="1"/>
    </xf>
    <xf numFmtId="0" fontId="42" fillId="3" borderId="0" xfId="0" applyFont="1" applyFill="1" applyBorder="1" applyAlignment="1" applyProtection="1">
      <protection hidden="1"/>
    </xf>
    <xf numFmtId="164" fontId="60" fillId="3" borderId="3" xfId="0" applyNumberFormat="1" applyFont="1" applyFill="1" applyBorder="1" applyAlignment="1" applyProtection="1">
      <protection hidden="1"/>
    </xf>
    <xf numFmtId="0" fontId="29" fillId="4" borderId="6" xfId="0" applyFont="1" applyFill="1" applyBorder="1" applyAlignment="1" applyProtection="1">
      <protection locked="0" hidden="1"/>
    </xf>
    <xf numFmtId="0" fontId="29" fillId="4" borderId="4" xfId="0" applyFont="1" applyFill="1" applyBorder="1" applyAlignment="1" applyProtection="1">
      <protection locked="0" hidden="1"/>
    </xf>
    <xf numFmtId="0" fontId="29" fillId="4" borderId="7" xfId="0" applyFont="1" applyFill="1" applyBorder="1" applyAlignment="1" applyProtection="1">
      <protection locked="0" hidden="1"/>
    </xf>
    <xf numFmtId="164" fontId="60" fillId="3" borderId="4" xfId="0" applyNumberFormat="1" applyFont="1" applyFill="1" applyBorder="1" applyAlignment="1" applyProtection="1">
      <protection hidden="1"/>
    </xf>
    <xf numFmtId="0" fontId="42" fillId="4" borderId="6" xfId="0" applyFont="1" applyFill="1" applyBorder="1" applyAlignment="1" applyProtection="1">
      <protection hidden="1"/>
    </xf>
    <xf numFmtId="0" fontId="42" fillId="4" borderId="4" xfId="0" applyFont="1" applyFill="1" applyBorder="1" applyAlignment="1" applyProtection="1">
      <protection hidden="1"/>
    </xf>
    <xf numFmtId="0" fontId="42" fillId="4" borderId="7" xfId="0" applyFont="1" applyFill="1" applyBorder="1" applyAlignment="1" applyProtection="1">
      <protection hidden="1"/>
    </xf>
    <xf numFmtId="0" fontId="56" fillId="3" borderId="1" xfId="0" applyFont="1" applyFill="1" applyBorder="1" applyAlignment="1" applyProtection="1">
      <protection hidden="1"/>
    </xf>
    <xf numFmtId="164" fontId="57" fillId="3" borderId="1" xfId="0" applyNumberFormat="1" applyFont="1" applyFill="1" applyBorder="1" applyAlignment="1" applyProtection="1">
      <protection hidden="1"/>
    </xf>
    <xf numFmtId="0" fontId="73" fillId="4" borderId="6" xfId="0" applyFont="1" applyFill="1" applyBorder="1" applyAlignment="1" applyProtection="1">
      <protection locked="0" hidden="1"/>
    </xf>
    <xf numFmtId="0" fontId="73" fillId="4" borderId="4" xfId="0" applyFont="1" applyFill="1" applyBorder="1" applyAlignment="1" applyProtection="1">
      <protection locked="0" hidden="1"/>
    </xf>
    <xf numFmtId="0" fontId="73" fillId="4" borderId="7" xfId="0" applyFont="1" applyFill="1" applyBorder="1" applyAlignment="1" applyProtection="1">
      <protection locked="0" hidden="1"/>
    </xf>
    <xf numFmtId="0" fontId="73" fillId="4" borderId="6" xfId="0" applyFont="1" applyFill="1" applyBorder="1" applyAlignment="1" applyProtection="1">
      <protection hidden="1"/>
    </xf>
    <xf numFmtId="0" fontId="73" fillId="4" borderId="4" xfId="0" applyFont="1" applyFill="1" applyBorder="1" applyAlignment="1" applyProtection="1">
      <protection hidden="1"/>
    </xf>
    <xf numFmtId="0" fontId="73" fillId="4" borderId="7" xfId="0" applyFont="1" applyFill="1" applyBorder="1" applyAlignment="1" applyProtection="1">
      <protection hidden="1"/>
    </xf>
    <xf numFmtId="0" fontId="12" fillId="0" borderId="0" xfId="0" applyFont="1" applyAlignment="1" applyProtection="1">
      <protection hidden="1"/>
    </xf>
    <xf numFmtId="0" fontId="9" fillId="0" borderId="0" xfId="0" applyFont="1" applyAlignment="1" applyProtection="1">
      <protection hidden="1"/>
    </xf>
    <xf numFmtId="0" fontId="12" fillId="0" borderId="0" xfId="0" applyFont="1" applyFill="1" applyBorder="1" applyAlignment="1" applyProtection="1">
      <protection hidden="1"/>
    </xf>
    <xf numFmtId="0" fontId="9" fillId="0" borderId="0" xfId="0" applyFont="1" applyFill="1" applyBorder="1" applyAlignment="1" applyProtection="1">
      <protection hidden="1"/>
    </xf>
    <xf numFmtId="0" fontId="23" fillId="3" borderId="12" xfId="0" applyFont="1" applyFill="1" applyBorder="1" applyAlignment="1" applyProtection="1">
      <alignment horizontal="center" vertical="center" textRotation="90"/>
      <protection hidden="1"/>
    </xf>
    <xf numFmtId="0" fontId="23" fillId="0" borderId="13" xfId="0" applyFont="1" applyBorder="1" applyAlignment="1" applyProtection="1">
      <alignment horizontal="center" vertical="center" textRotation="90"/>
      <protection hidden="1"/>
    </xf>
    <xf numFmtId="0" fontId="23" fillId="0" borderId="14" xfId="0" applyFont="1" applyBorder="1" applyAlignment="1" applyProtection="1">
      <alignment horizontal="center" vertical="center" textRotation="90"/>
      <protection hidden="1"/>
    </xf>
    <xf numFmtId="0" fontId="9" fillId="3" borderId="0" xfId="0" applyFont="1" applyFill="1" applyAlignment="1" applyProtection="1">
      <protection hidden="1"/>
    </xf>
    <xf numFmtId="164" fontId="27" fillId="3" borderId="3" xfId="0" applyNumberFormat="1" applyFont="1" applyFill="1" applyBorder="1" applyAlignment="1" applyProtection="1">
      <protection hidden="1"/>
    </xf>
    <xf numFmtId="0" fontId="27" fillId="3" borderId="3" xfId="0" applyFont="1" applyFill="1" applyBorder="1" applyAlignment="1" applyProtection="1">
      <protection hidden="1"/>
    </xf>
    <xf numFmtId="0" fontId="10" fillId="3" borderId="8" xfId="0" applyFont="1" applyFill="1" applyBorder="1" applyAlignment="1" applyProtection="1">
      <protection hidden="1"/>
    </xf>
    <xf numFmtId="0" fontId="10" fillId="3" borderId="0" xfId="0" applyFont="1" applyFill="1" applyBorder="1" applyAlignment="1" applyProtection="1">
      <protection hidden="1"/>
    </xf>
    <xf numFmtId="0" fontId="6" fillId="0" borderId="0" xfId="0" applyFont="1" applyAlignment="1" applyProtection="1">
      <protection hidden="1"/>
    </xf>
    <xf numFmtId="49" fontId="9" fillId="3" borderId="0" xfId="0" applyNumberFormat="1" applyFont="1" applyFill="1" applyAlignment="1" applyProtection="1">
      <protection hidden="1"/>
    </xf>
    <xf numFmtId="164" fontId="20" fillId="3" borderId="4" xfId="0" applyNumberFormat="1" applyFont="1" applyFill="1" applyBorder="1" applyAlignment="1" applyProtection="1">
      <protection hidden="1"/>
    </xf>
    <xf numFmtId="0" fontId="20" fillId="3" borderId="4" xfId="0" applyFont="1" applyFill="1" applyBorder="1" applyAlignment="1" applyProtection="1">
      <protection hidden="1"/>
    </xf>
    <xf numFmtId="0" fontId="12" fillId="0" borderId="8" xfId="0" applyFont="1" applyBorder="1" applyAlignment="1" applyProtection="1">
      <protection hidden="1"/>
    </xf>
    <xf numFmtId="0" fontId="12" fillId="0" borderId="0" xfId="0" applyFont="1" applyBorder="1" applyAlignment="1" applyProtection="1">
      <protection hidden="1"/>
    </xf>
    <xf numFmtId="0" fontId="9" fillId="0" borderId="0" xfId="0" applyFont="1" applyBorder="1" applyAlignment="1" applyProtection="1">
      <protection hidden="1"/>
    </xf>
    <xf numFmtId="0" fontId="41" fillId="3" borderId="12" xfId="0" applyFont="1" applyFill="1" applyBorder="1" applyAlignment="1" applyProtection="1">
      <alignment horizontal="center" vertical="center" textRotation="90"/>
      <protection hidden="1"/>
    </xf>
    <xf numFmtId="0" fontId="42" fillId="3" borderId="13" xfId="0" applyFont="1" applyFill="1" applyBorder="1" applyAlignment="1" applyProtection="1">
      <alignment horizontal="center" vertical="center" textRotation="90"/>
      <protection hidden="1"/>
    </xf>
    <xf numFmtId="0" fontId="42" fillId="3" borderId="14" xfId="0" applyFont="1" applyFill="1" applyBorder="1" applyAlignment="1" applyProtection="1">
      <alignment horizontal="center" vertical="center" textRotation="90"/>
      <protection hidden="1"/>
    </xf>
    <xf numFmtId="0" fontId="9" fillId="3" borderId="0" xfId="0" applyFont="1" applyFill="1" applyBorder="1" applyAlignment="1" applyProtection="1">
      <protection hidden="1"/>
    </xf>
    <xf numFmtId="164" fontId="15" fillId="3" borderId="4" xfId="0" applyNumberFormat="1" applyFont="1" applyFill="1" applyBorder="1" applyAlignment="1" applyProtection="1">
      <protection hidden="1"/>
    </xf>
    <xf numFmtId="164" fontId="20" fillId="3" borderId="3" xfId="0" applyNumberFormat="1" applyFont="1" applyFill="1" applyBorder="1" applyAlignment="1" applyProtection="1">
      <protection hidden="1"/>
    </xf>
    <xf numFmtId="0" fontId="20" fillId="3" borderId="3" xfId="0" applyFont="1" applyFill="1" applyBorder="1" applyAlignment="1" applyProtection="1">
      <protection hidden="1"/>
    </xf>
    <xf numFmtId="164" fontId="15" fillId="3" borderId="3" xfId="0" applyNumberFormat="1" applyFont="1" applyFill="1" applyBorder="1" applyAlignment="1" applyProtection="1">
      <protection hidden="1"/>
    </xf>
    <xf numFmtId="164" fontId="15" fillId="3" borderId="3" xfId="0" applyNumberFormat="1" applyFont="1" applyFill="1" applyBorder="1" applyAlignment="1" applyProtection="1">
      <protection locked="0" hidden="1"/>
    </xf>
    <xf numFmtId="164" fontId="44" fillId="0" borderId="3" xfId="0" applyNumberFormat="1" applyFont="1" applyBorder="1" applyAlignment="1" applyProtection="1">
      <protection locked="0" hidden="1"/>
    </xf>
    <xf numFmtId="164" fontId="44" fillId="0" borderId="3" xfId="0" applyNumberFormat="1" applyFont="1" applyBorder="1" applyAlignment="1" applyProtection="1">
      <protection hidden="1"/>
    </xf>
    <xf numFmtId="0" fontId="10" fillId="3" borderId="1" xfId="0" applyFont="1" applyFill="1" applyBorder="1" applyAlignment="1" applyProtection="1">
      <protection hidden="1"/>
    </xf>
    <xf numFmtId="164" fontId="14" fillId="3" borderId="1" xfId="0" applyNumberFormat="1" applyFont="1" applyFill="1" applyBorder="1" applyAlignment="1" applyProtection="1">
      <protection hidden="1"/>
    </xf>
    <xf numFmtId="0" fontId="14" fillId="3" borderId="1" xfId="0" applyFont="1" applyFill="1" applyBorder="1" applyAlignment="1" applyProtection="1">
      <protection hidden="1"/>
    </xf>
    <xf numFmtId="0" fontId="4" fillId="3" borderId="0" xfId="0" applyFont="1" applyFill="1" applyBorder="1" applyAlignment="1" applyProtection="1">
      <protection hidden="1"/>
    </xf>
    <xf numFmtId="164" fontId="15" fillId="3" borderId="0" xfId="0" applyNumberFormat="1" applyFont="1" applyFill="1" applyBorder="1" applyAlignment="1" applyProtection="1">
      <protection hidden="1"/>
    </xf>
    <xf numFmtId="164" fontId="44" fillId="0" borderId="0" xfId="0" applyNumberFormat="1" applyFont="1" applyBorder="1" applyAlignment="1" applyProtection="1">
      <protection hidden="1"/>
    </xf>
    <xf numFmtId="0" fontId="5" fillId="3" borderId="0" xfId="0" applyFont="1" applyFill="1" applyBorder="1" applyAlignment="1" applyProtection="1">
      <protection hidden="1"/>
    </xf>
    <xf numFmtId="0" fontId="3" fillId="3" borderId="0" xfId="0" applyFont="1" applyFill="1" applyAlignment="1" applyProtection="1">
      <protection hidden="1"/>
    </xf>
    <xf numFmtId="0" fontId="12" fillId="3" borderId="0" xfId="0" applyFont="1" applyFill="1" applyBorder="1" applyAlignment="1" applyProtection="1">
      <protection hidden="1"/>
    </xf>
    <xf numFmtId="0" fontId="10" fillId="3" borderId="5" xfId="0" applyFont="1" applyFill="1" applyBorder="1" applyAlignment="1" applyProtection="1">
      <protection hidden="1"/>
    </xf>
    <xf numFmtId="164" fontId="18" fillId="3" borderId="5" xfId="0" applyNumberFormat="1" applyFont="1" applyFill="1" applyBorder="1" applyAlignment="1" applyProtection="1">
      <protection hidden="1"/>
    </xf>
    <xf numFmtId="0" fontId="18" fillId="3" borderId="5" xfId="0" applyFont="1" applyFill="1" applyBorder="1" applyAlignment="1" applyProtection="1">
      <protection hidden="1"/>
    </xf>
    <xf numFmtId="0" fontId="9" fillId="3" borderId="8" xfId="0" applyFont="1" applyFill="1" applyBorder="1" applyAlignment="1" applyProtection="1">
      <protection hidden="1"/>
    </xf>
    <xf numFmtId="164" fontId="15" fillId="0" borderId="4" xfId="0" applyNumberFormat="1" applyFont="1" applyBorder="1" applyAlignment="1" applyProtection="1">
      <protection hidden="1"/>
    </xf>
    <xf numFmtId="0" fontId="9" fillId="0" borderId="3" xfId="0" applyFont="1" applyBorder="1" applyAlignment="1" applyProtection="1">
      <protection hidden="1"/>
    </xf>
    <xf numFmtId="0" fontId="23" fillId="3" borderId="2" xfId="0" applyFont="1" applyFill="1" applyBorder="1" applyAlignment="1" applyProtection="1">
      <alignment horizontal="center" vertical="center" textRotation="90"/>
      <protection hidden="1"/>
    </xf>
    <xf numFmtId="0" fontId="23" fillId="0" borderId="2" xfId="0" applyFont="1" applyBorder="1" applyAlignment="1" applyProtection="1">
      <alignment horizontal="center" vertical="center" textRotation="90"/>
      <protection hidden="1"/>
    </xf>
    <xf numFmtId="0" fontId="10" fillId="3" borderId="15" xfId="0" applyFont="1" applyFill="1" applyBorder="1" applyAlignment="1" applyProtection="1">
      <protection hidden="1"/>
    </xf>
    <xf numFmtId="0" fontId="10" fillId="0" borderId="1" xfId="0" applyFont="1" applyBorder="1" applyAlignment="1" applyProtection="1">
      <protection hidden="1"/>
    </xf>
    <xf numFmtId="164" fontId="18" fillId="3" borderId="1" xfId="0" applyNumberFormat="1" applyFont="1" applyFill="1" applyBorder="1" applyAlignment="1" applyProtection="1">
      <protection hidden="1"/>
    </xf>
    <xf numFmtId="0" fontId="18" fillId="0" borderId="1" xfId="0" applyFont="1" applyBorder="1" applyAlignment="1" applyProtection="1">
      <protection hidden="1"/>
    </xf>
    <xf numFmtId="0" fontId="24" fillId="3" borderId="5" xfId="0" applyFont="1" applyFill="1" applyBorder="1" applyAlignment="1" applyProtection="1">
      <protection hidden="1"/>
    </xf>
    <xf numFmtId="0" fontId="43" fillId="0" borderId="5" xfId="0" applyFont="1" applyBorder="1" applyAlignment="1" applyProtection="1">
      <protection hidden="1"/>
    </xf>
    <xf numFmtId="4" fontId="25" fillId="3" borderId="5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Alignment="1" applyProtection="1">
      <protection hidden="1"/>
    </xf>
    <xf numFmtId="3" fontId="71" fillId="4" borderId="10" xfId="0" applyNumberFormat="1" applyFont="1" applyFill="1" applyBorder="1" applyAlignment="1" applyProtection="1">
      <alignment horizontal="center"/>
      <protection hidden="1"/>
    </xf>
    <xf numFmtId="0" fontId="66" fillId="4" borderId="3" xfId="0" applyFont="1" applyFill="1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12" fillId="3" borderId="5" xfId="0" applyFont="1" applyFill="1" applyBorder="1" applyAlignment="1" applyProtection="1">
      <protection hidden="1"/>
    </xf>
    <xf numFmtId="164" fontId="16" fillId="3" borderId="5" xfId="0" applyNumberFormat="1" applyFont="1" applyFill="1" applyBorder="1" applyAlignment="1" applyProtection="1">
      <protection hidden="1"/>
    </xf>
    <xf numFmtId="0" fontId="16" fillId="3" borderId="5" xfId="0" applyFont="1" applyFill="1" applyBorder="1" applyAlignment="1" applyProtection="1">
      <protection hidden="1"/>
    </xf>
    <xf numFmtId="0" fontId="63" fillId="0" borderId="15" xfId="0" applyFont="1" applyBorder="1" applyAlignment="1" applyProtection="1">
      <protection hidden="1"/>
    </xf>
    <xf numFmtId="0" fontId="63" fillId="0" borderId="1" xfId="0" applyFont="1" applyBorder="1" applyAlignment="1" applyProtection="1">
      <protection hidden="1"/>
    </xf>
    <xf numFmtId="0" fontId="63" fillId="0" borderId="16" xfId="0" applyFont="1" applyBorder="1" applyAlignment="1" applyProtection="1">
      <protection hidden="1"/>
    </xf>
    <xf numFmtId="164" fontId="64" fillId="6" borderId="15" xfId="0" applyNumberFormat="1" applyFont="1" applyFill="1" applyBorder="1" applyAlignment="1" applyProtection="1">
      <alignment horizontal="center"/>
      <protection hidden="1"/>
    </xf>
    <xf numFmtId="0" fontId="64" fillId="6" borderId="1" xfId="0" applyFont="1" applyFill="1" applyBorder="1" applyAlignment="1" applyProtection="1">
      <alignment horizontal="center"/>
      <protection hidden="1"/>
    </xf>
    <xf numFmtId="0" fontId="64" fillId="0" borderId="16" xfId="0" applyFont="1" applyBorder="1" applyAlignment="1" applyProtection="1">
      <protection hidden="1"/>
    </xf>
    <xf numFmtId="9" fontId="63" fillId="3" borderId="15" xfId="0" applyNumberFormat="1" applyFont="1" applyFill="1" applyBorder="1" applyAlignment="1" applyProtection="1">
      <protection hidden="1"/>
    </xf>
    <xf numFmtId="164" fontId="63" fillId="3" borderId="8" xfId="0" applyNumberFormat="1" applyFont="1" applyFill="1" applyBorder="1" applyAlignment="1" applyProtection="1">
      <alignment horizontal="center"/>
      <protection hidden="1"/>
    </xf>
    <xf numFmtId="0" fontId="0" fillId="0" borderId="0" xfId="0" applyBorder="1" applyAlignment="1" applyProtection="1">
      <protection hidden="1"/>
    </xf>
    <xf numFmtId="0" fontId="0" fillId="0" borderId="9" xfId="0" applyBorder="1" applyAlignment="1" applyProtection="1">
      <protection hidden="1"/>
    </xf>
    <xf numFmtId="0" fontId="63" fillId="0" borderId="8" xfId="0" applyFont="1" applyBorder="1" applyAlignment="1" applyProtection="1">
      <protection hidden="1"/>
    </xf>
    <xf numFmtId="0" fontId="63" fillId="3" borderId="10" xfId="0" applyFont="1" applyFill="1" applyBorder="1" applyAlignment="1" applyProtection="1">
      <protection hidden="1"/>
    </xf>
    <xf numFmtId="0" fontId="63" fillId="0" borderId="11" xfId="0" applyFont="1" applyBorder="1" applyAlignment="1" applyProtection="1">
      <protection hidden="1"/>
    </xf>
    <xf numFmtId="0" fontId="63" fillId="0" borderId="0" xfId="0" applyFont="1" applyBorder="1" applyAlignment="1" applyProtection="1">
      <protection hidden="1"/>
    </xf>
    <xf numFmtId="0" fontId="63" fillId="0" borderId="9" xfId="0" applyFont="1" applyBorder="1" applyAlignment="1" applyProtection="1">
      <protection hidden="1"/>
    </xf>
    <xf numFmtId="164" fontId="63" fillId="3" borderId="0" xfId="0" applyNumberFormat="1" applyFont="1" applyFill="1" applyBorder="1" applyAlignment="1" applyProtection="1">
      <alignment horizontal="center"/>
      <protection hidden="1"/>
    </xf>
    <xf numFmtId="164" fontId="63" fillId="3" borderId="9" xfId="0" applyNumberFormat="1" applyFont="1" applyFill="1" applyBorder="1" applyAlignment="1" applyProtection="1">
      <alignment horizontal="center"/>
      <protection hidden="1"/>
    </xf>
    <xf numFmtId="9" fontId="63" fillId="3" borderId="8" xfId="0" applyNumberFormat="1" applyFont="1" applyFill="1" applyBorder="1" applyAlignment="1" applyProtection="1">
      <protection hidden="1"/>
    </xf>
    <xf numFmtId="0" fontId="63" fillId="3" borderId="10" xfId="0" applyFont="1" applyFill="1" applyBorder="1" applyAlignment="1" applyProtection="1">
      <alignment horizontal="center"/>
      <protection hidden="1"/>
    </xf>
    <xf numFmtId="0" fontId="63" fillId="0" borderId="3" xfId="0" applyFont="1" applyBorder="1" applyAlignment="1" applyProtection="1">
      <alignment horizontal="center"/>
      <protection hidden="1"/>
    </xf>
    <xf numFmtId="0" fontId="63" fillId="0" borderId="11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protection hidden="1"/>
    </xf>
    <xf numFmtId="0" fontId="0" fillId="0" borderId="16" xfId="0" applyBorder="1" applyAlignment="1" applyProtection="1">
      <protection hidden="1"/>
    </xf>
    <xf numFmtId="164" fontId="64" fillId="6" borderId="5" xfId="0" applyNumberFormat="1" applyFont="1" applyFill="1" applyBorder="1" applyAlignment="1" applyProtection="1">
      <alignment horizontal="center"/>
      <protection hidden="1"/>
    </xf>
    <xf numFmtId="0" fontId="0" fillId="0" borderId="5" xfId="0" applyBorder="1" applyAlignment="1" applyProtection="1">
      <protection hidden="1"/>
    </xf>
    <xf numFmtId="0" fontId="0" fillId="0" borderId="30" xfId="0" applyBorder="1" applyAlignment="1" applyProtection="1">
      <protection hidden="1"/>
    </xf>
    <xf numFmtId="3" fontId="71" fillId="4" borderId="10" xfId="0" applyNumberFormat="1" applyFont="1" applyFill="1" applyBorder="1" applyAlignment="1" applyProtection="1">
      <protection hidden="1"/>
    </xf>
    <xf numFmtId="0" fontId="0" fillId="4" borderId="3" xfId="0" applyFill="1" applyBorder="1" applyAlignment="1" applyProtection="1">
      <protection hidden="1"/>
    </xf>
    <xf numFmtId="0" fontId="62" fillId="0" borderId="3" xfId="0" applyFont="1" applyBorder="1" applyAlignment="1" applyProtection="1">
      <protection hidden="1"/>
    </xf>
    <xf numFmtId="0" fontId="0" fillId="0" borderId="11" xfId="0" applyBorder="1" applyAlignment="1" applyProtection="1">
      <protection hidden="1"/>
    </xf>
    <xf numFmtId="164" fontId="63" fillId="3" borderId="17" xfId="0" applyNumberFormat="1" applyFont="1" applyFill="1" applyBorder="1" applyAlignment="1" applyProtection="1">
      <alignment horizontal="center"/>
      <protection hidden="1"/>
    </xf>
    <xf numFmtId="0" fontId="63" fillId="0" borderId="18" xfId="0" applyFont="1" applyBorder="1" applyAlignment="1" applyProtection="1">
      <alignment horizontal="center"/>
      <protection hidden="1"/>
    </xf>
    <xf numFmtId="0" fontId="63" fillId="0" borderId="19" xfId="0" applyFont="1" applyBorder="1" applyAlignment="1" applyProtection="1">
      <alignment horizontal="center"/>
      <protection hidden="1"/>
    </xf>
    <xf numFmtId="9" fontId="63" fillId="0" borderId="9" xfId="0" applyNumberFormat="1" applyFont="1" applyBorder="1" applyAlignment="1" applyProtection="1">
      <protection hidden="1"/>
    </xf>
    <xf numFmtId="164" fontId="63" fillId="3" borderId="18" xfId="0" applyNumberFormat="1" applyFont="1" applyFill="1" applyBorder="1" applyAlignment="1" applyProtection="1">
      <alignment horizontal="center"/>
      <protection hidden="1"/>
    </xf>
    <xf numFmtId="164" fontId="63" fillId="3" borderId="19" xfId="0" applyNumberFormat="1" applyFont="1" applyFill="1" applyBorder="1" applyAlignment="1" applyProtection="1">
      <alignment horizontal="center"/>
      <protection hidden="1"/>
    </xf>
    <xf numFmtId="0" fontId="63" fillId="0" borderId="0" xfId="0" applyFont="1" applyAlignment="1" applyProtection="1">
      <alignment horizontal="center"/>
      <protection hidden="1"/>
    </xf>
    <xf numFmtId="0" fontId="63" fillId="0" borderId="9" xfId="0" applyFont="1" applyBorder="1" applyAlignment="1" applyProtection="1">
      <alignment horizontal="center"/>
      <protection hidden="1"/>
    </xf>
    <xf numFmtId="3" fontId="67" fillId="8" borderId="3" xfId="0" applyNumberFormat="1" applyFont="1" applyFill="1" applyBorder="1" applyAlignment="1" applyProtection="1">
      <protection hidden="1"/>
    </xf>
    <xf numFmtId="3" fontId="68" fillId="8" borderId="3" xfId="0" applyNumberFormat="1" applyFont="1" applyFill="1" applyBorder="1" applyAlignment="1" applyProtection="1">
      <protection hidden="1"/>
    </xf>
    <xf numFmtId="0" fontId="0" fillId="8" borderId="3" xfId="0" applyFill="1" applyBorder="1" applyAlignment="1" applyProtection="1">
      <protection hidden="1"/>
    </xf>
    <xf numFmtId="0" fontId="62" fillId="8" borderId="3" xfId="0" applyFont="1" applyFill="1" applyBorder="1" applyAlignment="1" applyProtection="1">
      <protection hidden="1"/>
    </xf>
    <xf numFmtId="3" fontId="66" fillId="8" borderId="6" xfId="0" applyNumberFormat="1" applyFont="1" applyFill="1" applyBorder="1" applyAlignment="1" applyProtection="1">
      <protection locked="0" hidden="1"/>
    </xf>
    <xf numFmtId="3" fontId="66" fillId="8" borderId="4" xfId="0" applyNumberFormat="1" applyFont="1" applyFill="1" applyBorder="1" applyAlignment="1" applyProtection="1">
      <protection locked="0" hidden="1"/>
    </xf>
    <xf numFmtId="3" fontId="66" fillId="8" borderId="7" xfId="0" applyNumberFormat="1" applyFont="1" applyFill="1" applyBorder="1" applyAlignment="1" applyProtection="1">
      <protection locked="0" hidden="1"/>
    </xf>
    <xf numFmtId="0" fontId="0" fillId="8" borderId="7" xfId="0" applyFill="1" applyBorder="1" applyAlignment="1" applyProtection="1">
      <protection locked="0" hidden="1"/>
    </xf>
    <xf numFmtId="0" fontId="65" fillId="8" borderId="4" xfId="0" applyFont="1" applyFill="1" applyBorder="1" applyAlignment="1" applyProtection="1">
      <protection hidden="1"/>
    </xf>
    <xf numFmtId="4" fontId="65" fillId="8" borderId="3" xfId="0" applyNumberFormat="1" applyFont="1" applyFill="1" applyBorder="1" applyAlignment="1" applyProtection="1">
      <protection hidden="1"/>
    </xf>
    <xf numFmtId="4" fontId="65" fillId="8" borderId="4" xfId="0" applyNumberFormat="1" applyFont="1" applyFill="1" applyBorder="1" applyAlignment="1" applyProtection="1">
      <protection hidden="1"/>
    </xf>
    <xf numFmtId="4" fontId="21" fillId="8" borderId="4" xfId="0" applyNumberFormat="1" applyFont="1" applyFill="1" applyBorder="1" applyAlignment="1" applyProtection="1">
      <protection hidden="1"/>
    </xf>
    <xf numFmtId="0" fontId="63" fillId="0" borderId="10" xfId="0" applyFont="1" applyBorder="1" applyAlignment="1" applyProtection="1">
      <protection hidden="1"/>
    </xf>
    <xf numFmtId="9" fontId="63" fillId="3" borderId="31" xfId="0" applyNumberFormat="1" applyFont="1" applyFill="1" applyBorder="1" applyAlignment="1" applyProtection="1">
      <protection hidden="1"/>
    </xf>
    <xf numFmtId="0" fontId="63" fillId="0" borderId="30" xfId="0" applyFont="1" applyBorder="1" applyAlignment="1" applyProtection="1">
      <protection hidden="1"/>
    </xf>
    <xf numFmtId="0" fontId="0" fillId="0" borderId="3" xfId="0" applyBorder="1" applyAlignment="1" applyProtection="1">
      <protection hidden="1"/>
    </xf>
    <xf numFmtId="0" fontId="0" fillId="0" borderId="0" xfId="0" applyAlignment="1" applyProtection="1">
      <protection hidden="1"/>
    </xf>
    <xf numFmtId="0" fontId="0" fillId="0" borderId="0" xfId="0" applyBorder="1" applyAlignment="1" applyProtection="1">
      <alignment horizontal="center"/>
      <protection hidden="1"/>
    </xf>
    <xf numFmtId="168" fontId="66" fillId="0" borderId="0" xfId="0" applyNumberFormat="1" applyFont="1" applyBorder="1" applyAlignment="1" applyProtection="1">
      <alignment horizontal="right"/>
      <protection hidden="1"/>
    </xf>
    <xf numFmtId="168" fontId="21" fillId="0" borderId="0" xfId="0" applyNumberFormat="1" applyFont="1" applyAlignment="1">
      <alignment horizontal="right"/>
    </xf>
    <xf numFmtId="0" fontId="63" fillId="0" borderId="0" xfId="0" applyFont="1" applyBorder="1" applyAlignment="1" applyProtection="1">
      <alignment horizontal="right"/>
      <protection hidden="1"/>
    </xf>
    <xf numFmtId="0" fontId="0" fillId="0" borderId="0" xfId="0" applyAlignment="1">
      <alignment horizontal="right"/>
    </xf>
    <xf numFmtId="0" fontId="0" fillId="0" borderId="0" xfId="0" applyAlignment="1"/>
    <xf numFmtId="0" fontId="76" fillId="0" borderId="0" xfId="0" applyFont="1" applyAlignment="1" applyProtection="1">
      <alignment horizontal="center"/>
      <protection locked="0" hidden="1"/>
    </xf>
    <xf numFmtId="164" fontId="16" fillId="0" borderId="5" xfId="0" applyNumberFormat="1" applyFont="1" applyBorder="1" applyAlignment="1" applyProtection="1">
      <protection hidden="1"/>
    </xf>
    <xf numFmtId="0" fontId="17" fillId="0" borderId="24" xfId="0" applyFont="1" applyBorder="1" applyAlignment="1" applyProtection="1">
      <protection hidden="1"/>
    </xf>
    <xf numFmtId="0" fontId="9" fillId="8" borderId="0" xfId="0" applyFont="1" applyFill="1" applyAlignment="1" applyProtection="1">
      <protection hidden="1"/>
    </xf>
    <xf numFmtId="0" fontId="0" fillId="8" borderId="0" xfId="0" applyFill="1" applyAlignment="1" applyProtection="1">
      <protection hidden="1"/>
    </xf>
    <xf numFmtId="0" fontId="22" fillId="7" borderId="0" xfId="0" applyFont="1" applyFill="1" applyBorder="1" applyAlignment="1" applyProtection="1">
      <protection hidden="1"/>
    </xf>
    <xf numFmtId="0" fontId="21" fillId="7" borderId="0" xfId="0" applyFont="1" applyFill="1" applyBorder="1" applyAlignment="1" applyProtection="1">
      <protection hidden="1"/>
    </xf>
    <xf numFmtId="0" fontId="21" fillId="7" borderId="23" xfId="0" applyFont="1" applyFill="1" applyBorder="1" applyAlignment="1" applyProtection="1">
      <protection hidden="1"/>
    </xf>
    <xf numFmtId="0" fontId="17" fillId="0" borderId="5" xfId="0" applyFont="1" applyBorder="1" applyAlignment="1" applyProtection="1">
      <protection hidden="1"/>
    </xf>
    <xf numFmtId="0" fontId="22" fillId="8" borderId="22" xfId="0" applyFont="1" applyFill="1" applyBorder="1" applyAlignment="1" applyProtection="1">
      <protection hidden="1"/>
    </xf>
    <xf numFmtId="0" fontId="21" fillId="8" borderId="0" xfId="0" applyFont="1" applyFill="1" applyBorder="1" applyAlignment="1" applyProtection="1">
      <protection hidden="1"/>
    </xf>
    <xf numFmtId="0" fontId="22" fillId="10" borderId="0" xfId="0" applyFont="1" applyFill="1" applyBorder="1" applyAlignment="1" applyProtection="1">
      <protection hidden="1"/>
    </xf>
    <xf numFmtId="0" fontId="21" fillId="10" borderId="0" xfId="0" applyFont="1" applyFill="1" applyBorder="1" applyAlignment="1" applyProtection="1">
      <protection hidden="1"/>
    </xf>
    <xf numFmtId="0" fontId="21" fillId="10" borderId="23" xfId="0" applyFont="1" applyFill="1" applyBorder="1" applyAlignment="1" applyProtection="1">
      <protection hidden="1"/>
    </xf>
    <xf numFmtId="0" fontId="9" fillId="10" borderId="0" xfId="0" applyFont="1" applyFill="1" applyAlignment="1" applyProtection="1">
      <protection hidden="1"/>
    </xf>
    <xf numFmtId="0" fontId="0" fillId="10" borderId="0" xfId="0" applyFill="1" applyAlignment="1" applyProtection="1">
      <protection hidden="1"/>
    </xf>
    <xf numFmtId="0" fontId="9" fillId="0" borderId="20" xfId="0" applyFont="1" applyBorder="1" applyAlignment="1" applyProtection="1">
      <protection hidden="1"/>
    </xf>
    <xf numFmtId="0" fontId="0" fillId="0" borderId="18" xfId="0" applyBorder="1" applyAlignment="1" applyProtection="1">
      <protection hidden="1"/>
    </xf>
    <xf numFmtId="0" fontId="22" fillId="5" borderId="22" xfId="0" applyFont="1" applyFill="1" applyBorder="1" applyAlignment="1" applyProtection="1">
      <protection hidden="1"/>
    </xf>
    <xf numFmtId="0" fontId="21" fillId="5" borderId="0" xfId="0" applyFont="1" applyFill="1" applyBorder="1" applyAlignment="1" applyProtection="1">
      <protection hidden="1"/>
    </xf>
    <xf numFmtId="0" fontId="9" fillId="5" borderId="0" xfId="0" applyFont="1" applyFill="1" applyAlignment="1" applyProtection="1">
      <protection hidden="1"/>
    </xf>
    <xf numFmtId="0" fontId="0" fillId="5" borderId="0" xfId="0" applyFill="1" applyAlignment="1" applyProtection="1">
      <protection hidden="1"/>
    </xf>
    <xf numFmtId="0" fontId="9" fillId="7" borderId="0" xfId="0" applyFont="1" applyFill="1" applyAlignment="1" applyProtection="1">
      <protection hidden="1"/>
    </xf>
    <xf numFmtId="0" fontId="0" fillId="7" borderId="0" xfId="0" applyFill="1" applyAlignment="1" applyProtection="1">
      <protection hidden="1"/>
    </xf>
    <xf numFmtId="0" fontId="29" fillId="0" borderId="0" xfId="0" applyFont="1" applyAlignment="1" applyProtection="1">
      <alignment horizontal="center"/>
      <protection hidden="1"/>
    </xf>
    <xf numFmtId="0" fontId="0" fillId="0" borderId="0" xfId="0" applyFill="1" applyBorder="1" applyAlignment="1" applyProtection="1">
      <protection hidden="1"/>
    </xf>
    <xf numFmtId="0" fontId="22" fillId="0" borderId="0" xfId="0" applyFont="1" applyFill="1" applyBorder="1" applyAlignment="1" applyProtection="1">
      <protection hidden="1"/>
    </xf>
    <xf numFmtId="0" fontId="21" fillId="0" borderId="0" xfId="0" applyFont="1" applyFill="1" applyBorder="1" applyAlignment="1" applyProtection="1">
      <protection hidden="1"/>
    </xf>
    <xf numFmtId="164" fontId="16" fillId="0" borderId="0" xfId="0" applyNumberFormat="1" applyFont="1" applyFill="1" applyBorder="1" applyAlignment="1" applyProtection="1">
      <protection hidden="1"/>
    </xf>
    <xf numFmtId="0" fontId="17" fillId="0" borderId="0" xfId="0" applyFont="1" applyFill="1" applyBorder="1" applyAlignment="1" applyProtection="1">
      <protection hidden="1"/>
    </xf>
    <xf numFmtId="172" fontId="0" fillId="0" borderId="0" xfId="0" applyNumberFormat="1" applyAlignment="1" applyProtection="1">
      <protection hidden="1"/>
    </xf>
    <xf numFmtId="172" fontId="0" fillId="0" borderId="0" xfId="0" applyNumberFormat="1" applyAlignment="1"/>
    <xf numFmtId="4" fontId="52" fillId="0" borderId="0" xfId="0" applyNumberFormat="1" applyFont="1" applyAlignment="1" applyProtection="1">
      <protection hidden="1"/>
    </xf>
    <xf numFmtId="4" fontId="52" fillId="0" borderId="0" xfId="0" applyNumberFormat="1" applyFont="1" applyAlignment="1"/>
    <xf numFmtId="164" fontId="0" fillId="0" borderId="0" xfId="0" applyNumberFormat="1" applyAlignment="1" applyProtection="1">
      <protection hidden="1"/>
    </xf>
    <xf numFmtId="164" fontId="0" fillId="0" borderId="0" xfId="0" applyNumberFormat="1" applyAlignment="1"/>
    <xf numFmtId="0" fontId="0" fillId="0" borderId="0" xfId="0" applyAlignment="1" applyProtection="1">
      <alignment shrinkToFit="1"/>
      <protection hidden="1"/>
    </xf>
    <xf numFmtId="164" fontId="34" fillId="0" borderId="5" xfId="0" applyNumberFormat="1" applyFont="1" applyBorder="1" applyAlignment="1" applyProtection="1">
      <protection hidden="1"/>
    </xf>
    <xf numFmtId="0" fontId="34" fillId="0" borderId="5" xfId="0" applyFont="1" applyBorder="1" applyAlignment="1" applyProtection="1">
      <protection hidden="1"/>
    </xf>
    <xf numFmtId="164" fontId="34" fillId="0" borderId="26" xfId="0" applyNumberFormat="1" applyFont="1" applyBorder="1" applyAlignment="1" applyProtection="1">
      <protection hidden="1"/>
    </xf>
    <xf numFmtId="0" fontId="0" fillId="0" borderId="26" xfId="0" applyBorder="1" applyAlignment="1" applyProtection="1">
      <protection hidden="1"/>
    </xf>
    <xf numFmtId="0" fontId="6" fillId="0" borderId="5" xfId="0" applyFont="1" applyBorder="1" applyAlignment="1" applyProtection="1">
      <protection hidden="1"/>
    </xf>
    <xf numFmtId="164" fontId="33" fillId="11" borderId="0" xfId="0" applyNumberFormat="1" applyFont="1" applyFill="1" applyBorder="1" applyAlignment="1" applyProtection="1">
      <protection hidden="1"/>
    </xf>
    <xf numFmtId="0" fontId="32" fillId="11" borderId="0" xfId="0" applyFont="1" applyFill="1" applyBorder="1" applyAlignment="1" applyProtection="1">
      <protection hidden="1"/>
    </xf>
    <xf numFmtId="164" fontId="36" fillId="0" borderId="5" xfId="0" applyNumberFormat="1" applyFont="1" applyBorder="1" applyAlignment="1" applyProtection="1">
      <protection hidden="1"/>
    </xf>
    <xf numFmtId="0" fontId="37" fillId="0" borderId="26" xfId="0" applyFont="1" applyBorder="1" applyAlignment="1" applyProtection="1">
      <protection locked="0" hidden="1"/>
    </xf>
    <xf numFmtId="0" fontId="38" fillId="0" borderId="26" xfId="0" applyFont="1" applyBorder="1" applyAlignment="1" applyProtection="1">
      <protection locked="0" hidden="1"/>
    </xf>
    <xf numFmtId="164" fontId="39" fillId="0" borderId="5" xfId="0" applyNumberFormat="1" applyFont="1" applyBorder="1" applyAlignment="1" applyProtection="1">
      <protection hidden="1"/>
    </xf>
    <xf numFmtId="3" fontId="114" fillId="0" borderId="0" xfId="0" applyNumberFormat="1" applyFont="1" applyAlignment="1" applyProtection="1">
      <protection hidden="1"/>
    </xf>
    <xf numFmtId="3" fontId="114" fillId="0" borderId="0" xfId="0" applyNumberFormat="1" applyFont="1" applyAlignment="1"/>
    <xf numFmtId="1" fontId="0" fillId="0" borderId="0" xfId="0" applyNumberFormat="1" applyAlignment="1" applyProtection="1">
      <protection hidden="1"/>
    </xf>
    <xf numFmtId="1" fontId="0" fillId="0" borderId="0" xfId="0" applyNumberFormat="1" applyAlignment="1"/>
    <xf numFmtId="0" fontId="50" fillId="7" borderId="0" xfId="0" applyFont="1" applyFill="1" applyAlignment="1">
      <alignment horizontal="right"/>
    </xf>
    <xf numFmtId="0" fontId="51" fillId="0" borderId="8" xfId="0" applyFont="1" applyBorder="1" applyAlignment="1" applyProtection="1">
      <protection hidden="1"/>
    </xf>
    <xf numFmtId="0" fontId="51" fillId="0" borderId="0" xfId="0" applyFont="1" applyBorder="1" applyAlignment="1" applyProtection="1">
      <protection hidden="1"/>
    </xf>
    <xf numFmtId="164" fontId="51" fillId="3" borderId="6" xfId="0" applyNumberFormat="1" applyFont="1" applyFill="1" applyBorder="1" applyAlignment="1" applyProtection="1">
      <alignment horizontal="center"/>
      <protection hidden="1"/>
    </xf>
    <xf numFmtId="0" fontId="51" fillId="0" borderId="4" xfId="0" applyFont="1" applyBorder="1" applyAlignment="1" applyProtection="1">
      <alignment horizontal="center"/>
      <protection hidden="1"/>
    </xf>
    <xf numFmtId="0" fontId="0" fillId="0" borderId="4" xfId="0" applyBorder="1" applyAlignment="1"/>
    <xf numFmtId="171" fontId="51" fillId="3" borderId="6" xfId="0" applyNumberFormat="1" applyFont="1" applyFill="1" applyBorder="1" applyAlignment="1" applyProtection="1">
      <protection hidden="1"/>
    </xf>
    <xf numFmtId="171" fontId="51" fillId="0" borderId="4" xfId="0" applyNumberFormat="1" applyFont="1" applyBorder="1" applyAlignment="1" applyProtection="1">
      <protection hidden="1"/>
    </xf>
    <xf numFmtId="171" fontId="0" fillId="0" borderId="4" xfId="0" applyNumberFormat="1" applyBorder="1" applyAlignment="1"/>
    <xf numFmtId="171" fontId="0" fillId="0" borderId="7" xfId="0" applyNumberFormat="1" applyBorder="1" applyAlignment="1"/>
    <xf numFmtId="0" fontId="51" fillId="3" borderId="6" xfId="0" applyFont="1" applyFill="1" applyBorder="1" applyAlignment="1" applyProtection="1">
      <alignment horizontal="center"/>
      <protection hidden="1"/>
    </xf>
    <xf numFmtId="49" fontId="0" fillId="0" borderId="0" xfId="0" applyNumberFormat="1" applyFont="1" applyAlignment="1"/>
    <xf numFmtId="164" fontId="109" fillId="0" borderId="0" xfId="0" applyNumberFormat="1" applyFont="1" applyAlignment="1"/>
    <xf numFmtId="0" fontId="109" fillId="0" borderId="0" xfId="0" applyFont="1" applyAlignment="1"/>
    <xf numFmtId="0" fontId="51" fillId="0" borderId="8" xfId="0" applyFont="1" applyBorder="1" applyAlignment="1"/>
    <xf numFmtId="0" fontId="0" fillId="0" borderId="0" xfId="0" applyBorder="1" applyAlignment="1"/>
    <xf numFmtId="0" fontId="0" fillId="2" borderId="6" xfId="0" applyFont="1" applyFill="1" applyBorder="1" applyAlignment="1"/>
    <xf numFmtId="0" fontId="0" fillId="2" borderId="4" xfId="0" applyFont="1" applyFill="1" applyBorder="1" applyAlignment="1"/>
    <xf numFmtId="0" fontId="0" fillId="2" borderId="7" xfId="0" applyFont="1" applyFill="1" applyBorder="1" applyAlignment="1"/>
    <xf numFmtId="164" fontId="51" fillId="5" borderId="6" xfId="0" applyNumberFormat="1" applyFont="1" applyFill="1" applyBorder="1" applyAlignment="1"/>
    <xf numFmtId="164" fontId="51" fillId="5" borderId="4" xfId="0" applyNumberFormat="1" applyFont="1" applyFill="1" applyBorder="1" applyAlignment="1"/>
    <xf numFmtId="164" fontId="51" fillId="5" borderId="7" xfId="0" applyNumberFormat="1" applyFont="1" applyFill="1" applyBorder="1" applyAlignment="1"/>
    <xf numFmtId="0" fontId="51" fillId="0" borderId="0" xfId="0" applyFont="1" applyAlignment="1"/>
    <xf numFmtId="0" fontId="0" fillId="0" borderId="0" xfId="0" applyFont="1" applyAlignment="1"/>
    <xf numFmtId="166" fontId="0" fillId="2" borderId="6" xfId="0" applyNumberFormat="1" applyFont="1" applyFill="1" applyBorder="1" applyAlignment="1"/>
    <xf numFmtId="166" fontId="0" fillId="2" borderId="4" xfId="0" applyNumberFormat="1" applyFont="1" applyFill="1" applyBorder="1" applyAlignment="1"/>
    <xf numFmtId="166" fontId="0" fillId="2" borderId="7" xfId="0" applyNumberFormat="1" applyFont="1" applyFill="1" applyBorder="1" applyAlignment="1"/>
    <xf numFmtId="164" fontId="0" fillId="5" borderId="6" xfId="0" applyNumberFormat="1" applyFont="1" applyFill="1" applyBorder="1" applyAlignment="1"/>
    <xf numFmtId="164" fontId="0" fillId="5" borderId="4" xfId="0" applyNumberFormat="1" applyFont="1" applyFill="1" applyBorder="1" applyAlignment="1"/>
    <xf numFmtId="164" fontId="0" fillId="5" borderId="7" xfId="0" applyNumberFormat="1" applyFont="1" applyFill="1" applyBorder="1" applyAlignment="1"/>
    <xf numFmtId="0" fontId="6" fillId="0" borderId="0" xfId="0" applyFont="1" applyAlignment="1"/>
    <xf numFmtId="0" fontId="107" fillId="0" borderId="3" xfId="0" applyFont="1" applyBorder="1" applyAlignment="1"/>
    <xf numFmtId="0" fontId="93" fillId="0" borderId="3" xfId="0" applyFont="1" applyBorder="1" applyAlignment="1"/>
    <xf numFmtId="164" fontId="108" fillId="0" borderId="3" xfId="0" applyNumberFormat="1" applyFont="1" applyBorder="1" applyAlignment="1"/>
    <xf numFmtId="0" fontId="0" fillId="0" borderId="11" xfId="0" applyBorder="1" applyAlignment="1"/>
    <xf numFmtId="2" fontId="0" fillId="2" borderId="6" xfId="0" applyNumberFormat="1" applyFont="1" applyFill="1" applyBorder="1" applyAlignment="1" applyProtection="1">
      <protection locked="0" hidden="1"/>
    </xf>
    <xf numFmtId="0" fontId="0" fillId="0" borderId="4" xfId="0" applyFont="1" applyBorder="1" applyAlignment="1"/>
    <xf numFmtId="0" fontId="0" fillId="0" borderId="7" xfId="0" applyFont="1" applyBorder="1" applyAlignment="1"/>
    <xf numFmtId="0" fontId="107" fillId="0" borderId="0" xfId="0" applyFont="1" applyAlignment="1"/>
    <xf numFmtId="0" fontId="93" fillId="0" borderId="0" xfId="0" applyFont="1" applyAlignment="1"/>
    <xf numFmtId="0" fontId="51" fillId="0" borderId="0" xfId="0" applyFont="1" applyBorder="1" applyAlignment="1"/>
    <xf numFmtId="0" fontId="51" fillId="0" borderId="9" xfId="0" applyFont="1" applyBorder="1" applyAlignment="1"/>
    <xf numFmtId="166" fontId="0" fillId="2" borderId="27" xfId="0" applyNumberFormat="1" applyFont="1" applyFill="1" applyBorder="1" applyAlignment="1"/>
    <xf numFmtId="0" fontId="0" fillId="0" borderId="28" xfId="0" applyFont="1" applyBorder="1" applyAlignment="1"/>
    <xf numFmtId="0" fontId="0" fillId="0" borderId="29" xfId="0" applyFont="1" applyBorder="1" applyAlignment="1"/>
    <xf numFmtId="164" fontId="108" fillId="0" borderId="0" xfId="0" applyNumberFormat="1" applyFont="1" applyAlignment="1"/>
    <xf numFmtId="0" fontId="9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3" fontId="0" fillId="2" borderId="6" xfId="0" applyNumberFormat="1" applyFont="1" applyFill="1" applyBorder="1" applyAlignment="1"/>
    <xf numFmtId="0" fontId="0" fillId="0" borderId="7" xfId="0" applyBorder="1" applyAlignment="1"/>
    <xf numFmtId="0" fontId="107" fillId="0" borderId="8" xfId="0" applyFont="1" applyBorder="1" applyAlignment="1"/>
    <xf numFmtId="0" fontId="93" fillId="0" borderId="0" xfId="0" applyFont="1" applyBorder="1" applyAlignment="1"/>
    <xf numFmtId="2" fontId="0" fillId="2" borderId="27" xfId="0" applyNumberFormat="1" applyFont="1" applyFill="1" applyBorder="1" applyAlignment="1" applyProtection="1">
      <protection locked="0" hidden="1"/>
    </xf>
    <xf numFmtId="0" fontId="98" fillId="0" borderId="0" xfId="0" applyFont="1" applyAlignment="1">
      <alignment horizontal="right"/>
    </xf>
    <xf numFmtId="0" fontId="112" fillId="0" borderId="0" xfId="0" applyFont="1" applyAlignment="1">
      <alignment horizontal="right"/>
    </xf>
    <xf numFmtId="164" fontId="94" fillId="0" borderId="0" xfId="0" applyNumberFormat="1" applyFont="1" applyAlignment="1"/>
    <xf numFmtId="0" fontId="97" fillId="0" borderId="0" xfId="0" applyFont="1" applyAlignment="1"/>
    <xf numFmtId="0" fontId="94" fillId="0" borderId="0" xfId="0" applyFont="1" applyAlignment="1"/>
    <xf numFmtId="0" fontId="107" fillId="0" borderId="27" xfId="0" applyFont="1" applyBorder="1" applyAlignment="1"/>
    <xf numFmtId="0" fontId="93" fillId="0" borderId="28" xfId="0" applyFont="1" applyBorder="1" applyAlignment="1"/>
    <xf numFmtId="164" fontId="105" fillId="5" borderId="6" xfId="0" applyNumberFormat="1" applyFont="1" applyFill="1" applyBorder="1" applyAlignment="1">
      <alignment horizontal="right"/>
    </xf>
    <xf numFmtId="0" fontId="0" fillId="5" borderId="4" xfId="0" applyFont="1" applyFill="1" applyBorder="1" applyAlignment="1"/>
    <xf numFmtId="0" fontId="0" fillId="5" borderId="7" xfId="0" applyFont="1" applyFill="1" applyBorder="1" applyAlignment="1"/>
    <xf numFmtId="0" fontId="0" fillId="0" borderId="0" xfId="0" applyFont="1" applyFill="1" applyBorder="1" applyAlignment="1" applyProtection="1">
      <protection hidden="1"/>
    </xf>
    <xf numFmtId="165" fontId="0" fillId="2" borderId="6" xfId="0" applyNumberFormat="1" applyFont="1" applyFill="1" applyBorder="1" applyAlignment="1"/>
    <xf numFmtId="165" fontId="0" fillId="2" borderId="4" xfId="0" applyNumberFormat="1" applyFont="1" applyFill="1" applyBorder="1" applyAlignment="1"/>
    <xf numFmtId="165" fontId="0" fillId="2" borderId="7" xfId="0" applyNumberFormat="1" applyFont="1" applyFill="1" applyBorder="1" applyAlignment="1"/>
    <xf numFmtId="164" fontId="55" fillId="5" borderId="6" xfId="0" applyNumberFormat="1" applyFont="1" applyFill="1" applyBorder="1" applyAlignment="1">
      <alignment horizontal="right"/>
    </xf>
    <xf numFmtId="164" fontId="0" fillId="5" borderId="4" xfId="0" applyNumberFormat="1" applyFont="1" applyFill="1" applyBorder="1" applyAlignment="1">
      <alignment horizontal="right"/>
    </xf>
    <xf numFmtId="0" fontId="0" fillId="5" borderId="7" xfId="0" applyFont="1" applyFill="1" applyBorder="1" applyAlignment="1">
      <alignment horizontal="right"/>
    </xf>
    <xf numFmtId="164" fontId="55" fillId="5" borderId="6" xfId="0" applyNumberFormat="1" applyFont="1" applyFill="1" applyBorder="1" applyAlignment="1"/>
    <xf numFmtId="164" fontId="55" fillId="5" borderId="4" xfId="0" applyNumberFormat="1" applyFont="1" applyFill="1" applyBorder="1" applyAlignment="1"/>
    <xf numFmtId="164" fontId="55" fillId="5" borderId="7" xfId="0" applyNumberFormat="1" applyFont="1" applyFill="1" applyBorder="1" applyAlignment="1"/>
    <xf numFmtId="3" fontId="51" fillId="5" borderId="6" xfId="0" applyNumberFormat="1" applyFont="1" applyFill="1" applyBorder="1" applyAlignment="1"/>
    <xf numFmtId="0" fontId="0" fillId="5" borderId="4" xfId="0" applyFill="1" applyBorder="1" applyAlignment="1"/>
    <xf numFmtId="0" fontId="0" fillId="5" borderId="7" xfId="0" applyFill="1" applyBorder="1" applyAlignment="1"/>
    <xf numFmtId="0" fontId="97" fillId="0" borderId="0" xfId="0" applyFont="1" applyFill="1" applyBorder="1" applyAlignment="1" applyProtection="1">
      <protection hidden="1"/>
    </xf>
    <xf numFmtId="0" fontId="95" fillId="0" borderId="0" xfId="0" applyFont="1" applyAlignment="1"/>
    <xf numFmtId="0" fontId="0" fillId="5" borderId="4" xfId="0" applyFont="1" applyFill="1" applyBorder="1" applyAlignment="1">
      <alignment horizontal="right"/>
    </xf>
    <xf numFmtId="0" fontId="97" fillId="0" borderId="0" xfId="0" applyFont="1" applyAlignment="1" applyProtection="1">
      <protection hidden="1"/>
    </xf>
    <xf numFmtId="3" fontId="110" fillId="4" borderId="8" xfId="0" applyNumberFormat="1" applyFont="1" applyFill="1" applyBorder="1" applyAlignment="1" applyProtection="1">
      <protection hidden="1"/>
    </xf>
    <xf numFmtId="0" fontId="52" fillId="4" borderId="0" xfId="0" applyFont="1" applyFill="1" applyBorder="1" applyAlignment="1" applyProtection="1">
      <protection hidden="1"/>
    </xf>
    <xf numFmtId="164" fontId="111" fillId="6" borderId="6" xfId="0" applyNumberFormat="1" applyFont="1" applyFill="1" applyBorder="1" applyAlignment="1" applyProtection="1">
      <alignment horizontal="center"/>
      <protection hidden="1"/>
    </xf>
    <xf numFmtId="0" fontId="111" fillId="6" borderId="4" xfId="0" applyFont="1" applyFill="1" applyBorder="1" applyAlignment="1" applyProtection="1">
      <alignment horizontal="center"/>
      <protection hidden="1"/>
    </xf>
    <xf numFmtId="0" fontId="111" fillId="0" borderId="4" xfId="0" applyFont="1" applyBorder="1" applyAlignment="1" applyProtection="1">
      <protection hidden="1"/>
    </xf>
    <xf numFmtId="164" fontId="0" fillId="0" borderId="4" xfId="0" applyNumberFormat="1" applyFont="1" applyBorder="1" applyAlignment="1"/>
    <xf numFmtId="0" fontId="0" fillId="0" borderId="0" xfId="0" applyFont="1" applyBorder="1" applyAlignment="1"/>
    <xf numFmtId="0" fontId="107" fillId="0" borderId="0" xfId="0" applyFont="1" applyBorder="1" applyAlignment="1"/>
    <xf numFmtId="164" fontId="108" fillId="0" borderId="0" xfId="0" applyNumberFormat="1" applyFont="1" applyBorder="1" applyAlignment="1"/>
    <xf numFmtId="0" fontId="94" fillId="0" borderId="0" xfId="0" applyFont="1" applyBorder="1" applyAlignment="1"/>
    <xf numFmtId="0" fontId="51" fillId="0" borderId="3" xfId="0" applyFont="1" applyBorder="1" applyAlignment="1" applyProtection="1">
      <protection hidden="1"/>
    </xf>
    <xf numFmtId="0" fontId="0" fillId="0" borderId="3" xfId="0" applyFont="1" applyBorder="1" applyAlignment="1"/>
    <xf numFmtId="0" fontId="0" fillId="0" borderId="11" xfId="0" applyFont="1" applyBorder="1" applyAlignment="1"/>
    <xf numFmtId="0" fontId="104" fillId="0" borderId="6" xfId="0" applyFont="1" applyBorder="1" applyAlignment="1" applyProtection="1">
      <alignment horizontal="center"/>
      <protection hidden="1"/>
    </xf>
    <xf numFmtId="0" fontId="85" fillId="0" borderId="7" xfId="0" applyFont="1" applyBorder="1" applyAlignment="1"/>
    <xf numFmtId="164" fontId="55" fillId="5" borderId="6" xfId="0" applyNumberFormat="1" applyFont="1" applyFill="1" applyBorder="1" applyAlignment="1">
      <alignment horizontal="left"/>
    </xf>
    <xf numFmtId="164" fontId="0" fillId="5" borderId="4" xfId="0" applyNumberFormat="1" applyFont="1" applyFill="1" applyBorder="1" applyAlignment="1">
      <alignment horizontal="left"/>
    </xf>
    <xf numFmtId="0" fontId="106" fillId="0" borderId="6" xfId="0" applyFont="1" applyBorder="1" applyAlignment="1" applyProtection="1">
      <alignment horizontal="center"/>
      <protection hidden="1"/>
    </xf>
    <xf numFmtId="0" fontId="87" fillId="0" borderId="7" xfId="0" applyFont="1" applyBorder="1" applyAlignment="1"/>
    <xf numFmtId="0" fontId="51" fillId="0" borderId="4" xfId="0" applyFont="1" applyBorder="1" applyAlignment="1"/>
    <xf numFmtId="1" fontId="99" fillId="0" borderId="6" xfId="0" applyNumberFormat="1" applyFont="1" applyBorder="1" applyAlignment="1"/>
    <xf numFmtId="1" fontId="82" fillId="0" borderId="4" xfId="0" applyNumberFormat="1" applyFont="1" applyBorder="1" applyAlignment="1"/>
    <xf numFmtId="1" fontId="82" fillId="0" borderId="7" xfId="0" applyNumberFormat="1" applyFont="1" applyBorder="1" applyAlignment="1"/>
    <xf numFmtId="0" fontId="96" fillId="0" borderId="0" xfId="0" applyFont="1" applyAlignment="1" applyProtection="1">
      <alignment horizontal="center"/>
      <protection hidden="1"/>
    </xf>
    <xf numFmtId="0" fontId="51" fillId="0" borderId="2" xfId="0" applyFont="1" applyBorder="1" applyAlignment="1" applyProtection="1">
      <protection hidden="1"/>
    </xf>
    <xf numFmtId="0" fontId="0" fillId="0" borderId="2" xfId="0" applyFont="1" applyBorder="1" applyAlignment="1"/>
    <xf numFmtId="0" fontId="97" fillId="0" borderId="2" xfId="0" applyFont="1" applyBorder="1" applyAlignment="1" applyProtection="1">
      <alignment horizontal="center"/>
      <protection locked="0" hidden="1"/>
    </xf>
    <xf numFmtId="0" fontId="6" fillId="0" borderId="2" xfId="0" applyFont="1" applyBorder="1" applyAlignment="1"/>
    <xf numFmtId="0" fontId="51" fillId="0" borderId="0" xfId="0" applyFont="1" applyAlignment="1" applyProtection="1">
      <protection locked="0" hidden="1"/>
    </xf>
    <xf numFmtId="0" fontId="103" fillId="0" borderId="6" xfId="0" applyFont="1" applyBorder="1" applyAlignment="1">
      <alignment horizontal="center"/>
    </xf>
    <xf numFmtId="0" fontId="92" fillId="0" borderId="7" xfId="0" applyFont="1" applyBorder="1" applyAlignment="1">
      <alignment horizontal="center"/>
    </xf>
    <xf numFmtId="0" fontId="51" fillId="0" borderId="0" xfId="0" applyFont="1" applyAlignment="1" applyProtection="1">
      <protection hidden="1"/>
    </xf>
    <xf numFmtId="0" fontId="98" fillId="0" borderId="0" xfId="0" applyFont="1" applyAlignment="1" applyProtection="1">
      <protection hidden="1"/>
    </xf>
    <xf numFmtId="0" fontId="52" fillId="0" borderId="0" xfId="0" applyFont="1" applyAlignment="1"/>
    <xf numFmtId="1" fontId="99" fillId="0" borderId="6" xfId="0" applyNumberFormat="1" applyFont="1" applyBorder="1" applyAlignment="1" applyProtection="1">
      <alignment horizontal="center"/>
      <protection hidden="1"/>
    </xf>
    <xf numFmtId="0" fontId="82" fillId="0" borderId="7" xfId="0" applyFont="1" applyBorder="1" applyAlignment="1"/>
    <xf numFmtId="0" fontId="51" fillId="0" borderId="4" xfId="0" applyFont="1" applyBorder="1" applyAlignment="1" applyProtection="1">
      <protection hidden="1"/>
    </xf>
    <xf numFmtId="0" fontId="99" fillId="0" borderId="6" xfId="0" applyFont="1" applyBorder="1" applyAlignment="1"/>
    <xf numFmtId="1" fontId="99" fillId="0" borderId="2" xfId="0" applyNumberFormat="1" applyFont="1" applyBorder="1" applyAlignment="1" applyProtection="1">
      <alignment horizontal="right"/>
      <protection locked="0" hidden="1"/>
    </xf>
    <xf numFmtId="1" fontId="82" fillId="0" borderId="2" xfId="0" applyNumberFormat="1" applyFont="1" applyBorder="1" applyAlignment="1"/>
    <xf numFmtId="0" fontId="101" fillId="0" borderId="0" xfId="0" applyFont="1" applyAlignment="1" applyProtection="1">
      <protection hidden="1"/>
    </xf>
    <xf numFmtId="165" fontId="102" fillId="0" borderId="4" xfId="0" applyNumberFormat="1" applyFont="1" applyFill="1" applyBorder="1" applyAlignment="1" applyProtection="1">
      <protection hidden="1"/>
    </xf>
    <xf numFmtId="165" fontId="44" fillId="0" borderId="4" xfId="0" applyNumberFormat="1" applyFont="1" applyBorder="1" applyAlignment="1"/>
    <xf numFmtId="0" fontId="55" fillId="0" borderId="5" xfId="0" applyFont="1" applyBorder="1" applyAlignment="1"/>
    <xf numFmtId="0" fontId="51" fillId="0" borderId="5" xfId="0" applyFont="1" applyBorder="1" applyAlignment="1"/>
    <xf numFmtId="0" fontId="0" fillId="0" borderId="5" xfId="0" applyBorder="1" applyAlignment="1"/>
    <xf numFmtId="0" fontId="55" fillId="0" borderId="26" xfId="0" applyFont="1" applyBorder="1" applyAlignment="1"/>
    <xf numFmtId="0" fontId="51" fillId="0" borderId="26" xfId="0" applyFont="1" applyBorder="1" applyAlignment="1"/>
    <xf numFmtId="0" fontId="0" fillId="0" borderId="26" xfId="0" applyBorder="1" applyAlignment="1"/>
    <xf numFmtId="164" fontId="17" fillId="0" borderId="4" xfId="0" applyNumberFormat="1" applyFont="1" applyFill="1" applyBorder="1" applyAlignment="1" applyProtection="1">
      <protection hidden="1"/>
    </xf>
    <xf numFmtId="3" fontId="6" fillId="2" borderId="6" xfId="0" applyNumberFormat="1" applyFont="1" applyFill="1" applyBorder="1" applyAlignment="1" applyProtection="1">
      <protection locked="0" hidden="1"/>
    </xf>
    <xf numFmtId="0" fontId="6" fillId="2" borderId="4" xfId="0" applyFont="1" applyFill="1" applyBorder="1" applyAlignment="1"/>
    <xf numFmtId="0" fontId="6" fillId="2" borderId="7" xfId="0" applyFont="1" applyFill="1" applyBorder="1" applyAlignment="1"/>
    <xf numFmtId="0" fontId="100" fillId="0" borderId="0" xfId="0" applyFont="1" applyAlignment="1" applyProtection="1">
      <protection hidden="1"/>
    </xf>
    <xf numFmtId="0" fontId="103" fillId="0" borderId="6" xfId="0" applyFont="1" applyBorder="1" applyAlignment="1" applyProtection="1">
      <alignment horizontal="center"/>
      <protection hidden="1"/>
    </xf>
    <xf numFmtId="0" fontId="92" fillId="0" borderId="7" xfId="0" applyFont="1" applyBorder="1" applyAlignment="1"/>
    <xf numFmtId="0" fontId="51" fillId="0" borderId="3" xfId="0" applyFont="1" applyBorder="1" applyAlignment="1"/>
    <xf numFmtId="0" fontId="6" fillId="0" borderId="0" xfId="0" applyFont="1" applyBorder="1" applyAlignment="1"/>
    <xf numFmtId="0" fontId="97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98" fillId="0" borderId="0" xfId="0" applyFont="1" applyBorder="1" applyAlignment="1">
      <alignment horizontal="right"/>
    </xf>
    <xf numFmtId="0" fontId="112" fillId="0" borderId="0" xfId="0" applyFont="1" applyBorder="1" applyAlignment="1">
      <alignment horizontal="right"/>
    </xf>
    <xf numFmtId="166" fontId="0" fillId="2" borderId="6" xfId="0" applyNumberFormat="1" applyFont="1" applyFill="1" applyBorder="1" applyAlignment="1" applyProtection="1">
      <protection locked="0" hidden="1"/>
    </xf>
    <xf numFmtId="166" fontId="0" fillId="0" borderId="4" xfId="0" applyNumberFormat="1" applyFont="1" applyBorder="1" applyAlignment="1"/>
    <xf numFmtId="166" fontId="0" fillId="0" borderId="7" xfId="0" applyNumberFormat="1" applyFont="1" applyBorder="1" applyAlignment="1"/>
    <xf numFmtId="2" fontId="0" fillId="2" borderId="6" xfId="0" applyNumberFormat="1" applyFont="1" applyFill="1" applyBorder="1" applyAlignment="1"/>
    <xf numFmtId="2" fontId="0" fillId="2" borderId="4" xfId="0" applyNumberFormat="1" applyFont="1" applyFill="1" applyBorder="1" applyAlignment="1"/>
    <xf numFmtId="2" fontId="0" fillId="2" borderId="7" xfId="0" applyNumberFormat="1" applyFont="1" applyFill="1" applyBorder="1" applyAlignment="1"/>
    <xf numFmtId="164" fontId="55" fillId="5" borderId="4" xfId="0" applyNumberFormat="1" applyFont="1" applyFill="1" applyBorder="1" applyAlignment="1">
      <alignment horizontal="right"/>
    </xf>
    <xf numFmtId="164" fontId="55" fillId="5" borderId="7" xfId="0" applyNumberFormat="1" applyFont="1" applyFill="1" applyBorder="1" applyAlignment="1">
      <alignment horizontal="right"/>
    </xf>
    <xf numFmtId="0" fontId="11" fillId="2" borderId="6" xfId="0" applyFont="1" applyFill="1" applyBorder="1" applyAlignment="1"/>
    <xf numFmtId="0" fontId="11" fillId="2" borderId="4" xfId="0" applyFont="1" applyFill="1" applyBorder="1" applyAlignment="1"/>
    <xf numFmtId="0" fontId="3" fillId="0" borderId="4" xfId="0" applyFont="1" applyBorder="1" applyAlignment="1"/>
    <xf numFmtId="0" fontId="3" fillId="0" borderId="7" xfId="0" applyFont="1" applyBorder="1" applyAlignment="1"/>
    <xf numFmtId="0" fontId="11" fillId="0" borderId="0" xfId="0" applyFont="1" applyFill="1" applyBorder="1" applyAlignment="1" applyProtection="1">
      <protection hidden="1"/>
    </xf>
    <xf numFmtId="0" fontId="3" fillId="0" borderId="0" xfId="0" applyFont="1" applyAlignment="1"/>
    <xf numFmtId="164" fontId="11" fillId="5" borderId="6" xfId="0" applyNumberFormat="1" applyFont="1" applyFill="1" applyBorder="1" applyAlignment="1"/>
    <xf numFmtId="164" fontId="0" fillId="5" borderId="4" xfId="0" applyNumberFormat="1" applyFill="1" applyBorder="1" applyAlignment="1"/>
    <xf numFmtId="164" fontId="0" fillId="5" borderId="7" xfId="0" applyNumberFormat="1" applyFill="1" applyBorder="1" applyAlignment="1"/>
    <xf numFmtId="0" fontId="18" fillId="0" borderId="0" xfId="0" applyFont="1" applyAlignment="1" applyProtection="1">
      <protection hidden="1"/>
    </xf>
    <xf numFmtId="0" fontId="11" fillId="0" borderId="0" xfId="0" applyFont="1" applyAlignment="1"/>
    <xf numFmtId="164" fontId="89" fillId="5" borderId="6" xfId="0" applyNumberFormat="1" applyFont="1" applyFill="1" applyBorder="1" applyAlignment="1"/>
    <xf numFmtId="164" fontId="89" fillId="5" borderId="4" xfId="0" applyNumberFormat="1" applyFont="1" applyFill="1" applyBorder="1" applyAlignment="1"/>
    <xf numFmtId="0" fontId="19" fillId="0" borderId="0" xfId="0" applyFont="1" applyAlignment="1" applyProtection="1">
      <protection hidden="1"/>
    </xf>
    <xf numFmtId="164" fontId="19" fillId="0" borderId="4" xfId="0" applyNumberFormat="1" applyFont="1" applyFill="1" applyBorder="1" applyAlignment="1" applyProtection="1">
      <protection hidden="1"/>
    </xf>
    <xf numFmtId="0" fontId="90" fillId="0" borderId="4" xfId="0" applyFont="1" applyBorder="1" applyAlignment="1"/>
    <xf numFmtId="164" fontId="18" fillId="0" borderId="4" xfId="0" applyNumberFormat="1" applyFont="1" applyFill="1" applyBorder="1" applyAlignment="1" applyProtection="1">
      <protection hidden="1"/>
    </xf>
    <xf numFmtId="0" fontId="11" fillId="0" borderId="4" xfId="0" applyFont="1" applyBorder="1" applyAlignment="1"/>
    <xf numFmtId="0" fontId="11" fillId="2" borderId="7" xfId="0" applyFont="1" applyFill="1" applyBorder="1" applyAlignment="1"/>
    <xf numFmtId="0" fontId="88" fillId="0" borderId="0" xfId="0" applyFont="1" applyAlignment="1" applyProtection="1">
      <alignment horizontal="center"/>
      <protection hidden="1"/>
    </xf>
    <xf numFmtId="0" fontId="11" fillId="0" borderId="6" xfId="0" applyNumberFormat="1" applyFont="1" applyBorder="1" applyAlignment="1"/>
    <xf numFmtId="0" fontId="3" fillId="0" borderId="4" xfId="0" applyNumberFormat="1" applyFont="1" applyBorder="1" applyAlignment="1"/>
    <xf numFmtId="0" fontId="3" fillId="0" borderId="7" xfId="0" applyNumberFormat="1" applyFont="1" applyBorder="1" applyAlignment="1"/>
    <xf numFmtId="0" fontId="11" fillId="0" borderId="0" xfId="0" applyFont="1" applyAlignment="1" applyProtection="1">
      <protection locked="0" hidden="1"/>
    </xf>
    <xf numFmtId="0" fontId="11" fillId="0" borderId="6" xfId="0" applyFont="1" applyBorder="1" applyAlignment="1" applyProtection="1">
      <protection hidden="1"/>
    </xf>
    <xf numFmtId="0" fontId="11" fillId="0" borderId="7" xfId="0" applyFont="1" applyBorder="1" applyAlignment="1"/>
    <xf numFmtId="0" fontId="2" fillId="0" borderId="0" xfId="0" applyFont="1" applyAlignment="1"/>
    <xf numFmtId="0" fontId="11" fillId="0" borderId="3" xfId="0" applyFont="1" applyBorder="1" applyAlignment="1" applyProtection="1">
      <protection hidden="1"/>
    </xf>
    <xf numFmtId="0" fontId="11" fillId="0" borderId="3" xfId="0" applyFont="1" applyBorder="1" applyAlignment="1"/>
    <xf numFmtId="0" fontId="11" fillId="0" borderId="11" xfId="0" applyFont="1" applyBorder="1" applyAlignment="1"/>
    <xf numFmtId="1" fontId="11" fillId="2" borderId="6" xfId="0" applyNumberFormat="1" applyFont="1" applyFill="1" applyBorder="1" applyAlignment="1"/>
    <xf numFmtId="1" fontId="11" fillId="2" borderId="7" xfId="0" applyNumberFormat="1" applyFont="1" applyFill="1" applyBorder="1" applyAlignment="1"/>
    <xf numFmtId="0" fontId="54" fillId="0" borderId="0" xfId="0" applyFont="1" applyAlignment="1"/>
    <xf numFmtId="0" fontId="45" fillId="0" borderId="0" xfId="0" applyFont="1" applyAlignment="1"/>
    <xf numFmtId="0" fontId="11" fillId="5" borderId="4" xfId="0" applyNumberFormat="1" applyFont="1" applyFill="1" applyBorder="1" applyAlignment="1"/>
    <xf numFmtId="0" fontId="11" fillId="2" borderId="10" xfId="0" applyFont="1" applyFill="1" applyBorder="1" applyAlignment="1"/>
    <xf numFmtId="0" fontId="11" fillId="2" borderId="11" xfId="0" applyFont="1" applyFill="1" applyBorder="1" applyAlignment="1"/>
    <xf numFmtId="0" fontId="12" fillId="0" borderId="2" xfId="0" applyFont="1" applyBorder="1" applyAlignment="1" applyProtection="1">
      <alignment horizontal="center"/>
      <protection locked="0" hidden="1"/>
    </xf>
    <xf numFmtId="0" fontId="12" fillId="0" borderId="2" xfId="0" applyFont="1" applyBorder="1" applyAlignment="1"/>
    <xf numFmtId="0" fontId="86" fillId="0" borderId="6" xfId="0" applyFont="1" applyBorder="1" applyAlignment="1" applyProtection="1">
      <alignment horizontal="center"/>
      <protection hidden="1"/>
    </xf>
    <xf numFmtId="0" fontId="86" fillId="0" borderId="7" xfId="0" applyFont="1" applyBorder="1" applyAlignment="1"/>
    <xf numFmtId="0" fontId="54" fillId="0" borderId="0" xfId="0" applyFont="1" applyAlignment="1" applyProtection="1">
      <protection hidden="1"/>
    </xf>
    <xf numFmtId="0" fontId="40" fillId="0" borderId="0" xfId="0" applyFont="1" applyAlignment="1"/>
    <xf numFmtId="0" fontId="11" fillId="0" borderId="0" xfId="0" applyFont="1" applyAlignment="1" applyProtection="1">
      <protection hidden="1"/>
    </xf>
    <xf numFmtId="0" fontId="11" fillId="5" borderId="3" xfId="0" applyNumberFormat="1" applyFont="1" applyFill="1" applyBorder="1" applyAlignment="1"/>
    <xf numFmtId="0" fontId="0" fillId="2" borderId="4" xfId="0" applyFill="1" applyBorder="1" applyAlignment="1"/>
    <xf numFmtId="0" fontId="0" fillId="2" borderId="7" xfId="0" applyFill="1" applyBorder="1" applyAlignment="1"/>
    <xf numFmtId="0" fontId="12" fillId="0" borderId="5" xfId="0" applyFont="1" applyBorder="1" applyAlignment="1"/>
    <xf numFmtId="0" fontId="6" fillId="0" borderId="5" xfId="0" applyFont="1" applyBorder="1" applyAlignment="1"/>
    <xf numFmtId="164" fontId="18" fillId="0" borderId="5" xfId="0" applyNumberFormat="1" applyFont="1" applyBorder="1" applyAlignment="1"/>
    <xf numFmtId="0" fontId="17" fillId="0" borderId="5" xfId="0" applyFont="1" applyBorder="1" applyAlignment="1"/>
    <xf numFmtId="164" fontId="83" fillId="5" borderId="6" xfId="0" applyNumberFormat="1" applyFont="1" applyFill="1" applyBorder="1" applyAlignment="1"/>
    <xf numFmtId="164" fontId="83" fillId="5" borderId="4" xfId="0" applyNumberFormat="1" applyFont="1" applyFill="1" applyBorder="1" applyAlignment="1"/>
    <xf numFmtId="170" fontId="11" fillId="2" borderId="6" xfId="0" applyNumberFormat="1" applyFont="1" applyFill="1" applyBorder="1" applyAlignment="1"/>
    <xf numFmtId="170" fontId="11" fillId="2" borderId="4" xfId="0" applyNumberFormat="1" applyFont="1" applyFill="1" applyBorder="1" applyAlignment="1"/>
    <xf numFmtId="170" fontId="11" fillId="2" borderId="7" xfId="0" applyNumberFormat="1" applyFont="1" applyFill="1" applyBorder="1" applyAlignment="1"/>
    <xf numFmtId="164" fontId="28" fillId="5" borderId="6" xfId="0" applyNumberFormat="1" applyFont="1" applyFill="1" applyBorder="1" applyAlignment="1" applyProtection="1">
      <protection hidden="1"/>
    </xf>
    <xf numFmtId="0" fontId="55" fillId="5" borderId="4" xfId="0" applyFont="1" applyFill="1" applyBorder="1" applyAlignment="1"/>
    <xf numFmtId="164" fontId="9" fillId="5" borderId="6" xfId="0" applyNumberFormat="1" applyFont="1" applyFill="1" applyBorder="1" applyAlignment="1" applyProtection="1">
      <protection hidden="1"/>
    </xf>
    <xf numFmtId="0" fontId="10" fillId="0" borderId="0" xfId="0" applyFont="1" applyFill="1" applyBorder="1" applyAlignment="1" applyProtection="1">
      <protection hidden="1"/>
    </xf>
    <xf numFmtId="0" fontId="12" fillId="0" borderId="0" xfId="0" applyFont="1" applyAlignment="1"/>
    <xf numFmtId="0" fontId="2" fillId="0" borderId="0" xfId="0" applyFont="1" applyFill="1" applyBorder="1" applyAlignment="1" applyProtection="1">
      <protection hidden="1"/>
    </xf>
    <xf numFmtId="3" fontId="12" fillId="2" borderId="6" xfId="0" applyNumberFormat="1" applyFont="1" applyFill="1" applyBorder="1" applyAlignment="1" applyProtection="1">
      <protection locked="0" hidden="1"/>
    </xf>
    <xf numFmtId="0" fontId="12" fillId="2" borderId="4" xfId="0" applyFont="1" applyFill="1" applyBorder="1" applyAlignment="1"/>
    <xf numFmtId="0" fontId="12" fillId="2" borderId="7" xfId="0" applyFont="1" applyFill="1" applyBorder="1" applyAlignment="1"/>
    <xf numFmtId="0" fontId="115" fillId="0" borderId="0" xfId="0" applyFont="1" applyAlignment="1" applyProtection="1">
      <alignment horizontal="center"/>
      <protection hidden="1"/>
    </xf>
    <xf numFmtId="164" fontId="65" fillId="8" borderId="3" xfId="0" applyNumberFormat="1" applyFont="1" applyFill="1" applyBorder="1" applyAlignment="1" applyProtection="1">
      <protection hidden="1"/>
    </xf>
    <xf numFmtId="164" fontId="65" fillId="8" borderId="4" xfId="0" applyNumberFormat="1" applyFont="1" applyFill="1" applyBorder="1" applyAlignment="1" applyProtection="1">
      <protection hidden="1"/>
    </xf>
    <xf numFmtId="164" fontId="21" fillId="8" borderId="4" xfId="0" applyNumberFormat="1" applyFont="1" applyFill="1" applyBorder="1" applyAlignment="1" applyProtection="1">
      <protection hidden="1"/>
    </xf>
    <xf numFmtId="172" fontId="75" fillId="8" borderId="3" xfId="0" applyNumberFormat="1" applyFont="1" applyFill="1" applyBorder="1" applyAlignment="1" applyProtection="1">
      <protection hidden="1"/>
    </xf>
    <xf numFmtId="172" fontId="75" fillId="8" borderId="4" xfId="0" applyNumberFormat="1" applyFont="1" applyFill="1" applyBorder="1" applyAlignment="1" applyProtection="1">
      <protection hidden="1"/>
    </xf>
    <xf numFmtId="172" fontId="0" fillId="8" borderId="4" xfId="0" applyNumberFormat="1" applyFill="1" applyBorder="1" applyAlignment="1" applyProtection="1">
      <protection hidden="1"/>
    </xf>
    <xf numFmtId="164" fontId="119" fillId="8" borderId="4" xfId="0" applyNumberFormat="1" applyFont="1" applyFill="1" applyBorder="1" applyAlignment="1" applyProtection="1">
      <protection hidden="1"/>
    </xf>
    <xf numFmtId="164" fontId="120" fillId="8" borderId="4" xfId="0" applyNumberFormat="1" applyFont="1" applyFill="1" applyBorder="1" applyAlignment="1"/>
    <xf numFmtId="164" fontId="65" fillId="2" borderId="3" xfId="0" applyNumberFormat="1" applyFont="1" applyFill="1" applyBorder="1" applyAlignment="1" applyProtection="1">
      <protection hidden="1"/>
    </xf>
    <xf numFmtId="164" fontId="65" fillId="2" borderId="4" xfId="0" applyNumberFormat="1" applyFont="1" applyFill="1" applyBorder="1" applyAlignment="1" applyProtection="1">
      <protection hidden="1"/>
    </xf>
    <xf numFmtId="164" fontId="21" fillId="2" borderId="4" xfId="0" applyNumberFormat="1" applyFont="1" applyFill="1" applyBorder="1" applyAlignment="1" applyProtection="1">
      <protection hidden="1"/>
    </xf>
    <xf numFmtId="172" fontId="75" fillId="2" borderId="3" xfId="0" applyNumberFormat="1" applyFont="1" applyFill="1" applyBorder="1" applyAlignment="1" applyProtection="1">
      <protection hidden="1"/>
    </xf>
    <xf numFmtId="172" fontId="75" fillId="2" borderId="4" xfId="0" applyNumberFormat="1" applyFont="1" applyFill="1" applyBorder="1" applyAlignment="1" applyProtection="1">
      <protection hidden="1"/>
    </xf>
    <xf numFmtId="172" fontId="0" fillId="2" borderId="4" xfId="0" applyNumberFormat="1" applyFill="1" applyBorder="1" applyAlignment="1" applyProtection="1">
      <protection hidden="1"/>
    </xf>
    <xf numFmtId="3" fontId="116" fillId="2" borderId="4" xfId="0" applyNumberFormat="1" applyFont="1" applyFill="1" applyBorder="1" applyAlignment="1" applyProtection="1">
      <alignment horizontal="right"/>
      <protection hidden="1"/>
    </xf>
    <xf numFmtId="0" fontId="0" fillId="0" borderId="4" xfId="0" applyBorder="1" applyAlignment="1">
      <alignment horizontal="right"/>
    </xf>
    <xf numFmtId="164" fontId="119" fillId="2" borderId="4" xfId="0" applyNumberFormat="1" applyFont="1" applyFill="1" applyBorder="1" applyAlignment="1" applyProtection="1">
      <protection hidden="1"/>
    </xf>
    <xf numFmtId="164" fontId="120" fillId="2" borderId="4" xfId="0" applyNumberFormat="1" applyFont="1" applyFill="1" applyBorder="1" applyAlignment="1"/>
    <xf numFmtId="3" fontId="65" fillId="2" borderId="4" xfId="0" applyNumberFormat="1" applyFont="1" applyFill="1" applyBorder="1" applyAlignment="1" applyProtection="1">
      <alignment horizontal="right"/>
      <protection hidden="1"/>
    </xf>
    <xf numFmtId="0" fontId="62" fillId="2" borderId="4" xfId="0" applyFont="1" applyFill="1" applyBorder="1" applyAlignment="1"/>
    <xf numFmtId="0" fontId="67" fillId="0" borderId="4" xfId="0" applyFont="1" applyBorder="1" applyAlignment="1"/>
  </cellXfs>
  <cellStyles count="2">
    <cellStyle name="Dobro" xfId="1" builtinId="26"/>
    <cellStyle name="Navadno" xfId="0" builtinId="0"/>
  </cellStyles>
  <dxfs count="0"/>
  <tableStyles count="0" defaultTableStyle="TableStyleMedium2" defaultPivotStyle="PivotStyleLight16"/>
  <colors>
    <mruColors>
      <color rgb="FFFFCCFF"/>
      <color rgb="FFFF99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A176"/>
  <sheetViews>
    <sheetView zoomScale="55" zoomScaleNormal="55" workbookViewId="0">
      <selection activeCell="R14" sqref="R14:AA16"/>
    </sheetView>
  </sheetViews>
  <sheetFormatPr defaultRowHeight="14.25" x14ac:dyDescent="0.2"/>
  <cols>
    <col min="1" max="2" width="4.7109375" style="1" customWidth="1"/>
    <col min="3" max="3" width="5.7109375" style="1" bestFit="1" customWidth="1"/>
    <col min="4" max="4" width="11.7109375" style="1" customWidth="1"/>
    <col min="5" max="5" width="28" style="1" customWidth="1"/>
    <col min="6" max="6" width="9" style="1" customWidth="1"/>
    <col min="7" max="7" width="22.42578125" style="1" customWidth="1"/>
    <col min="8" max="8" width="9.140625" style="1" bestFit="1" customWidth="1"/>
    <col min="9" max="9" width="6.28515625" style="1" customWidth="1"/>
    <col min="10" max="10" width="7.28515625" style="1" customWidth="1"/>
    <col min="11" max="11" width="9.7109375" style="1" customWidth="1"/>
    <col min="12" max="12" width="9.5703125" style="1" bestFit="1" customWidth="1"/>
    <col min="13" max="13" width="12" style="1" customWidth="1"/>
    <col min="14" max="14" width="14" style="1" customWidth="1"/>
    <col min="15" max="15" width="9.7109375" style="1" customWidth="1"/>
    <col min="16" max="16" width="28.140625" style="1" customWidth="1"/>
    <col min="17" max="17" width="1.5703125" style="1" customWidth="1"/>
    <col min="18" max="18" width="15.7109375" style="1" customWidth="1"/>
    <col min="19" max="19" width="10.85546875" style="1" customWidth="1"/>
    <col min="20" max="20" width="6.28515625" style="1" customWidth="1"/>
    <col min="21" max="21" width="7.140625" style="1" customWidth="1"/>
    <col min="22" max="22" width="2.140625" style="1" customWidth="1"/>
    <col min="23" max="23" width="4.7109375" style="1" hidden="1" customWidth="1"/>
    <col min="24" max="24" width="9.42578125" style="1" hidden="1" customWidth="1"/>
    <col min="25" max="25" width="13.42578125" style="1" hidden="1" customWidth="1"/>
    <col min="26" max="26" width="6" style="1" customWidth="1"/>
    <col min="27" max="27" width="9.28515625" style="1" customWidth="1"/>
    <col min="28" max="28" width="10.140625" style="1" customWidth="1"/>
    <col min="29" max="29" width="26.7109375" style="1" customWidth="1"/>
    <col min="30" max="30" width="7.7109375" style="1" customWidth="1"/>
    <col min="31" max="31" width="15.42578125" style="1" customWidth="1"/>
    <col min="32" max="32" width="10.5703125" style="1" bestFit="1" customWidth="1"/>
    <col min="33" max="33" width="7" style="1" customWidth="1"/>
    <col min="34" max="34" width="6.7109375" style="1" customWidth="1"/>
    <col min="35" max="35" width="0.85546875" style="1" customWidth="1"/>
    <col min="36" max="36" width="6" style="1" customWidth="1"/>
    <col min="37" max="37" width="5.5703125" style="1" customWidth="1"/>
    <col min="38" max="38" width="7.140625" style="1" customWidth="1"/>
    <col min="39" max="39" width="11.85546875" style="1" bestFit="1" customWidth="1"/>
    <col min="40" max="40" width="6.7109375" style="1" customWidth="1"/>
    <col min="41" max="41" width="7.140625" style="1" customWidth="1"/>
    <col min="42" max="42" width="4.7109375" style="1" customWidth="1"/>
    <col min="43" max="43" width="7.42578125" style="1" customWidth="1"/>
    <col min="44" max="44" width="4.7109375" style="1" customWidth="1"/>
    <col min="45" max="46" width="0.7109375" style="1" customWidth="1"/>
    <col min="47" max="47" width="5.28515625" style="1" customWidth="1"/>
    <col min="48" max="48" width="4.7109375" style="1" customWidth="1"/>
    <col min="49" max="49" width="6.140625" style="1" customWidth="1"/>
    <col min="50" max="50" width="10.5703125" style="1" customWidth="1"/>
    <col min="51" max="51" width="7.5703125" style="1" customWidth="1"/>
    <col min="52" max="52" width="10.85546875" style="1" customWidth="1"/>
    <col min="53" max="53" width="10.5703125" style="1" bestFit="1" customWidth="1"/>
    <col min="54" max="54" width="6.5703125" style="1" customWidth="1"/>
    <col min="55" max="55" width="7.42578125" style="1" customWidth="1"/>
    <col min="56" max="56" width="0.7109375" style="1" customWidth="1"/>
    <col min="57" max="57" width="6.28515625" style="1" customWidth="1"/>
    <col min="58" max="58" width="6" style="1" customWidth="1"/>
    <col min="59" max="59" width="7.140625" style="1" customWidth="1"/>
    <col min="60" max="60" width="11.42578125" style="1" customWidth="1"/>
    <col min="61" max="61" width="6.5703125" style="1" customWidth="1"/>
    <col min="62" max="62" width="4.7109375" style="1" customWidth="1"/>
    <col min="63" max="63" width="8.28515625" style="1" customWidth="1"/>
    <col min="64" max="64" width="4.5703125" style="1" customWidth="1"/>
    <col min="65" max="70" width="9.140625" style="1"/>
    <col min="71" max="71" width="10.28515625" style="1" customWidth="1"/>
    <col min="72" max="72" width="9.140625" style="1"/>
    <col min="73" max="73" width="12" style="1" bestFit="1" customWidth="1"/>
    <col min="74" max="74" width="10.5703125" style="1" customWidth="1"/>
    <col min="75" max="94" width="9.140625" style="1"/>
    <col min="95" max="95" width="12" style="1" bestFit="1" customWidth="1"/>
    <col min="96" max="96" width="10.28515625" style="1" customWidth="1"/>
    <col min="97" max="116" width="9.140625" style="1"/>
    <col min="117" max="117" width="12" style="1" bestFit="1" customWidth="1"/>
    <col min="118" max="118" width="10.28515625" style="1" customWidth="1"/>
    <col min="119" max="16384" width="9.140625" style="1"/>
  </cols>
  <sheetData>
    <row r="1" spans="1:65" ht="27.75" x14ac:dyDescent="0.4">
      <c r="A1" s="148"/>
      <c r="B1" s="148"/>
      <c r="C1" s="148"/>
      <c r="D1" s="148"/>
      <c r="E1" s="642" t="s">
        <v>236</v>
      </c>
      <c r="F1" s="641"/>
      <c r="G1" s="641"/>
      <c r="H1" s="314">
        <v>1</v>
      </c>
      <c r="I1" s="313"/>
      <c r="J1" s="313"/>
      <c r="K1" s="313"/>
      <c r="L1" s="313"/>
      <c r="M1" s="311"/>
      <c r="N1" s="311"/>
      <c r="O1" s="311"/>
      <c r="P1" s="311"/>
      <c r="Q1" s="311"/>
      <c r="R1" s="311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8"/>
    </row>
    <row r="2" spans="1:65" ht="26.25" customHeight="1" x14ac:dyDescent="0.35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68" t="s">
        <v>234</v>
      </c>
      <c r="Q2" s="148"/>
      <c r="R2" s="462">
        <f ca="1">NOW()</f>
        <v>45614.788987615742</v>
      </c>
      <c r="S2" s="463"/>
      <c r="T2" s="463"/>
      <c r="U2" s="463"/>
      <c r="V2" s="463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</row>
    <row r="3" spans="1:65" ht="26.25" x14ac:dyDescent="0.4">
      <c r="A3" s="466" t="s">
        <v>0</v>
      </c>
      <c r="B3" s="466"/>
      <c r="C3" s="466"/>
      <c r="D3" s="466"/>
      <c r="E3" s="472"/>
      <c r="F3" s="472"/>
      <c r="G3" s="472"/>
      <c r="H3" s="472"/>
      <c r="I3" s="472"/>
      <c r="J3" s="472"/>
      <c r="K3" s="472"/>
      <c r="L3" s="473" t="s">
        <v>2</v>
      </c>
      <c r="M3" s="473"/>
      <c r="N3" s="473"/>
      <c r="O3" s="473"/>
      <c r="P3" s="473"/>
      <c r="Q3" s="472" t="s">
        <v>255</v>
      </c>
      <c r="R3" s="472"/>
      <c r="S3" s="472"/>
      <c r="T3" s="472"/>
      <c r="U3" s="472"/>
      <c r="V3" s="472"/>
      <c r="W3" s="472"/>
      <c r="X3" s="472"/>
      <c r="Y3" s="168"/>
      <c r="Z3" s="168"/>
      <c r="AA3" s="16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</row>
    <row r="4" spans="1:65" ht="26.25" x14ac:dyDescent="0.4">
      <c r="A4" s="466" t="s">
        <v>1</v>
      </c>
      <c r="B4" s="466"/>
      <c r="C4" s="466"/>
      <c r="D4" s="466"/>
      <c r="E4" s="472"/>
      <c r="F4" s="472"/>
      <c r="G4" s="472"/>
      <c r="H4" s="472"/>
      <c r="I4" s="472"/>
      <c r="J4" s="472"/>
      <c r="K4" s="472"/>
      <c r="L4" s="472"/>
      <c r="M4" s="472"/>
      <c r="N4" s="472"/>
      <c r="O4" s="472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</row>
    <row r="5" spans="1:65" ht="18" x14ac:dyDescent="0.25"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</row>
    <row r="6" spans="1:65" ht="18.75" x14ac:dyDescent="0.3">
      <c r="AB6" s="148"/>
      <c r="AC6" s="149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</row>
    <row r="7" spans="1:65" ht="26.25" x14ac:dyDescent="0.4">
      <c r="A7" s="466" t="s">
        <v>3</v>
      </c>
      <c r="B7" s="466"/>
      <c r="C7" s="466"/>
      <c r="D7" s="466"/>
      <c r="E7" s="293" t="s">
        <v>4</v>
      </c>
      <c r="F7" s="467" t="s">
        <v>259</v>
      </c>
      <c r="G7" s="468"/>
      <c r="H7" s="468"/>
      <c r="I7" s="468"/>
      <c r="J7" s="468"/>
      <c r="K7" s="468"/>
      <c r="L7" s="468"/>
      <c r="M7" s="468"/>
      <c r="N7" s="468"/>
      <c r="O7" s="468"/>
      <c r="P7" s="189"/>
      <c r="Q7" s="189"/>
      <c r="R7" s="189"/>
      <c r="S7" s="189"/>
      <c r="T7" s="189"/>
      <c r="U7" s="189"/>
      <c r="V7" s="189"/>
      <c r="W7" s="189"/>
      <c r="X7" s="189"/>
      <c r="Y7" s="186"/>
      <c r="Z7" s="186"/>
      <c r="AA7" s="186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</row>
    <row r="8" spans="1:65" ht="33" customHeight="1" x14ac:dyDescent="0.35">
      <c r="A8" s="168"/>
      <c r="B8" s="168"/>
      <c r="C8" s="168"/>
      <c r="D8" s="168"/>
      <c r="E8" s="185" t="s">
        <v>5</v>
      </c>
      <c r="F8" s="469" t="s">
        <v>260</v>
      </c>
      <c r="G8" s="470"/>
      <c r="H8" s="470"/>
      <c r="I8" s="470"/>
      <c r="J8" s="470"/>
      <c r="K8" s="470"/>
      <c r="L8" s="470"/>
      <c r="M8" s="470"/>
      <c r="N8" s="470"/>
      <c r="O8" s="470"/>
    </row>
    <row r="9" spans="1:65" ht="25.5" customHeight="1" x14ac:dyDescent="0.35">
      <c r="V9" s="188"/>
      <c r="W9" s="182"/>
      <c r="X9" s="182"/>
      <c r="Y9" s="182"/>
    </row>
    <row r="12" spans="1:65" ht="24.75" customHeight="1" x14ac:dyDescent="0.4">
      <c r="E12" s="324" t="s">
        <v>34</v>
      </c>
      <c r="F12" s="474"/>
      <c r="G12" s="475"/>
      <c r="H12" s="179">
        <v>4</v>
      </c>
      <c r="I12" s="168"/>
      <c r="J12" s="464" t="s">
        <v>172</v>
      </c>
      <c r="K12" s="464"/>
      <c r="L12" s="464"/>
      <c r="M12" s="372">
        <v>500</v>
      </c>
      <c r="N12" s="291" t="s">
        <v>91</v>
      </c>
      <c r="O12" s="180">
        <v>350</v>
      </c>
      <c r="P12" s="168"/>
      <c r="Q12" s="471" t="s">
        <v>35</v>
      </c>
      <c r="R12" s="471"/>
      <c r="S12" s="471"/>
      <c r="T12" s="471"/>
      <c r="U12" s="179">
        <v>2</v>
      </c>
      <c r="V12" s="178"/>
    </row>
    <row r="13" spans="1:65" ht="7.5" customHeight="1" x14ac:dyDescent="0.4">
      <c r="F13" s="330"/>
      <c r="G13" s="330"/>
      <c r="H13" s="307"/>
      <c r="I13" s="186"/>
      <c r="J13" s="221"/>
      <c r="K13" s="221"/>
      <c r="L13" s="221"/>
      <c r="M13" s="309"/>
      <c r="N13" s="373"/>
      <c r="O13" s="308"/>
      <c r="P13" s="464"/>
      <c r="Q13" s="465"/>
      <c r="R13" s="465"/>
      <c r="S13" s="315"/>
      <c r="T13" s="291"/>
      <c r="U13" s="316"/>
      <c r="V13" s="222"/>
    </row>
    <row r="14" spans="1:65" ht="24.75" customHeight="1" x14ac:dyDescent="0.35">
      <c r="A14" s="18"/>
      <c r="B14" s="18"/>
      <c r="C14" s="18"/>
      <c r="D14" s="18"/>
      <c r="E14" s="375" t="s">
        <v>110</v>
      </c>
      <c r="F14" s="392"/>
      <c r="G14" s="393">
        <f>IF(H12="","",(ROUNDUP(G19/U12,0)))</f>
        <v>500</v>
      </c>
      <c r="H14" s="394"/>
      <c r="I14" s="394"/>
      <c r="J14" s="619">
        <f>IF(H12="","",ROUNDUP(I19/U12,0))</f>
        <v>1000</v>
      </c>
      <c r="K14" s="620"/>
      <c r="L14" s="394"/>
      <c r="M14" s="619">
        <f>M19/U12</f>
        <v>1500</v>
      </c>
      <c r="N14" s="621"/>
      <c r="O14" s="168"/>
      <c r="P14" s="168"/>
      <c r="Q14" s="221"/>
      <c r="R14" s="639" t="s">
        <v>264</v>
      </c>
      <c r="S14" s="640"/>
      <c r="T14" s="641"/>
      <c r="U14" s="641"/>
      <c r="V14" s="222"/>
      <c r="Z14" s="637">
        <f>'CENA MATERIALA'!G4</f>
        <v>1500</v>
      </c>
      <c r="AA14" s="638"/>
    </row>
    <row r="15" spans="1:65" ht="24.75" customHeight="1" x14ac:dyDescent="0.4">
      <c r="A15" s="18"/>
      <c r="B15" s="18"/>
      <c r="C15" s="18"/>
      <c r="D15" s="18"/>
      <c r="E15" s="395" t="s">
        <v>254</v>
      </c>
      <c r="F15" s="396"/>
      <c r="G15" s="397">
        <v>200</v>
      </c>
      <c r="H15" s="394"/>
      <c r="I15" s="394"/>
      <c r="J15" s="438">
        <v>200</v>
      </c>
      <c r="K15" s="439"/>
      <c r="L15" s="394"/>
      <c r="M15" s="438">
        <v>300</v>
      </c>
      <c r="N15" s="439"/>
      <c r="O15" s="168"/>
      <c r="P15" s="168"/>
      <c r="Q15" s="221"/>
      <c r="U15" s="309"/>
      <c r="V15" s="222"/>
    </row>
    <row r="16" spans="1:65" ht="24.75" customHeight="1" x14ac:dyDescent="0.35">
      <c r="A16" s="18"/>
      <c r="B16" s="18"/>
      <c r="C16" s="18"/>
      <c r="D16" s="18"/>
      <c r="E16" s="375" t="s">
        <v>258</v>
      </c>
      <c r="F16" s="398"/>
      <c r="G16" s="397">
        <f>IF(G14="","",G14+G15)</f>
        <v>700</v>
      </c>
      <c r="H16" s="394"/>
      <c r="I16" s="394"/>
      <c r="J16" s="438">
        <f>IF(J14="","",J14+J15)</f>
        <v>1200</v>
      </c>
      <c r="K16" s="442"/>
      <c r="L16" s="394"/>
      <c r="M16" s="438">
        <f>IF(M14="","",M14+M15)</f>
        <v>1800</v>
      </c>
      <c r="N16" s="442"/>
      <c r="O16" s="168"/>
      <c r="P16" s="168"/>
      <c r="Q16" s="221"/>
      <c r="R16" s="639" t="s">
        <v>265</v>
      </c>
      <c r="S16" s="640"/>
      <c r="T16" s="641"/>
      <c r="U16" s="641"/>
      <c r="V16" s="222"/>
      <c r="Z16" s="521"/>
      <c r="AA16" s="641"/>
    </row>
    <row r="17" spans="1:66" ht="24.75" customHeight="1" x14ac:dyDescent="0.4">
      <c r="A17" s="18"/>
      <c r="B17" s="18"/>
      <c r="C17" s="18"/>
      <c r="D17" s="18"/>
      <c r="E17" s="399" t="s">
        <v>261</v>
      </c>
      <c r="F17" s="398"/>
      <c r="G17" s="406">
        <f>IF($H$12="","",(ROUNDUP(G16/$H$12,0)))</f>
        <v>175</v>
      </c>
      <c r="H17" s="394"/>
      <c r="I17" s="394"/>
      <c r="J17" s="445">
        <f>IF($H$12="","",(ROUNDUP(J16/$H$12,0)))</f>
        <v>300</v>
      </c>
      <c r="K17" s="446"/>
      <c r="L17" s="394"/>
      <c r="M17" s="445">
        <f>IF($H$12="","",(ROUNDUP(M16/$H$12,0)))</f>
        <v>450</v>
      </c>
      <c r="N17" s="446"/>
      <c r="O17" s="168"/>
      <c r="P17" s="168"/>
      <c r="Q17" s="221"/>
      <c r="R17" s="221"/>
      <c r="S17" s="221"/>
      <c r="T17" s="221"/>
      <c r="U17" s="309"/>
      <c r="V17" s="222"/>
    </row>
    <row r="18" spans="1:66" ht="24.75" customHeight="1" x14ac:dyDescent="0.4">
      <c r="A18" s="394"/>
      <c r="B18" s="394"/>
      <c r="C18" s="394"/>
      <c r="D18" s="394"/>
      <c r="E18" s="18"/>
      <c r="F18" s="18"/>
      <c r="G18" s="18"/>
      <c r="H18" s="18"/>
      <c r="I18" s="18"/>
      <c r="J18" s="455"/>
      <c r="K18" s="442"/>
      <c r="L18" s="18"/>
      <c r="M18" s="455"/>
      <c r="N18" s="442"/>
      <c r="P18" s="168"/>
      <c r="Q18" s="221"/>
      <c r="R18" s="221"/>
      <c r="S18" s="221"/>
      <c r="T18" s="221"/>
      <c r="U18" s="309"/>
      <c r="V18" s="222"/>
    </row>
    <row r="19" spans="1:66" ht="24.75" customHeight="1" x14ac:dyDescent="0.4">
      <c r="A19" s="622" t="s">
        <v>6</v>
      </c>
      <c r="B19" s="622"/>
      <c r="C19" s="622"/>
      <c r="D19" s="622"/>
      <c r="E19" s="408"/>
      <c r="F19" s="409"/>
      <c r="G19" s="400">
        <v>1000</v>
      </c>
      <c r="H19" s="401"/>
      <c r="I19" s="623">
        <v>2000</v>
      </c>
      <c r="J19" s="624"/>
      <c r="K19" s="625"/>
      <c r="L19" s="401"/>
      <c r="M19" s="623">
        <v>3000</v>
      </c>
      <c r="N19" s="626"/>
      <c r="O19" s="190"/>
      <c r="P19" s="168"/>
      <c r="Q19" s="221"/>
      <c r="R19" s="221"/>
      <c r="S19" s="221"/>
      <c r="T19" s="221"/>
      <c r="U19" s="309"/>
      <c r="V19" s="222"/>
    </row>
    <row r="20" spans="1:66" ht="24.75" customHeight="1" x14ac:dyDescent="0.4">
      <c r="A20" s="627" t="s">
        <v>40</v>
      </c>
      <c r="B20" s="627"/>
      <c r="C20" s="627"/>
      <c r="D20" s="627"/>
      <c r="E20" s="410"/>
      <c r="F20" s="411"/>
      <c r="G20" s="419">
        <f>IF(H35="","",IF(H35=G19,R86))</f>
        <v>278.58977500000003</v>
      </c>
      <c r="H20" s="402"/>
      <c r="I20" s="628">
        <f>IF(I19="","",AP86)</f>
        <v>304.32073928571424</v>
      </c>
      <c r="J20" s="628"/>
      <c r="K20" s="628"/>
      <c r="L20" s="402"/>
      <c r="M20" s="629">
        <f>IF(M19="","",BK86)</f>
        <v>359.90884642857145</v>
      </c>
      <c r="N20" s="630"/>
      <c r="O20" s="187"/>
      <c r="P20" s="168"/>
      <c r="Q20" s="221"/>
      <c r="R20" s="221"/>
      <c r="S20" s="221"/>
      <c r="T20" s="221"/>
      <c r="U20" s="309"/>
      <c r="V20" s="222"/>
    </row>
    <row r="21" spans="1:66" ht="24.75" customHeight="1" x14ac:dyDescent="0.4">
      <c r="A21" s="458" t="s">
        <v>41</v>
      </c>
      <c r="B21" s="458"/>
      <c r="C21" s="458"/>
      <c r="D21" s="458"/>
      <c r="E21" s="410"/>
      <c r="F21" s="412"/>
      <c r="G21" s="403">
        <f>IF(G20="","",G20/G19)</f>
        <v>0.27858977500000004</v>
      </c>
      <c r="H21" s="394"/>
      <c r="I21" s="459">
        <f>IF(I20="","",I20/I19)</f>
        <v>0.15216036964285712</v>
      </c>
      <c r="J21" s="459"/>
      <c r="K21" s="459"/>
      <c r="L21" s="404"/>
      <c r="M21" s="460">
        <f>IF(M20="","",M20/M19)</f>
        <v>0.11996961547619048</v>
      </c>
      <c r="N21" s="461"/>
      <c r="O21" s="306"/>
      <c r="P21" s="168"/>
      <c r="Q21" s="221"/>
      <c r="R21" s="221"/>
      <c r="S21" s="221"/>
      <c r="T21" s="221"/>
      <c r="U21" s="309"/>
      <c r="V21" s="222"/>
    </row>
    <row r="22" spans="1:66" ht="24.75" customHeight="1" x14ac:dyDescent="0.4">
      <c r="A22" s="447" t="s">
        <v>253</v>
      </c>
      <c r="B22" s="448"/>
      <c r="C22" s="448"/>
      <c r="D22" s="448"/>
      <c r="E22" s="410"/>
      <c r="F22" s="412"/>
      <c r="G22" s="405">
        <f>IF(G19="","",G21*1000)</f>
        <v>278.58977500000003</v>
      </c>
      <c r="H22" s="394"/>
      <c r="I22" s="453">
        <f>IF(I19="","",I21*1000)</f>
        <v>152.16036964285712</v>
      </c>
      <c r="J22" s="454"/>
      <c r="K22" s="454"/>
      <c r="L22" s="404"/>
      <c r="M22" s="453">
        <f>IF(M19="","",M21*1000)</f>
        <v>119.96961547619048</v>
      </c>
      <c r="N22" s="454"/>
      <c r="O22" s="306"/>
      <c r="P22" s="168"/>
      <c r="Q22" s="221"/>
      <c r="R22" s="221"/>
      <c r="S22" s="221"/>
      <c r="T22" s="221"/>
      <c r="U22" s="309"/>
      <c r="V22" s="222"/>
    </row>
    <row r="23" spans="1:66" ht="12" customHeight="1" x14ac:dyDescent="0.2">
      <c r="BN23" s="298"/>
    </row>
    <row r="24" spans="1:66" ht="25.5" customHeight="1" x14ac:dyDescent="0.35">
      <c r="A24" s="376"/>
      <c r="B24" s="376"/>
      <c r="C24" s="376"/>
      <c r="D24" s="376"/>
      <c r="E24" s="377" t="s">
        <v>110</v>
      </c>
      <c r="F24" s="378"/>
      <c r="G24" s="379">
        <f>G29/U12</f>
        <v>0</v>
      </c>
      <c r="H24" s="380"/>
      <c r="I24" s="380"/>
      <c r="J24" s="488">
        <f>I29/U12</f>
        <v>0</v>
      </c>
      <c r="K24" s="489"/>
      <c r="L24" s="380"/>
      <c r="M24" s="488">
        <f>M29/U12</f>
        <v>0</v>
      </c>
      <c r="N24" s="490"/>
      <c r="O24" s="168"/>
      <c r="P24" s="491" t="s">
        <v>170</v>
      </c>
      <c r="Q24" s="492"/>
      <c r="R24" s="292" t="str">
        <f>IF(O52="","",IF(O52&gt;0,200))</f>
        <v/>
      </c>
      <c r="S24" s="181" t="str">
        <f>IF(O46="","",IF(O46=1,"",IF(O46=2,"",IF(O46=3,"",IF(O46=4,"",IF(O46=5,200))))))</f>
        <v/>
      </c>
      <c r="BN24" s="298"/>
    </row>
    <row r="25" spans="1:66" ht="25.5" customHeight="1" x14ac:dyDescent="0.35">
      <c r="A25" s="376"/>
      <c r="B25" s="376"/>
      <c r="C25" s="376"/>
      <c r="D25" s="376"/>
      <c r="E25" s="381" t="s">
        <v>256</v>
      </c>
      <c r="F25" s="382"/>
      <c r="G25" s="383"/>
      <c r="H25" s="380"/>
      <c r="I25" s="380"/>
      <c r="J25" s="440"/>
      <c r="K25" s="441"/>
      <c r="L25" s="380"/>
      <c r="M25" s="440"/>
      <c r="N25" s="441"/>
      <c r="O25" s="168"/>
      <c r="P25" s="368"/>
      <c r="Q25" s="369"/>
      <c r="R25" s="370"/>
      <c r="S25" s="371"/>
      <c r="BN25" s="329"/>
    </row>
    <row r="26" spans="1:66" ht="25.5" customHeight="1" x14ac:dyDescent="0.35">
      <c r="A26" s="376"/>
      <c r="B26" s="376"/>
      <c r="C26" s="376"/>
      <c r="D26" s="376"/>
      <c r="E26" s="384" t="s">
        <v>258</v>
      </c>
      <c r="F26" s="382"/>
      <c r="G26" s="385">
        <f>IF(G24="","",G24+G25)</f>
        <v>0</v>
      </c>
      <c r="H26" s="380"/>
      <c r="I26" s="380"/>
      <c r="J26" s="443">
        <f>IF(J24="","",J24+J25)</f>
        <v>0</v>
      </c>
      <c r="K26" s="444"/>
      <c r="L26" s="380"/>
      <c r="M26" s="443">
        <f>IF(M24="","",M24+M25)</f>
        <v>0</v>
      </c>
      <c r="N26" s="444"/>
      <c r="O26" s="168"/>
      <c r="P26" s="368"/>
      <c r="Q26" s="369"/>
      <c r="R26" s="370"/>
      <c r="S26" s="371"/>
      <c r="BN26" s="329"/>
    </row>
    <row r="27" spans="1:66" ht="25.5" customHeight="1" x14ac:dyDescent="0.35">
      <c r="A27" s="376"/>
      <c r="B27" s="376"/>
      <c r="C27" s="376"/>
      <c r="D27" s="376"/>
      <c r="E27" s="377" t="s">
        <v>261</v>
      </c>
      <c r="F27" s="382"/>
      <c r="G27" s="407">
        <f>IF($H$12="","",(ROUNDUP(G26/$H$12,0)))</f>
        <v>0</v>
      </c>
      <c r="H27" s="380"/>
      <c r="I27" s="380"/>
      <c r="J27" s="456">
        <f>IF($H$12="","",(ROUNDUP(J26/$H$12,0)))</f>
        <v>0</v>
      </c>
      <c r="K27" s="457"/>
      <c r="L27" s="380"/>
      <c r="M27" s="456">
        <f>IF($H$12="","",(ROUNDUP(M26/$H$12,0)))</f>
        <v>0</v>
      </c>
      <c r="N27" s="457"/>
      <c r="O27" s="168"/>
      <c r="P27" s="368"/>
      <c r="Q27" s="369"/>
      <c r="R27" s="370"/>
      <c r="S27" s="371"/>
      <c r="BN27" s="329"/>
    </row>
    <row r="28" spans="1:66" ht="23.25" x14ac:dyDescent="0.35">
      <c r="A28" s="380"/>
      <c r="B28" s="380"/>
      <c r="C28" s="380"/>
      <c r="D28" s="380"/>
      <c r="E28" s="376"/>
      <c r="F28" s="376"/>
      <c r="G28" s="376"/>
      <c r="H28" s="376"/>
      <c r="I28" s="376"/>
      <c r="J28" s="376"/>
      <c r="K28" s="376"/>
      <c r="L28" s="376"/>
      <c r="M28" s="376"/>
      <c r="N28" s="376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9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298"/>
    </row>
    <row r="29" spans="1:66" ht="23.25" x14ac:dyDescent="0.35">
      <c r="A29" s="493" t="s">
        <v>6</v>
      </c>
      <c r="B29" s="493"/>
      <c r="C29" s="493"/>
      <c r="D29" s="493"/>
      <c r="E29" s="413"/>
      <c r="F29" s="414"/>
      <c r="G29" s="386"/>
      <c r="H29" s="387"/>
      <c r="I29" s="494"/>
      <c r="J29" s="495"/>
      <c r="K29" s="496"/>
      <c r="L29" s="387"/>
      <c r="M29" s="494"/>
      <c r="N29" s="497"/>
      <c r="O29" s="190"/>
      <c r="P29" s="491"/>
      <c r="Q29" s="492"/>
      <c r="R29" s="476"/>
      <c r="S29" s="477"/>
      <c r="T29" s="173"/>
      <c r="U29" s="169"/>
      <c r="V29" s="173"/>
      <c r="W29" s="173"/>
      <c r="X29" s="173"/>
      <c r="Y29" s="168"/>
      <c r="Z29" s="168"/>
      <c r="AA29" s="174"/>
      <c r="AB29" s="153"/>
      <c r="AC29" s="153"/>
      <c r="AD29" s="153"/>
      <c r="AE29" s="152" t="s">
        <v>23</v>
      </c>
      <c r="AF29" s="152"/>
      <c r="AG29" s="152"/>
      <c r="AH29" s="151"/>
      <c r="AI29" s="152"/>
      <c r="AJ29" s="152"/>
      <c r="AK29" s="152"/>
      <c r="AL29" s="151"/>
      <c r="AM29" s="152"/>
      <c r="AN29" s="152"/>
      <c r="AO29" s="152"/>
      <c r="AP29" s="151"/>
      <c r="AQ29" s="152"/>
      <c r="AR29" s="152"/>
      <c r="AS29" s="152"/>
      <c r="AT29" s="151"/>
      <c r="AU29" s="152"/>
      <c r="AV29" s="152"/>
      <c r="AW29" s="152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298"/>
    </row>
    <row r="30" spans="1:66" ht="24.75" customHeight="1" x14ac:dyDescent="0.35">
      <c r="A30" s="478" t="s">
        <v>40</v>
      </c>
      <c r="B30" s="478"/>
      <c r="C30" s="478"/>
      <c r="D30" s="478"/>
      <c r="E30" s="415"/>
      <c r="F30" s="416"/>
      <c r="G30" s="420" t="str">
        <f>IF(G29="","",CG86)</f>
        <v/>
      </c>
      <c r="H30" s="388"/>
      <c r="I30" s="479" t="str">
        <f>IF(I29="","",DC86)</f>
        <v/>
      </c>
      <c r="J30" s="479"/>
      <c r="K30" s="479"/>
      <c r="L30" s="388"/>
      <c r="M30" s="480" t="str">
        <f>IF(M29="","",DY86)</f>
        <v/>
      </c>
      <c r="N30" s="481"/>
      <c r="O30" s="187"/>
      <c r="P30" s="187"/>
      <c r="Q30" s="168"/>
      <c r="R30" s="175"/>
      <c r="S30" s="175"/>
      <c r="T30" s="175"/>
      <c r="U30" s="169"/>
      <c r="V30" s="175"/>
      <c r="W30" s="175"/>
      <c r="X30" s="175"/>
      <c r="Y30" s="168"/>
      <c r="Z30" s="168"/>
      <c r="AA30" s="176"/>
      <c r="AB30" s="155"/>
      <c r="AC30" s="155"/>
      <c r="AD30" s="155"/>
      <c r="AE30" s="154"/>
      <c r="AF30" s="154"/>
      <c r="AG30" s="154"/>
      <c r="AH30" s="151"/>
      <c r="AI30" s="154"/>
      <c r="AJ30" s="154"/>
      <c r="AK30" s="154"/>
      <c r="AL30" s="151"/>
      <c r="AM30" s="154"/>
      <c r="AN30" s="154"/>
      <c r="AO30" s="154"/>
      <c r="AP30" s="151"/>
      <c r="AQ30" s="154"/>
      <c r="AR30" s="154"/>
      <c r="AS30" s="154"/>
      <c r="AT30" s="151"/>
      <c r="AU30" s="154"/>
      <c r="AV30" s="154"/>
      <c r="AW30" s="154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298"/>
    </row>
    <row r="31" spans="1:66" ht="26.25" customHeight="1" x14ac:dyDescent="0.35">
      <c r="A31" s="482" t="s">
        <v>41</v>
      </c>
      <c r="B31" s="482"/>
      <c r="C31" s="482"/>
      <c r="D31" s="482"/>
      <c r="E31" s="415"/>
      <c r="F31" s="417"/>
      <c r="G31" s="389" t="str">
        <f>IF(G30="","",G30/G29)</f>
        <v/>
      </c>
      <c r="H31" s="390"/>
      <c r="I31" s="483" t="str">
        <f>IF(I30="","",I30/I29)</f>
        <v/>
      </c>
      <c r="J31" s="483"/>
      <c r="K31" s="483"/>
      <c r="L31" s="390"/>
      <c r="M31" s="484" t="str">
        <f>IF(M30="","",M30/M29)</f>
        <v/>
      </c>
      <c r="N31" s="485"/>
      <c r="O31" s="306"/>
      <c r="P31" s="486" t="str">
        <f>IF(B37="","",B37)</f>
        <v/>
      </c>
      <c r="Q31" s="487"/>
      <c r="R31" s="487"/>
      <c r="S31" s="487"/>
      <c r="T31" s="487"/>
      <c r="U31" s="487"/>
      <c r="V31" s="294"/>
      <c r="W31" s="294"/>
      <c r="X31" s="294"/>
      <c r="Y31" s="168"/>
      <c r="Z31" s="168"/>
      <c r="AA31" s="177"/>
      <c r="AB31" s="157"/>
      <c r="AC31" s="157"/>
      <c r="AD31" s="157"/>
      <c r="AE31" s="156"/>
      <c r="AF31" s="156"/>
      <c r="AG31" s="156"/>
      <c r="AH31" s="151"/>
      <c r="AI31" s="156"/>
      <c r="AJ31" s="156"/>
      <c r="AK31" s="156"/>
      <c r="AL31" s="151"/>
      <c r="AM31" s="156"/>
      <c r="AN31" s="156"/>
      <c r="AO31" s="156"/>
      <c r="AP31" s="151"/>
      <c r="AQ31" s="156"/>
      <c r="AR31" s="156"/>
      <c r="AS31" s="156"/>
      <c r="AT31" s="151"/>
      <c r="AU31" s="156"/>
      <c r="AV31" s="156"/>
      <c r="AW31" s="156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298"/>
    </row>
    <row r="32" spans="1:66" ht="25.5" customHeight="1" x14ac:dyDescent="0.35">
      <c r="A32" s="449" t="s">
        <v>253</v>
      </c>
      <c r="B32" s="450"/>
      <c r="C32" s="450"/>
      <c r="D32" s="450"/>
      <c r="E32" s="381"/>
      <c r="F32" s="381"/>
      <c r="G32" s="391" t="str">
        <f>IF(G29="","",G31*1000)</f>
        <v/>
      </c>
      <c r="H32" s="380"/>
      <c r="I32" s="451" t="str">
        <f>IF(I29="","",I31*1000)</f>
        <v/>
      </c>
      <c r="J32" s="452"/>
      <c r="K32" s="452"/>
      <c r="L32" s="380"/>
      <c r="M32" s="451" t="str">
        <f>IF(M29="","",M31*1000)</f>
        <v/>
      </c>
      <c r="N32" s="452"/>
      <c r="O32" s="168"/>
      <c r="P32" s="486" t="str">
        <f>IF(B40="","",B40)</f>
        <v/>
      </c>
      <c r="Q32" s="487"/>
      <c r="R32" s="487"/>
      <c r="S32" s="487"/>
      <c r="T32" s="487"/>
      <c r="U32" s="487"/>
      <c r="V32" s="168"/>
      <c r="W32" s="168"/>
      <c r="X32" s="168"/>
      <c r="Y32" s="168"/>
      <c r="Z32" s="168"/>
      <c r="AA32" s="169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48"/>
      <c r="AY32" s="148"/>
      <c r="AZ32" s="148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48"/>
      <c r="BM32" s="148"/>
      <c r="BN32" s="298"/>
    </row>
    <row r="33" spans="1:131" ht="18" customHeight="1" x14ac:dyDescent="0.2">
      <c r="BN33" s="298"/>
    </row>
    <row r="34" spans="1:131" ht="16.5" customHeight="1" x14ac:dyDescent="0.25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58"/>
      <c r="W34" s="151"/>
      <c r="X34" s="151"/>
      <c r="Y34" s="151"/>
      <c r="Z34" s="151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58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0"/>
      <c r="BM34" s="150"/>
      <c r="BN34" s="298"/>
    </row>
    <row r="35" spans="1:131" ht="24" customHeight="1" x14ac:dyDescent="0.3">
      <c r="A35" s="498" t="s">
        <v>27</v>
      </c>
      <c r="B35" s="498"/>
      <c r="C35" s="498"/>
      <c r="D35" s="148"/>
      <c r="E35" s="148"/>
      <c r="F35" s="148"/>
      <c r="G35" s="148"/>
      <c r="H35" s="499">
        <f>IF(G19="","",G19)</f>
        <v>1000</v>
      </c>
      <c r="I35" s="500"/>
      <c r="J35" s="148"/>
      <c r="K35" s="501" t="s">
        <v>13</v>
      </c>
      <c r="L35" s="501"/>
      <c r="M35" s="501"/>
      <c r="N35" s="501"/>
      <c r="O35" s="501"/>
      <c r="P35" s="501"/>
      <c r="Q35" s="148"/>
      <c r="R35" s="148"/>
      <c r="S35" s="148"/>
      <c r="T35" s="148"/>
      <c r="U35" s="148"/>
      <c r="V35" s="151"/>
      <c r="W35" s="153"/>
      <c r="X35" s="153"/>
      <c r="Y35" s="153"/>
      <c r="Z35" s="498" t="s">
        <v>27</v>
      </c>
      <c r="AA35" s="498"/>
      <c r="AB35" s="498"/>
      <c r="AC35" s="148"/>
      <c r="AD35" s="148"/>
      <c r="AE35" s="148"/>
      <c r="AF35" s="148"/>
      <c r="AG35" s="499">
        <f>IF(I19="","",I19)</f>
        <v>2000</v>
      </c>
      <c r="AH35" s="500"/>
      <c r="AI35" s="148"/>
      <c r="AJ35" s="501" t="s">
        <v>13</v>
      </c>
      <c r="AK35" s="501"/>
      <c r="AL35" s="501"/>
      <c r="AM35" s="501"/>
      <c r="AN35" s="501"/>
      <c r="AO35" s="148"/>
      <c r="AP35" s="148"/>
      <c r="AQ35" s="148"/>
      <c r="AR35" s="148"/>
      <c r="AS35" s="151"/>
      <c r="AT35" s="151"/>
      <c r="AU35" s="498" t="s">
        <v>27</v>
      </c>
      <c r="AV35" s="498"/>
      <c r="AW35" s="498"/>
      <c r="AX35" s="148"/>
      <c r="AY35" s="148"/>
      <c r="AZ35" s="148"/>
      <c r="BA35" s="148"/>
      <c r="BB35" s="499">
        <f>IF(M19="","",M19)</f>
        <v>3000</v>
      </c>
      <c r="BC35" s="500"/>
      <c r="BD35" s="148"/>
      <c r="BE35" s="501" t="s">
        <v>13</v>
      </c>
      <c r="BF35" s="501"/>
      <c r="BG35" s="501"/>
      <c r="BH35" s="501"/>
      <c r="BI35" s="501"/>
      <c r="BJ35" s="148"/>
      <c r="BK35" s="148"/>
      <c r="BL35" s="148"/>
      <c r="BM35" s="148"/>
      <c r="BN35" s="298"/>
      <c r="BP35" s="498" t="s">
        <v>27</v>
      </c>
      <c r="BQ35" s="498"/>
      <c r="BR35" s="498"/>
      <c r="BS35" s="148"/>
      <c r="BT35" s="148"/>
      <c r="BU35" s="148"/>
      <c r="BV35" s="148"/>
      <c r="BW35" s="499" t="str">
        <f>IF(G29="","",G29)</f>
        <v/>
      </c>
      <c r="BX35" s="500"/>
      <c r="BY35" s="148"/>
      <c r="BZ35" s="501" t="s">
        <v>13</v>
      </c>
      <c r="CA35" s="501"/>
      <c r="CB35" s="501"/>
      <c r="CC35" s="501"/>
      <c r="CD35" s="501"/>
      <c r="CE35" s="501"/>
      <c r="CF35" s="148"/>
      <c r="CG35" s="148"/>
      <c r="CH35" s="148"/>
      <c r="CI35" s="148"/>
      <c r="CL35" s="498" t="s">
        <v>27</v>
      </c>
      <c r="CM35" s="498"/>
      <c r="CN35" s="498"/>
      <c r="CO35" s="148"/>
      <c r="CP35" s="148"/>
      <c r="CQ35" s="148"/>
      <c r="CR35" s="148"/>
      <c r="CS35" s="499" t="str">
        <f>IF(I29="","",I29)</f>
        <v/>
      </c>
      <c r="CT35" s="500"/>
      <c r="CU35" s="148"/>
      <c r="CV35" s="501" t="s">
        <v>13</v>
      </c>
      <c r="CW35" s="501"/>
      <c r="CX35" s="501"/>
      <c r="CY35" s="501"/>
      <c r="CZ35" s="501"/>
      <c r="DA35" s="501"/>
      <c r="DB35" s="148"/>
      <c r="DC35" s="148"/>
      <c r="DD35" s="148"/>
      <c r="DE35" s="148"/>
      <c r="DH35" s="498" t="s">
        <v>27</v>
      </c>
      <c r="DI35" s="498"/>
      <c r="DJ35" s="498"/>
      <c r="DK35" s="148"/>
      <c r="DL35" s="148"/>
      <c r="DM35" s="148"/>
      <c r="DN35" s="148"/>
      <c r="DO35" s="499" t="str">
        <f>IF(M29="","",M29)</f>
        <v/>
      </c>
      <c r="DP35" s="500"/>
      <c r="DQ35" s="148"/>
      <c r="DR35" s="501" t="s">
        <v>13</v>
      </c>
      <c r="DS35" s="501"/>
      <c r="DT35" s="501"/>
      <c r="DU35" s="501"/>
      <c r="DV35" s="501"/>
      <c r="DW35" s="501"/>
      <c r="DX35" s="148"/>
      <c r="DY35" s="148"/>
      <c r="DZ35" s="148"/>
      <c r="EA35" s="148"/>
    </row>
    <row r="36" spans="1:131" ht="20.25" customHeight="1" x14ac:dyDescent="0.25">
      <c r="A36" s="159"/>
      <c r="B36" s="502" t="s">
        <v>31</v>
      </c>
      <c r="C36" s="502"/>
      <c r="D36" s="296"/>
      <c r="E36" s="296"/>
      <c r="F36" s="296"/>
      <c r="G36" s="296"/>
      <c r="H36" s="296"/>
      <c r="I36" s="296"/>
      <c r="J36" s="148"/>
      <c r="K36" s="160"/>
      <c r="L36" s="503" t="s">
        <v>14</v>
      </c>
      <c r="M36" s="503"/>
      <c r="N36" s="297"/>
      <c r="O36" s="161">
        <v>1</v>
      </c>
      <c r="P36" s="162">
        <f>IF(O36="","",IF(($H$35/($H$12)/2500)&lt;=0.5,0.25,IF(($H$35/($H$12)/2500)&gt;0.25,($H$35/($H$12)/2500))))</f>
        <v>0.25</v>
      </c>
      <c r="Q36" s="159"/>
      <c r="R36" s="504">
        <f>IF(P36="","",(P36*17))</f>
        <v>4.25</v>
      </c>
      <c r="S36" s="504"/>
      <c r="T36" s="159"/>
      <c r="U36" s="148"/>
      <c r="V36" s="151"/>
      <c r="W36" s="151"/>
      <c r="X36" s="148"/>
      <c r="Y36" s="148"/>
      <c r="Z36" s="159"/>
      <c r="AA36" s="502" t="s">
        <v>31</v>
      </c>
      <c r="AB36" s="502"/>
      <c r="AC36" s="296"/>
      <c r="AD36" s="296"/>
      <c r="AE36" s="296"/>
      <c r="AF36" s="296"/>
      <c r="AG36" s="296"/>
      <c r="AH36" s="296"/>
      <c r="AI36" s="148"/>
      <c r="AJ36" s="160"/>
      <c r="AK36" s="503" t="s">
        <v>14</v>
      </c>
      <c r="AL36" s="503"/>
      <c r="AM36" s="191">
        <f>IF($O$36="","",$O$36)</f>
        <v>1</v>
      </c>
      <c r="AN36" s="162">
        <f>IF(AM36="","",IF(($AG$35/($H$12)/2500)&lt;=0.5,0.5,IF(($AG$35/($H$12)/2500)&gt;0.25,($AG$35/($H$12)/2500))))</f>
        <v>0.5</v>
      </c>
      <c r="AO36" s="159"/>
      <c r="AP36" s="504">
        <f>IF(AN36="","",(AN36*17))</f>
        <v>8.5</v>
      </c>
      <c r="AQ36" s="504"/>
      <c r="AR36" s="159"/>
      <c r="AS36" s="151"/>
      <c r="AT36" s="151"/>
      <c r="AU36" s="159"/>
      <c r="AV36" s="502" t="s">
        <v>31</v>
      </c>
      <c r="AW36" s="502"/>
      <c r="AX36" s="296"/>
      <c r="AY36" s="296"/>
      <c r="AZ36" s="296"/>
      <c r="BA36" s="296"/>
      <c r="BB36" s="296"/>
      <c r="BC36" s="296"/>
      <c r="BD36" s="148"/>
      <c r="BE36" s="160"/>
      <c r="BF36" s="503" t="s">
        <v>14</v>
      </c>
      <c r="BG36" s="503"/>
      <c r="BH36" s="191">
        <f>IF($O$36="","",$O$36)</f>
        <v>1</v>
      </c>
      <c r="BI36" s="162" t="b">
        <f>IF(BH36="","",IF(($BB$35/($H$12)/2500)&lt;=0.25,0.5,IF(($BB$35/($H$12)/2500)&gt;0.5,($BB$35/($H$12)/2500))))</f>
        <v>0</v>
      </c>
      <c r="BJ36" s="159"/>
      <c r="BK36" s="504">
        <f>IF(BI36="","",(BI36*17))</f>
        <v>0</v>
      </c>
      <c r="BL36" s="504"/>
      <c r="BM36" s="159"/>
      <c r="BN36" s="298"/>
      <c r="BP36" s="159"/>
      <c r="BQ36" s="502" t="s">
        <v>31</v>
      </c>
      <c r="BR36" s="502"/>
      <c r="BS36" s="296"/>
      <c r="BT36" s="296"/>
      <c r="BU36" s="296"/>
      <c r="BV36" s="296"/>
      <c r="BW36" s="296"/>
      <c r="BX36" s="296"/>
      <c r="BY36" s="148"/>
      <c r="BZ36" s="160"/>
      <c r="CA36" s="503" t="s">
        <v>14</v>
      </c>
      <c r="CB36" s="503"/>
      <c r="CC36" s="297"/>
      <c r="CD36" s="191">
        <f>BH36</f>
        <v>1</v>
      </c>
      <c r="CE36" s="162" t="e">
        <f>IF(CD36="","",IF(($BW$35/($H$12)/2500)&lt;=0.5,0.5,IF(($BW$35/($H$12)/2500)&gt;0.25,($BW$35/($H$12)/2500))))</f>
        <v>#VALUE!</v>
      </c>
      <c r="CF36" s="159"/>
      <c r="CG36" s="504" t="e">
        <f>IF(CE36="","",(CE36*17))</f>
        <v>#VALUE!</v>
      </c>
      <c r="CH36" s="504"/>
      <c r="CI36" s="159"/>
      <c r="CL36" s="159"/>
      <c r="CM36" s="502" t="s">
        <v>31</v>
      </c>
      <c r="CN36" s="502"/>
      <c r="CO36" s="296"/>
      <c r="CP36" s="296"/>
      <c r="CQ36" s="296"/>
      <c r="CR36" s="296"/>
      <c r="CS36" s="296"/>
      <c r="CT36" s="296"/>
      <c r="CU36" s="148"/>
      <c r="CV36" s="160"/>
      <c r="CW36" s="503" t="s">
        <v>14</v>
      </c>
      <c r="CX36" s="503"/>
      <c r="CY36" s="297"/>
      <c r="CZ36" s="191">
        <f>CD36</f>
        <v>1</v>
      </c>
      <c r="DA36" s="162" t="e">
        <f>IF(CZ36="","",IF(($CS$35/($H$12)/2500)&lt;=0.5,0.5,IF(($CS$35/($H$12)/2500)&gt;0.25,($CS$35/($H$12)/2500))))</f>
        <v>#VALUE!</v>
      </c>
      <c r="DB36" s="159"/>
      <c r="DC36" s="504" t="e">
        <f>IF(DA36="","",(DA36*17))</f>
        <v>#VALUE!</v>
      </c>
      <c r="DD36" s="504"/>
      <c r="DE36" s="159"/>
      <c r="DH36" s="159"/>
      <c r="DI36" s="502" t="s">
        <v>31</v>
      </c>
      <c r="DJ36" s="502"/>
      <c r="DK36" s="296"/>
      <c r="DL36" s="296"/>
      <c r="DM36" s="296"/>
      <c r="DN36" s="296"/>
      <c r="DO36" s="296"/>
      <c r="DP36" s="296"/>
      <c r="DQ36" s="148"/>
      <c r="DR36" s="160"/>
      <c r="DS36" s="503" t="s">
        <v>14</v>
      </c>
      <c r="DT36" s="503"/>
      <c r="DU36" s="297"/>
      <c r="DV36" s="191">
        <f>CZ36</f>
        <v>1</v>
      </c>
      <c r="DW36" s="162" t="e">
        <f>IF(DV36="","",IF(($DO$35/($H$12)/2500)&lt;=0.5,0.5,IF(($DO$35/($H$12)/2500)&gt;0.25,($DO$35/($H$12)/2500))))</f>
        <v>#VALUE!</v>
      </c>
      <c r="DX36" s="159"/>
      <c r="DY36" s="504" t="e">
        <f>IF(DW36="","",(DW36*17))</f>
        <v>#VALUE!</v>
      </c>
      <c r="DZ36" s="504"/>
      <c r="EA36" s="159"/>
    </row>
    <row r="37" spans="1:131" ht="23.25" customHeight="1" x14ac:dyDescent="0.25">
      <c r="A37" s="159"/>
      <c r="B37" s="505"/>
      <c r="C37" s="506"/>
      <c r="D37" s="506"/>
      <c r="E37" s="506"/>
      <c r="F37" s="507"/>
      <c r="G37" s="164">
        <v>0.1027</v>
      </c>
      <c r="H37" s="504">
        <f>IF(G37="","",IF($G$37&gt;0,(($G$14+50)/($H$12/$U$12)*$G$37))*1.03)</f>
        <v>29.089774999999999</v>
      </c>
      <c r="I37" s="504"/>
      <c r="J37" s="163"/>
      <c r="K37" s="160"/>
      <c r="L37" s="503" t="s">
        <v>15</v>
      </c>
      <c r="M37" s="503"/>
      <c r="N37" s="297"/>
      <c r="O37" s="161"/>
      <c r="P37" s="162" t="str">
        <f>IF(O37="","",IF(($H$35/($H$12)/2500)&lt;=0.25,0.5,IF(($H$35/($H$12)/2500)&gt;0.25,($H$35/($H$12)/2500))))</f>
        <v/>
      </c>
      <c r="Q37" s="159"/>
      <c r="R37" s="508" t="str">
        <f>IF(P37="","",(P37*17))</f>
        <v/>
      </c>
      <c r="S37" s="508"/>
      <c r="T37" s="159"/>
      <c r="U37" s="148"/>
      <c r="V37" s="151"/>
      <c r="W37" s="151"/>
      <c r="X37" s="148"/>
      <c r="Y37" s="148"/>
      <c r="Z37" s="159"/>
      <c r="AA37" s="509" t="str">
        <f>IF(B37="","",B37)</f>
        <v/>
      </c>
      <c r="AB37" s="510"/>
      <c r="AC37" s="510"/>
      <c r="AD37" s="510"/>
      <c r="AE37" s="511"/>
      <c r="AF37" s="192">
        <f>IF(G37="","",G37)</f>
        <v>0.1027</v>
      </c>
      <c r="AG37" s="504">
        <f>IF(AF37="","",IF($G$37&gt;0,(($J$14+50)/($H$12/$U$12)*$G$37))*1.03)</f>
        <v>55.535024999999997</v>
      </c>
      <c r="AH37" s="504"/>
      <c r="AI37" s="163"/>
      <c r="AJ37" s="160"/>
      <c r="AK37" s="503" t="s">
        <v>15</v>
      </c>
      <c r="AL37" s="503"/>
      <c r="AM37" s="191" t="str">
        <f>IF($O$37="","",$O$37)</f>
        <v/>
      </c>
      <c r="AN37" s="162" t="str">
        <f>IF(AM37="","",IF(($AG$35/($H$12)/2500)&lt;=0.5,0.5,IF(($AG$35/($H$12)/2500)&gt;0.25,($AG$35/($H$12)/2500))))</f>
        <v/>
      </c>
      <c r="AO37" s="159"/>
      <c r="AP37" s="508" t="str">
        <f>IF(AN37="","",(AN37*17))</f>
        <v/>
      </c>
      <c r="AQ37" s="508"/>
      <c r="AR37" s="159"/>
      <c r="AS37" s="151"/>
      <c r="AT37" s="151"/>
      <c r="AU37" s="159"/>
      <c r="AV37" s="509" t="str">
        <f>IF(B37="","",B37)</f>
        <v/>
      </c>
      <c r="AW37" s="510"/>
      <c r="AX37" s="510"/>
      <c r="AY37" s="510"/>
      <c r="AZ37" s="511"/>
      <c r="BA37" s="192">
        <f>IF(G37="","",G37)</f>
        <v>0.1027</v>
      </c>
      <c r="BB37" s="504">
        <f>IF(BA37="","",IF($G$37&gt;0,(($M$14+50)/($H$12/$U$12)*$G$37))*1.03)</f>
        <v>81.980275000000006</v>
      </c>
      <c r="BC37" s="504"/>
      <c r="BD37" s="163"/>
      <c r="BE37" s="160"/>
      <c r="BF37" s="503" t="s">
        <v>15</v>
      </c>
      <c r="BG37" s="503"/>
      <c r="BH37" s="191" t="str">
        <f>IF($O$37="","",$O$37)</f>
        <v/>
      </c>
      <c r="BI37" s="162" t="str">
        <f>IF(BH37="","",IF(($BB$35/($H$12)/2500)&lt;=0.5,0.5,IF(($BB$35/($H$12)/2500)&gt;0.25,($BB$35/($H$12)/2500))))</f>
        <v/>
      </c>
      <c r="BJ37" s="159"/>
      <c r="BK37" s="508" t="str">
        <f>IF(BI37="","",(BI37*17))</f>
        <v/>
      </c>
      <c r="BL37" s="508"/>
      <c r="BM37" s="159"/>
      <c r="BN37" s="298"/>
      <c r="BP37" s="159"/>
      <c r="BQ37" s="509" t="str">
        <f>AV37</f>
        <v/>
      </c>
      <c r="BR37" s="510"/>
      <c r="BS37" s="510"/>
      <c r="BT37" s="510"/>
      <c r="BU37" s="511"/>
      <c r="BV37" s="192">
        <f>BA37</f>
        <v>0.1027</v>
      </c>
      <c r="BW37" s="504">
        <f>IF(BV37="","",IF($G$37&gt;0,(($G$24+50)/($H$12/$U$12)*$G$37))*1.03)</f>
        <v>2.6445249999999998</v>
      </c>
      <c r="BX37" s="504"/>
      <c r="BY37" s="163"/>
      <c r="BZ37" s="160"/>
      <c r="CA37" s="503" t="s">
        <v>15</v>
      </c>
      <c r="CB37" s="503"/>
      <c r="CC37" s="297"/>
      <c r="CD37" s="191" t="str">
        <f>BH37</f>
        <v/>
      </c>
      <c r="CE37" s="162" t="str">
        <f>IF(CD37="","",IF(($BW$35/($H$12)/2500)&lt;=0.5,0.5,IF(($BW$35/($H$12)/2500)&gt;0.25,($BW$35/($H$12)/2500))))</f>
        <v/>
      </c>
      <c r="CF37" s="159"/>
      <c r="CG37" s="508" t="str">
        <f>IF(CE37="","",(CE37*17))</f>
        <v/>
      </c>
      <c r="CH37" s="508"/>
      <c r="CI37" s="159"/>
      <c r="CL37" s="159"/>
      <c r="CM37" s="509" t="str">
        <f>BQ37</f>
        <v/>
      </c>
      <c r="CN37" s="510"/>
      <c r="CO37" s="510"/>
      <c r="CP37" s="510"/>
      <c r="CQ37" s="511"/>
      <c r="CR37" s="192">
        <f>BV37</f>
        <v>0.1027</v>
      </c>
      <c r="CS37" s="504">
        <f>IF(CR37="","",IF($G$37&gt;0,(($J$24+50)/($H$12/$U$12)*$G$37))*1.03)</f>
        <v>2.6445249999999998</v>
      </c>
      <c r="CT37" s="504"/>
      <c r="CU37" s="163"/>
      <c r="CV37" s="160"/>
      <c r="CW37" s="503" t="s">
        <v>15</v>
      </c>
      <c r="CX37" s="503"/>
      <c r="CY37" s="297"/>
      <c r="CZ37" s="191" t="str">
        <f>CD37</f>
        <v/>
      </c>
      <c r="DA37" s="162" t="str">
        <f>IF(CZ37="","",IF(($CS$35/($H$12)/2500)&lt;=0.5,0.5,IF(($CS$35/($H$12)/2500)&gt;0.25,($CS$35/($H$12)/2500))))</f>
        <v/>
      </c>
      <c r="DB37" s="159"/>
      <c r="DC37" s="508" t="str">
        <f>IF(DA37="","",(DA37*17))</f>
        <v/>
      </c>
      <c r="DD37" s="508"/>
      <c r="DE37" s="159"/>
      <c r="DH37" s="159"/>
      <c r="DI37" s="509" t="str">
        <f>CM37</f>
        <v/>
      </c>
      <c r="DJ37" s="510"/>
      <c r="DK37" s="510"/>
      <c r="DL37" s="510"/>
      <c r="DM37" s="511"/>
      <c r="DN37" s="192">
        <f>CR37</f>
        <v>0.1027</v>
      </c>
      <c r="DO37" s="504">
        <f>IF(DN37="","",IF($G$37&gt;0,(($M$24+50)/($H$12/$U$12)*$G$37))*1.03)</f>
        <v>2.6445249999999998</v>
      </c>
      <c r="DP37" s="504"/>
      <c r="DQ37" s="163"/>
      <c r="DR37" s="160"/>
      <c r="DS37" s="503" t="s">
        <v>15</v>
      </c>
      <c r="DT37" s="503"/>
      <c r="DU37" s="297"/>
      <c r="DV37" s="191" t="str">
        <f>CZ37</f>
        <v/>
      </c>
      <c r="DW37" s="162" t="str">
        <f>IF(DV37="","",IF(($DO$35/($H$12)/2500)&lt;=0.5,0.5,IF(($DO$35/($H$12)/2500)&gt;0.25,($DO$35/($H$12)/2500))))</f>
        <v/>
      </c>
      <c r="DX37" s="159"/>
      <c r="DY37" s="508" t="str">
        <f>IF(DW37="","",(DW37*17))</f>
        <v/>
      </c>
      <c r="DZ37" s="508"/>
      <c r="EA37" s="159"/>
    </row>
    <row r="38" spans="1:131" ht="22.5" customHeight="1" x14ac:dyDescent="0.25">
      <c r="A38" s="159"/>
      <c r="B38" s="159"/>
      <c r="C38" s="159"/>
      <c r="D38" s="159"/>
      <c r="E38" s="159"/>
      <c r="F38" s="159"/>
      <c r="G38" s="159"/>
      <c r="H38" s="159"/>
      <c r="I38" s="159"/>
      <c r="J38" s="163"/>
      <c r="K38" s="160"/>
      <c r="L38" s="503" t="s">
        <v>16</v>
      </c>
      <c r="M38" s="503"/>
      <c r="N38" s="297"/>
      <c r="O38" s="161"/>
      <c r="P38" s="162" t="str">
        <f>IF(O38="","",IF(($H$35/($H$12)/2000)&lt;=0.5,0.5,IF(($H$35/($H$12)/2000)&gt;0.25,($H$35/($H$12)/2000))))</f>
        <v/>
      </c>
      <c r="Q38" s="159"/>
      <c r="R38" s="508" t="str">
        <f>IF(P38="","",(P38*17))</f>
        <v/>
      </c>
      <c r="S38" s="508"/>
      <c r="T38" s="159"/>
      <c r="U38" s="148"/>
      <c r="V38" s="151"/>
      <c r="W38" s="148"/>
      <c r="X38" s="148"/>
      <c r="Y38" s="148"/>
      <c r="Z38" s="159"/>
      <c r="AA38" s="159"/>
      <c r="AB38" s="159"/>
      <c r="AC38" s="159"/>
      <c r="AD38" s="159"/>
      <c r="AE38" s="159"/>
      <c r="AF38" s="159"/>
      <c r="AG38" s="159"/>
      <c r="AH38" s="159"/>
      <c r="AI38" s="163"/>
      <c r="AJ38" s="160"/>
      <c r="AK38" s="503" t="s">
        <v>16</v>
      </c>
      <c r="AL38" s="503"/>
      <c r="AM38" s="191" t="str">
        <f>IF($O$38="","",$O$38)</f>
        <v/>
      </c>
      <c r="AN38" s="162" t="str">
        <f>IF(AM38="","",IF(($AG$35/($H$12)/2000)&lt;=0.25,0.5,IF(($AG$35/($H$12)/2000)&gt;0.25,($AG$35/($H$12)/2000))))</f>
        <v/>
      </c>
      <c r="AO38" s="159"/>
      <c r="AP38" s="508" t="str">
        <f>IF(AN38="","",(AN38*17))</f>
        <v/>
      </c>
      <c r="AQ38" s="508"/>
      <c r="AR38" s="159"/>
      <c r="AS38" s="151"/>
      <c r="AT38" s="151"/>
      <c r="AU38" s="159"/>
      <c r="AV38" s="159"/>
      <c r="AW38" s="159"/>
      <c r="AX38" s="159"/>
      <c r="AY38" s="159"/>
      <c r="AZ38" s="159"/>
      <c r="BA38" s="159"/>
      <c r="BB38" s="159"/>
      <c r="BC38" s="159"/>
      <c r="BD38" s="163"/>
      <c r="BE38" s="160"/>
      <c r="BF38" s="503" t="s">
        <v>16</v>
      </c>
      <c r="BG38" s="503"/>
      <c r="BH38" s="191" t="str">
        <f>IF($O$38="","",$O$38)</f>
        <v/>
      </c>
      <c r="BI38" s="162" t="str">
        <f>IF(BH38="","",IF(($BB$35/($H$12)/2000)&lt;=0.5,0.5,IF(($BB$35/($H$12)/2000)&gt;0.25,($BB$35/($H$12)/2000))))</f>
        <v/>
      </c>
      <c r="BJ38" s="159"/>
      <c r="BK38" s="508" t="str">
        <f>IF(BI38="","",(BI38*17))</f>
        <v/>
      </c>
      <c r="BL38" s="508"/>
      <c r="BM38" s="159"/>
      <c r="BN38" s="298"/>
      <c r="BP38" s="159"/>
      <c r="BQ38" s="159"/>
      <c r="BR38" s="159"/>
      <c r="BS38" s="159"/>
      <c r="BT38" s="159"/>
      <c r="BU38" s="159"/>
      <c r="BV38" s="159"/>
      <c r="BW38" s="159"/>
      <c r="BX38" s="159"/>
      <c r="BY38" s="163"/>
      <c r="BZ38" s="160"/>
      <c r="CA38" s="503" t="s">
        <v>16</v>
      </c>
      <c r="CB38" s="503"/>
      <c r="CC38" s="297"/>
      <c r="CD38" s="191" t="str">
        <f>BH38</f>
        <v/>
      </c>
      <c r="CE38" s="162" t="str">
        <f>IF(CD38="","",IF(($BW$35/($H$12)/2000)&lt;=0.5,0.5,IF(($BW$35/($H$12)/2000)&gt;0.25,($BW$35/($H$12)/2000))))</f>
        <v/>
      </c>
      <c r="CF38" s="159"/>
      <c r="CG38" s="508" t="str">
        <f>IF(CE38="","",(CE38*17))</f>
        <v/>
      </c>
      <c r="CH38" s="508"/>
      <c r="CI38" s="159"/>
      <c r="CL38" s="159"/>
      <c r="CM38" s="159"/>
      <c r="CN38" s="159"/>
      <c r="CO38" s="159"/>
      <c r="CP38" s="159"/>
      <c r="CQ38" s="159"/>
      <c r="CR38" s="159"/>
      <c r="CS38" s="159"/>
      <c r="CT38" s="159"/>
      <c r="CU38" s="163"/>
      <c r="CV38" s="160"/>
      <c r="CW38" s="503" t="s">
        <v>16</v>
      </c>
      <c r="CX38" s="503"/>
      <c r="CY38" s="297"/>
      <c r="CZ38" s="191" t="str">
        <f>CD38</f>
        <v/>
      </c>
      <c r="DA38" s="162" t="str">
        <f>IF(CZ38="","",IF(($CS$35/($H$12)/2000)&lt;=0.5,0.5,IF(($CS$35/($H$12)/2000)&gt;0.25,($CS35/($H$12)/2000))))</f>
        <v/>
      </c>
      <c r="DB38" s="159"/>
      <c r="DC38" s="508" t="str">
        <f>IF(DA38="","",(DA38*17))</f>
        <v/>
      </c>
      <c r="DD38" s="508"/>
      <c r="DE38" s="159"/>
      <c r="DH38" s="159"/>
      <c r="DI38" s="159"/>
      <c r="DJ38" s="159"/>
      <c r="DK38" s="159"/>
      <c r="DL38" s="159"/>
      <c r="DM38" s="159"/>
      <c r="DN38" s="159"/>
      <c r="DO38" s="159"/>
      <c r="DP38" s="159"/>
      <c r="DQ38" s="163"/>
      <c r="DR38" s="160"/>
      <c r="DS38" s="503" t="s">
        <v>16</v>
      </c>
      <c r="DT38" s="503"/>
      <c r="DU38" s="297"/>
      <c r="DV38" s="191" t="str">
        <f>CZ38</f>
        <v/>
      </c>
      <c r="DW38" s="162" t="str">
        <f>IF(DV38="","",IF(($DO$35/($H$12)/2000)&lt;=0.5,0.5,IF(($DO$35/($H$12)/2000)&gt;0.25,($DO$35/($H$12)/2000))))</f>
        <v/>
      </c>
      <c r="DX38" s="159"/>
      <c r="DY38" s="508" t="str">
        <f>IF(DW38="","",(DW38*17))</f>
        <v/>
      </c>
      <c r="DZ38" s="508"/>
      <c r="EA38" s="159"/>
    </row>
    <row r="39" spans="1:131" ht="15.75" customHeight="1" x14ac:dyDescent="0.25">
      <c r="A39" s="159"/>
      <c r="B39" s="502" t="s">
        <v>32</v>
      </c>
      <c r="C39" s="502"/>
      <c r="D39" s="159"/>
      <c r="E39" s="159"/>
      <c r="F39" s="159"/>
      <c r="G39" s="159"/>
      <c r="H39" s="159"/>
      <c r="I39" s="159"/>
      <c r="J39" s="163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48"/>
      <c r="V39" s="151"/>
      <c r="W39" s="151"/>
      <c r="X39" s="148"/>
      <c r="Y39" s="148"/>
      <c r="Z39" s="159"/>
      <c r="AA39" s="502" t="s">
        <v>32</v>
      </c>
      <c r="AB39" s="502"/>
      <c r="AC39" s="159"/>
      <c r="AD39" s="159"/>
      <c r="AE39" s="159"/>
      <c r="AF39" s="159"/>
      <c r="AG39" s="159"/>
      <c r="AH39" s="159"/>
      <c r="AI39" s="163"/>
      <c r="AJ39" s="159"/>
      <c r="AK39" s="159"/>
      <c r="AL39" s="159"/>
      <c r="AM39" s="159"/>
      <c r="AN39" s="159"/>
      <c r="AO39" s="159"/>
      <c r="AP39" s="159"/>
      <c r="AQ39" s="159"/>
      <c r="AR39" s="159"/>
      <c r="AS39" s="151"/>
      <c r="AT39" s="151"/>
      <c r="AU39" s="159"/>
      <c r="AV39" s="502" t="s">
        <v>32</v>
      </c>
      <c r="AW39" s="502"/>
      <c r="AX39" s="159"/>
      <c r="AY39" s="159"/>
      <c r="AZ39" s="159"/>
      <c r="BA39" s="159"/>
      <c r="BB39" s="159"/>
      <c r="BC39" s="159"/>
      <c r="BD39" s="163"/>
      <c r="BE39" s="159"/>
      <c r="BF39" s="159"/>
      <c r="BG39" s="159"/>
      <c r="BH39" s="159"/>
      <c r="BI39" s="159"/>
      <c r="BJ39" s="159"/>
      <c r="BK39" s="159"/>
      <c r="BL39" s="159"/>
      <c r="BM39" s="159"/>
      <c r="BN39" s="298"/>
      <c r="BP39" s="159"/>
      <c r="BQ39" s="502" t="s">
        <v>32</v>
      </c>
      <c r="BR39" s="502"/>
      <c r="BS39" s="159"/>
      <c r="BT39" s="159"/>
      <c r="BU39" s="159"/>
      <c r="BV39" s="159"/>
      <c r="BW39" s="159"/>
      <c r="BX39" s="159"/>
      <c r="BY39" s="163"/>
      <c r="BZ39" s="159"/>
      <c r="CA39" s="159"/>
      <c r="CB39" s="159"/>
      <c r="CC39" s="159"/>
      <c r="CD39" s="159"/>
      <c r="CE39" s="159"/>
      <c r="CF39" s="159"/>
      <c r="CG39" s="159"/>
      <c r="CH39" s="159"/>
      <c r="CI39" s="159"/>
      <c r="CL39" s="159"/>
      <c r="CM39" s="502" t="s">
        <v>32</v>
      </c>
      <c r="CN39" s="502"/>
      <c r="CO39" s="159"/>
      <c r="CP39" s="159"/>
      <c r="CQ39" s="159"/>
      <c r="CR39" s="159"/>
      <c r="CS39" s="159"/>
      <c r="CT39" s="159"/>
      <c r="CU39" s="163"/>
      <c r="CV39" s="159"/>
      <c r="CW39" s="159"/>
      <c r="CX39" s="159"/>
      <c r="CY39" s="159"/>
      <c r="CZ39" s="159"/>
      <c r="DA39" s="159"/>
      <c r="DB39" s="159"/>
      <c r="DC39" s="159"/>
      <c r="DD39" s="159"/>
      <c r="DE39" s="159"/>
      <c r="DH39" s="159"/>
      <c r="DI39" s="502" t="s">
        <v>32</v>
      </c>
      <c r="DJ39" s="502"/>
      <c r="DK39" s="159"/>
      <c r="DL39" s="159"/>
      <c r="DM39" s="159"/>
      <c r="DN39" s="159"/>
      <c r="DO39" s="159"/>
      <c r="DP39" s="159"/>
      <c r="DQ39" s="163"/>
      <c r="DR39" s="159"/>
      <c r="DS39" s="159"/>
      <c r="DT39" s="159"/>
      <c r="DU39" s="159"/>
      <c r="DV39" s="159"/>
      <c r="DW39" s="159"/>
      <c r="DX39" s="159"/>
      <c r="DY39" s="159"/>
      <c r="DZ39" s="159"/>
      <c r="EA39" s="159"/>
    </row>
    <row r="40" spans="1:131" ht="24.75" customHeight="1" thickBot="1" x14ac:dyDescent="0.35">
      <c r="A40" s="159"/>
      <c r="B40" s="514"/>
      <c r="C40" s="515"/>
      <c r="D40" s="515"/>
      <c r="E40" s="515"/>
      <c r="F40" s="516"/>
      <c r="G40" s="164"/>
      <c r="H40" s="504" t="str">
        <f>IF(G40="","",IF($G$40&gt;0,(($G$14+50)/($H$12/$U$12)*$G$40))*1.03)</f>
        <v/>
      </c>
      <c r="I40" s="504"/>
      <c r="J40" s="163"/>
      <c r="K40" s="165"/>
      <c r="L40" s="512" t="s">
        <v>8</v>
      </c>
      <c r="M40" s="512"/>
      <c r="N40" s="512"/>
      <c r="O40" s="512"/>
      <c r="P40" s="165"/>
      <c r="Q40" s="165"/>
      <c r="R40" s="165"/>
      <c r="S40" s="513">
        <f>SUM(R38,R37,R36)</f>
        <v>4.25</v>
      </c>
      <c r="T40" s="513"/>
      <c r="U40" s="148"/>
      <c r="V40" s="151"/>
      <c r="W40" s="151"/>
      <c r="X40" s="148"/>
      <c r="Y40" s="148"/>
      <c r="Z40" s="159"/>
      <c r="AA40" s="517" t="str">
        <f>IF(B40="","",B40)</f>
        <v/>
      </c>
      <c r="AB40" s="518"/>
      <c r="AC40" s="518"/>
      <c r="AD40" s="518"/>
      <c r="AE40" s="519"/>
      <c r="AF40" s="192" t="str">
        <f>IF(G40="","",G40)</f>
        <v/>
      </c>
      <c r="AG40" s="504" t="str">
        <f>IF(AF40="","",IF($G$40&gt;0,(($J$14+50)/($H$12/$U$12)*$G$40))*1.03)</f>
        <v/>
      </c>
      <c r="AH40" s="504"/>
      <c r="AI40" s="163"/>
      <c r="AJ40" s="165"/>
      <c r="AK40" s="512" t="s">
        <v>8</v>
      </c>
      <c r="AL40" s="512"/>
      <c r="AM40" s="512"/>
      <c r="AN40" s="165"/>
      <c r="AO40" s="165"/>
      <c r="AP40" s="165"/>
      <c r="AQ40" s="513">
        <f>SUM(AP38,AP37,AP36)</f>
        <v>8.5</v>
      </c>
      <c r="AR40" s="513"/>
      <c r="AS40" s="166"/>
      <c r="AT40" s="151"/>
      <c r="AU40" s="159"/>
      <c r="AV40" s="517" t="str">
        <f>IF(B40="","",B40)</f>
        <v/>
      </c>
      <c r="AW40" s="518"/>
      <c r="AX40" s="518"/>
      <c r="AY40" s="518"/>
      <c r="AZ40" s="519"/>
      <c r="BA40" s="192" t="str">
        <f>IF($G$40="","",$G$40)</f>
        <v/>
      </c>
      <c r="BB40" s="504" t="str">
        <f>IF(BA40="","",IF($G$40&gt;0,(($M$14+50)/($H$12/$U$12)*$G$40))*1.03)</f>
        <v/>
      </c>
      <c r="BC40" s="504"/>
      <c r="BD40" s="163"/>
      <c r="BE40" s="165"/>
      <c r="BF40" s="512" t="s">
        <v>8</v>
      </c>
      <c r="BG40" s="512"/>
      <c r="BH40" s="512"/>
      <c r="BI40" s="165"/>
      <c r="BJ40" s="165"/>
      <c r="BK40" s="165"/>
      <c r="BL40" s="513">
        <f>SUM(BK38,BK37,BK36)</f>
        <v>0</v>
      </c>
      <c r="BM40" s="513"/>
      <c r="BN40" s="298"/>
      <c r="BP40" s="159"/>
      <c r="BQ40" s="517" t="str">
        <f>AV40</f>
        <v/>
      </c>
      <c r="BR40" s="518"/>
      <c r="BS40" s="518"/>
      <c r="BT40" s="518"/>
      <c r="BU40" s="519"/>
      <c r="BV40" s="192" t="str">
        <f>IF($G$40="","",$G$40)</f>
        <v/>
      </c>
      <c r="BW40" s="504" t="str">
        <f>IF(BV40="","",IF($G$40&gt;0,(($G$24+50)/($H$12/$U$12)*$G$40))*1.03)</f>
        <v/>
      </c>
      <c r="BX40" s="504"/>
      <c r="BY40" s="163"/>
      <c r="BZ40" s="165"/>
      <c r="CA40" s="512" t="s">
        <v>8</v>
      </c>
      <c r="CB40" s="512"/>
      <c r="CC40" s="512"/>
      <c r="CD40" s="512"/>
      <c r="CE40" s="165"/>
      <c r="CF40" s="165"/>
      <c r="CG40" s="165"/>
      <c r="CH40" s="513" t="e">
        <f>SUM(CG38,CG37,CG36)</f>
        <v>#VALUE!</v>
      </c>
      <c r="CI40" s="513"/>
      <c r="CL40" s="159"/>
      <c r="CM40" s="517" t="str">
        <f>BQ40</f>
        <v/>
      </c>
      <c r="CN40" s="518"/>
      <c r="CO40" s="518"/>
      <c r="CP40" s="518"/>
      <c r="CQ40" s="519"/>
      <c r="CR40" s="192" t="str">
        <f>IF($G$40="","",$G$40)</f>
        <v/>
      </c>
      <c r="CS40" s="504" t="str">
        <f>IF(CR40="","",IF($G$40&gt;0,(($J$24+50)/($H$12/$U$12)*$G$40))*1.03)</f>
        <v/>
      </c>
      <c r="CT40" s="504"/>
      <c r="CU40" s="163"/>
      <c r="CV40" s="165"/>
      <c r="CW40" s="512" t="s">
        <v>8</v>
      </c>
      <c r="CX40" s="512"/>
      <c r="CY40" s="512"/>
      <c r="CZ40" s="512"/>
      <c r="DA40" s="165"/>
      <c r="DB40" s="165"/>
      <c r="DC40" s="165"/>
      <c r="DD40" s="513" t="e">
        <f>SUM(DC38,DC37,DC36)</f>
        <v>#VALUE!</v>
      </c>
      <c r="DE40" s="513"/>
      <c r="DH40" s="159"/>
      <c r="DI40" s="517" t="str">
        <f>CM40</f>
        <v/>
      </c>
      <c r="DJ40" s="518"/>
      <c r="DK40" s="518"/>
      <c r="DL40" s="518"/>
      <c r="DM40" s="519"/>
      <c r="DN40" s="192" t="str">
        <f>IF($G$40="","",$G$40)</f>
        <v/>
      </c>
      <c r="DO40" s="504" t="str">
        <f>IF(DN40="","",IF($G$40&gt;0,(($M$24+50)/($H$12/$U$12)*$G$40))*1.03)</f>
        <v/>
      </c>
      <c r="DP40" s="504"/>
      <c r="DQ40" s="163"/>
      <c r="DR40" s="165"/>
      <c r="DS40" s="512" t="s">
        <v>8</v>
      </c>
      <c r="DT40" s="512"/>
      <c r="DU40" s="512"/>
      <c r="DV40" s="512"/>
      <c r="DW40" s="165"/>
      <c r="DX40" s="165"/>
      <c r="DY40" s="165"/>
      <c r="DZ40" s="513" t="e">
        <f>SUM(DY38,DY37,DY36)</f>
        <v>#VALUE!</v>
      </c>
      <c r="EA40" s="513"/>
    </row>
    <row r="41" spans="1:131" ht="15.75" customHeight="1" x14ac:dyDescent="0.25">
      <c r="A41" s="167"/>
      <c r="B41" s="159"/>
      <c r="C41" s="159"/>
      <c r="D41" s="159"/>
      <c r="E41" s="159"/>
      <c r="F41" s="159"/>
      <c r="G41" s="159" t="s">
        <v>23</v>
      </c>
      <c r="H41" s="159"/>
      <c r="I41" s="159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51"/>
      <c r="W41" s="151"/>
      <c r="X41" s="148"/>
      <c r="Y41" s="148"/>
      <c r="Z41" s="167"/>
      <c r="AA41" s="159"/>
      <c r="AB41" s="159"/>
      <c r="AC41" s="159"/>
      <c r="AD41" s="159"/>
      <c r="AE41" s="159"/>
      <c r="AF41" s="159" t="s">
        <v>23</v>
      </c>
      <c r="AG41" s="159"/>
      <c r="AH41" s="159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51"/>
      <c r="AT41" s="151"/>
      <c r="AU41" s="167"/>
      <c r="AV41" s="159"/>
      <c r="AW41" s="159"/>
      <c r="AX41" s="159"/>
      <c r="AY41" s="159"/>
      <c r="AZ41" s="159"/>
      <c r="BA41" s="159" t="s">
        <v>23</v>
      </c>
      <c r="BB41" s="159"/>
      <c r="BC41" s="159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298"/>
      <c r="BP41" s="167"/>
      <c r="BQ41" s="159"/>
      <c r="BR41" s="159"/>
      <c r="BS41" s="159"/>
      <c r="BT41" s="159"/>
      <c r="BU41" s="159"/>
      <c r="BV41" s="159" t="s">
        <v>23</v>
      </c>
      <c r="BW41" s="159"/>
      <c r="BX41" s="159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L41" s="167"/>
      <c r="CM41" s="159"/>
      <c r="CN41" s="159"/>
      <c r="CO41" s="159"/>
      <c r="CP41" s="159"/>
      <c r="CQ41" s="159"/>
      <c r="CR41" s="159" t="s">
        <v>23</v>
      </c>
      <c r="CS41" s="159"/>
      <c r="CT41" s="159"/>
      <c r="CU41" s="148"/>
      <c r="CV41" s="148"/>
      <c r="CW41" s="148"/>
      <c r="CX41" s="148"/>
      <c r="CY41" s="148"/>
      <c r="CZ41" s="148"/>
      <c r="DA41" s="148"/>
      <c r="DB41" s="148"/>
      <c r="DC41" s="148"/>
      <c r="DD41" s="148"/>
      <c r="DE41" s="148"/>
      <c r="DH41" s="167"/>
      <c r="DI41" s="159"/>
      <c r="DJ41" s="159"/>
      <c r="DK41" s="159"/>
      <c r="DL41" s="159"/>
      <c r="DM41" s="159"/>
      <c r="DN41" s="159" t="s">
        <v>23</v>
      </c>
      <c r="DO41" s="159"/>
      <c r="DP41" s="159"/>
      <c r="DQ41" s="148"/>
      <c r="DR41" s="148"/>
      <c r="DS41" s="148"/>
      <c r="DT41" s="148"/>
      <c r="DU41" s="148"/>
      <c r="DV41" s="148"/>
      <c r="DW41" s="148"/>
      <c r="DX41" s="148"/>
      <c r="DY41" s="148"/>
      <c r="DZ41" s="148"/>
      <c r="EA41" s="148"/>
    </row>
    <row r="42" spans="1:131" ht="16.5" customHeight="1" thickBot="1" x14ac:dyDescent="0.35">
      <c r="A42" s="165"/>
      <c r="B42" s="512" t="s">
        <v>8</v>
      </c>
      <c r="C42" s="512"/>
      <c r="D42" s="512"/>
      <c r="E42" s="165"/>
      <c r="F42" s="165"/>
      <c r="G42" s="165"/>
      <c r="H42" s="513">
        <f>SUM(H37:H40)</f>
        <v>29.089774999999999</v>
      </c>
      <c r="I42" s="513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51"/>
      <c r="W42" s="151"/>
      <c r="X42" s="148"/>
      <c r="Y42" s="148"/>
      <c r="Z42" s="165"/>
      <c r="AA42" s="512" t="s">
        <v>8</v>
      </c>
      <c r="AB42" s="512"/>
      <c r="AC42" s="512"/>
      <c r="AD42" s="165"/>
      <c r="AE42" s="165"/>
      <c r="AF42" s="165"/>
      <c r="AG42" s="513">
        <f>SUM(AG37:AG40)</f>
        <v>55.535024999999997</v>
      </c>
      <c r="AH42" s="513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51"/>
      <c r="AT42" s="151"/>
      <c r="AU42" s="165"/>
      <c r="AV42" s="512" t="s">
        <v>8</v>
      </c>
      <c r="AW42" s="512"/>
      <c r="AX42" s="512"/>
      <c r="AY42" s="165"/>
      <c r="AZ42" s="165"/>
      <c r="BA42" s="165"/>
      <c r="BB42" s="513">
        <f>SUM(BB37:BB40)</f>
        <v>81.980275000000006</v>
      </c>
      <c r="BC42" s="513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298"/>
      <c r="BP42" s="165"/>
      <c r="BQ42" s="512" t="s">
        <v>8</v>
      </c>
      <c r="BR42" s="512"/>
      <c r="BS42" s="512"/>
      <c r="BT42" s="165"/>
      <c r="BU42" s="165"/>
      <c r="BV42" s="165"/>
      <c r="BW42" s="513">
        <f>SUM(BW37:BW40)</f>
        <v>2.6445249999999998</v>
      </c>
      <c r="BX42" s="513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L42" s="165"/>
      <c r="CM42" s="512" t="s">
        <v>8</v>
      </c>
      <c r="CN42" s="512"/>
      <c r="CO42" s="512"/>
      <c r="CP42" s="165"/>
      <c r="CQ42" s="165"/>
      <c r="CR42" s="165"/>
      <c r="CS42" s="513">
        <f>SUM(CS37:CS40)</f>
        <v>2.6445249999999998</v>
      </c>
      <c r="CT42" s="513"/>
      <c r="CU42" s="148"/>
      <c r="CV42" s="148"/>
      <c r="CW42" s="148"/>
      <c r="CX42" s="148"/>
      <c r="CY42" s="148"/>
      <c r="CZ42" s="148"/>
      <c r="DA42" s="148"/>
      <c r="DB42" s="148"/>
      <c r="DC42" s="148"/>
      <c r="DD42" s="148"/>
      <c r="DE42" s="148"/>
      <c r="DH42" s="165"/>
      <c r="DI42" s="512" t="s">
        <v>8</v>
      </c>
      <c r="DJ42" s="512"/>
      <c r="DK42" s="512"/>
      <c r="DL42" s="165"/>
      <c r="DM42" s="165"/>
      <c r="DN42" s="165"/>
      <c r="DO42" s="513">
        <f>SUM(DO37:DO40)</f>
        <v>2.6445249999999998</v>
      </c>
      <c r="DP42" s="513"/>
      <c r="DQ42" s="148"/>
      <c r="DR42" s="148"/>
      <c r="DS42" s="148"/>
      <c r="DT42" s="148"/>
      <c r="DU42" s="148"/>
      <c r="DV42" s="148"/>
      <c r="DW42" s="148"/>
      <c r="DX42" s="148"/>
      <c r="DY42" s="148"/>
      <c r="DZ42" s="148"/>
      <c r="EA42" s="148"/>
    </row>
    <row r="43" spans="1:131" ht="15" customHeight="1" x14ac:dyDescent="0.2">
      <c r="A43" s="300"/>
      <c r="B43" s="300"/>
      <c r="C43" s="300"/>
      <c r="D43" s="300"/>
      <c r="E43" s="300"/>
      <c r="F43" s="300"/>
      <c r="G43" s="300"/>
      <c r="H43" s="300"/>
      <c r="I43" s="300"/>
      <c r="J43" s="300"/>
      <c r="K43" s="300"/>
      <c r="L43" s="300"/>
      <c r="M43" s="300"/>
      <c r="N43" s="300"/>
      <c r="O43" s="300"/>
      <c r="P43" s="300"/>
      <c r="Q43" s="300"/>
      <c r="R43" s="300"/>
      <c r="S43" s="300"/>
      <c r="T43" s="300"/>
      <c r="V43" s="300"/>
      <c r="W43" s="300"/>
      <c r="Z43" s="300"/>
      <c r="AA43" s="300"/>
      <c r="AB43" s="300"/>
      <c r="AC43" s="300"/>
      <c r="AD43" s="300"/>
      <c r="AE43" s="300"/>
      <c r="AF43" s="300"/>
      <c r="AG43" s="300"/>
      <c r="AH43" s="300"/>
      <c r="AI43" s="300"/>
      <c r="AJ43" s="300"/>
      <c r="AK43" s="300"/>
      <c r="AL43" s="300"/>
      <c r="AM43" s="300"/>
      <c r="AN43" s="300"/>
      <c r="AO43" s="300"/>
      <c r="AP43" s="300"/>
      <c r="AQ43" s="300"/>
      <c r="AR43" s="300"/>
      <c r="AS43" s="300"/>
      <c r="AT43" s="300"/>
      <c r="AU43" s="300"/>
      <c r="AV43" s="300"/>
      <c r="AW43" s="300"/>
      <c r="AX43" s="300"/>
      <c r="AY43" s="300"/>
      <c r="AZ43" s="300"/>
      <c r="BA43" s="300"/>
      <c r="BB43" s="300"/>
      <c r="BC43" s="300"/>
      <c r="BD43" s="300"/>
      <c r="BE43" s="300"/>
      <c r="BF43" s="300"/>
      <c r="BG43" s="300"/>
      <c r="BH43" s="300"/>
      <c r="BI43" s="300"/>
      <c r="BJ43" s="300"/>
      <c r="BK43" s="300"/>
      <c r="BL43" s="300"/>
      <c r="BM43" s="300"/>
      <c r="BN43" s="298"/>
      <c r="BP43" s="300"/>
      <c r="BQ43" s="300"/>
      <c r="BR43" s="300"/>
      <c r="BS43" s="300"/>
      <c r="BT43" s="300"/>
      <c r="BU43" s="300"/>
      <c r="BV43" s="300"/>
      <c r="BW43" s="300"/>
      <c r="BX43" s="300"/>
      <c r="BY43" s="300"/>
      <c r="BZ43" s="300"/>
      <c r="CA43" s="300"/>
      <c r="CB43" s="300"/>
      <c r="CC43" s="300"/>
      <c r="CD43" s="300"/>
      <c r="CE43" s="300"/>
      <c r="CF43" s="300"/>
      <c r="CG43" s="300"/>
      <c r="CH43" s="300"/>
      <c r="CI43" s="300"/>
      <c r="CL43" s="300"/>
      <c r="CM43" s="300"/>
      <c r="CN43" s="300"/>
      <c r="CO43" s="300"/>
      <c r="CP43" s="300"/>
      <c r="CQ43" s="300"/>
      <c r="CR43" s="300"/>
      <c r="CS43" s="300"/>
      <c r="CT43" s="300"/>
      <c r="CU43" s="300"/>
      <c r="CV43" s="300"/>
      <c r="CW43" s="300"/>
      <c r="CX43" s="300"/>
      <c r="CY43" s="300"/>
      <c r="CZ43" s="300"/>
      <c r="DA43" s="300"/>
      <c r="DB43" s="300"/>
      <c r="DC43" s="300"/>
      <c r="DD43" s="300"/>
      <c r="DE43" s="300"/>
      <c r="DH43" s="300"/>
      <c r="DI43" s="300"/>
      <c r="DJ43" s="300"/>
      <c r="DK43" s="300"/>
      <c r="DL43" s="300"/>
      <c r="DM43" s="300"/>
      <c r="DN43" s="300"/>
      <c r="DO43" s="300"/>
      <c r="DP43" s="300"/>
      <c r="DQ43" s="300"/>
      <c r="DR43" s="300"/>
      <c r="DS43" s="300"/>
      <c r="DT43" s="300"/>
      <c r="DU43" s="300"/>
      <c r="DV43" s="300"/>
      <c r="DW43" s="300"/>
      <c r="DX43" s="300"/>
      <c r="DY43" s="300"/>
      <c r="DZ43" s="300"/>
      <c r="EA43" s="300"/>
    </row>
    <row r="44" spans="1:131" ht="16.5" customHeight="1" x14ac:dyDescent="0.2">
      <c r="O44" s="1" t="s">
        <v>23</v>
      </c>
      <c r="V44" s="300"/>
      <c r="W44" s="300"/>
      <c r="X44" s="300"/>
      <c r="Y44" s="300"/>
      <c r="AM44" s="1" t="s">
        <v>23</v>
      </c>
      <c r="AS44" s="300"/>
      <c r="AT44" s="300"/>
      <c r="BH44" s="1" t="s">
        <v>23</v>
      </c>
      <c r="BN44" s="298"/>
      <c r="CD44" s="1" t="s">
        <v>23</v>
      </c>
      <c r="CZ44" s="1" t="s">
        <v>23</v>
      </c>
      <c r="DV44" s="1" t="s">
        <v>23</v>
      </c>
    </row>
    <row r="45" spans="1:131" ht="15" customHeight="1" x14ac:dyDescent="0.2">
      <c r="A45" s="520" t="s">
        <v>7</v>
      </c>
      <c r="B45" s="521"/>
      <c r="C45" s="521"/>
      <c r="D45" s="521"/>
      <c r="E45" s="521"/>
      <c r="F45" s="521"/>
      <c r="G45" s="521"/>
      <c r="K45" s="522" t="s">
        <v>24</v>
      </c>
      <c r="L45" s="522"/>
      <c r="M45" s="522"/>
      <c r="N45" s="522"/>
      <c r="O45" s="523"/>
      <c r="P45" s="523"/>
      <c r="Q45" s="523"/>
      <c r="R45" s="523"/>
      <c r="S45" s="73"/>
      <c r="T45" s="73"/>
      <c r="V45" s="300"/>
      <c r="W45" s="299"/>
      <c r="X45" s="300"/>
      <c r="Y45" s="300"/>
      <c r="Z45" s="520" t="s">
        <v>7</v>
      </c>
      <c r="AA45" s="521"/>
      <c r="AB45" s="521"/>
      <c r="AC45" s="521"/>
      <c r="AD45" s="521"/>
      <c r="AE45" s="521"/>
      <c r="AF45" s="521"/>
      <c r="AJ45" s="522" t="s">
        <v>24</v>
      </c>
      <c r="AK45" s="522"/>
      <c r="AL45" s="522"/>
      <c r="AM45" s="523"/>
      <c r="AN45" s="523"/>
      <c r="AO45" s="523"/>
      <c r="AP45" s="523"/>
      <c r="AQ45" s="73"/>
      <c r="AR45" s="73"/>
      <c r="AS45" s="300"/>
      <c r="AT45" s="300"/>
      <c r="AU45" s="520" t="s">
        <v>7</v>
      </c>
      <c r="AV45" s="521"/>
      <c r="AW45" s="521"/>
      <c r="AX45" s="521"/>
      <c r="AY45" s="521"/>
      <c r="AZ45" s="521"/>
      <c r="BA45" s="521"/>
      <c r="BE45" s="522" t="s">
        <v>24</v>
      </c>
      <c r="BF45" s="522"/>
      <c r="BG45" s="522"/>
      <c r="BH45" s="523"/>
      <c r="BI45" s="523"/>
      <c r="BJ45" s="523"/>
      <c r="BK45" s="523"/>
      <c r="BL45" s="73"/>
      <c r="BM45" s="73"/>
      <c r="BN45" s="298"/>
      <c r="BP45" s="520" t="s">
        <v>7</v>
      </c>
      <c r="BQ45" s="521"/>
      <c r="BR45" s="521"/>
      <c r="BS45" s="521"/>
      <c r="BT45" s="521"/>
      <c r="BU45" s="521"/>
      <c r="BV45" s="521"/>
      <c r="BZ45" s="522" t="s">
        <v>24</v>
      </c>
      <c r="CA45" s="522"/>
      <c r="CB45" s="522"/>
      <c r="CC45" s="522"/>
      <c r="CD45" s="523"/>
      <c r="CE45" s="523"/>
      <c r="CF45" s="523"/>
      <c r="CG45" s="523"/>
      <c r="CH45" s="73"/>
      <c r="CI45" s="73"/>
      <c r="CL45" s="520" t="s">
        <v>7</v>
      </c>
      <c r="CM45" s="521"/>
      <c r="CN45" s="521"/>
      <c r="CO45" s="521"/>
      <c r="CP45" s="521"/>
      <c r="CQ45" s="521"/>
      <c r="CR45" s="521"/>
      <c r="CV45" s="522" t="s">
        <v>24</v>
      </c>
      <c r="CW45" s="522"/>
      <c r="CX45" s="522"/>
      <c r="CY45" s="522"/>
      <c r="CZ45" s="523"/>
      <c r="DA45" s="523"/>
      <c r="DB45" s="523"/>
      <c r="DC45" s="523"/>
      <c r="DD45" s="73"/>
      <c r="DE45" s="73"/>
      <c r="DH45" s="520" t="s">
        <v>7</v>
      </c>
      <c r="DI45" s="521"/>
      <c r="DJ45" s="521"/>
      <c r="DK45" s="521"/>
      <c r="DL45" s="521"/>
      <c r="DM45" s="521"/>
      <c r="DN45" s="521"/>
      <c r="DR45" s="522" t="s">
        <v>24</v>
      </c>
      <c r="DS45" s="522"/>
      <c r="DT45" s="522"/>
      <c r="DU45" s="522"/>
      <c r="DV45" s="523"/>
      <c r="DW45" s="523"/>
      <c r="DX45" s="523"/>
      <c r="DY45" s="523"/>
      <c r="DZ45" s="73"/>
      <c r="EA45" s="73"/>
    </row>
    <row r="46" spans="1:131" ht="15" x14ac:dyDescent="0.25">
      <c r="A46" s="524" t="s">
        <v>43</v>
      </c>
      <c r="B46" s="527" t="s">
        <v>30</v>
      </c>
      <c r="C46" s="527"/>
      <c r="D46" s="527"/>
      <c r="E46" s="527"/>
      <c r="F46" s="84">
        <v>1</v>
      </c>
      <c r="G46" s="8"/>
      <c r="H46" s="528">
        <f>IF(F46="","",(F46*17))</f>
        <v>17</v>
      </c>
      <c r="I46" s="529"/>
      <c r="K46" s="524" t="s">
        <v>44</v>
      </c>
      <c r="L46" s="530" t="s">
        <v>17</v>
      </c>
      <c r="M46" s="521"/>
      <c r="N46" s="301"/>
      <c r="O46" s="85">
        <v>1</v>
      </c>
      <c r="P46" s="4"/>
      <c r="Q46" s="4"/>
      <c r="R46" s="4"/>
      <c r="S46" s="531" t="s">
        <v>109</v>
      </c>
      <c r="T46" s="532"/>
      <c r="V46" s="300"/>
      <c r="W46" s="75"/>
      <c r="X46" s="300"/>
      <c r="Y46" s="300"/>
      <c r="Z46" s="524" t="s">
        <v>43</v>
      </c>
      <c r="AA46" s="527" t="s">
        <v>30</v>
      </c>
      <c r="AB46" s="527"/>
      <c r="AC46" s="527"/>
      <c r="AD46" s="527"/>
      <c r="AE46" s="193">
        <f>IF(F46="","",F46)</f>
        <v>1</v>
      </c>
      <c r="AF46" s="8"/>
      <c r="AG46" s="528">
        <f>IF(AE46="","",(AE46*17))</f>
        <v>17</v>
      </c>
      <c r="AH46" s="529"/>
      <c r="AJ46" s="524" t="s">
        <v>44</v>
      </c>
      <c r="AK46" s="530" t="s">
        <v>17</v>
      </c>
      <c r="AL46" s="521"/>
      <c r="AM46" s="74">
        <f>IF(O46="","",O46)</f>
        <v>1</v>
      </c>
      <c r="AN46" s="4"/>
      <c r="AO46" s="4"/>
      <c r="AP46" s="4"/>
      <c r="AQ46" s="531" t="s">
        <v>109</v>
      </c>
      <c r="AR46" s="532"/>
      <c r="AS46" s="300"/>
      <c r="AT46" s="300"/>
      <c r="AU46" s="524" t="s">
        <v>43</v>
      </c>
      <c r="AV46" s="527" t="s">
        <v>30</v>
      </c>
      <c r="AW46" s="527"/>
      <c r="AX46" s="527"/>
      <c r="AY46" s="527"/>
      <c r="AZ46" s="193">
        <f>AE46</f>
        <v>1</v>
      </c>
      <c r="BA46" s="8"/>
      <c r="BB46" s="528">
        <f>IF(AZ46="","",(AZ46*17))</f>
        <v>17</v>
      </c>
      <c r="BC46" s="529"/>
      <c r="BE46" s="524" t="s">
        <v>44</v>
      </c>
      <c r="BF46" s="530" t="s">
        <v>17</v>
      </c>
      <c r="BG46" s="521"/>
      <c r="BH46" s="74">
        <f>IF(O46="","",O46)</f>
        <v>1</v>
      </c>
      <c r="BI46" s="4"/>
      <c r="BJ46" s="4"/>
      <c r="BK46" s="4"/>
      <c r="BL46" s="531" t="s">
        <v>109</v>
      </c>
      <c r="BM46" s="532"/>
      <c r="BN46" s="298"/>
      <c r="BP46" s="524" t="s">
        <v>43</v>
      </c>
      <c r="BQ46" s="527" t="s">
        <v>30</v>
      </c>
      <c r="BR46" s="527"/>
      <c r="BS46" s="527"/>
      <c r="BT46" s="527"/>
      <c r="BU46" s="193">
        <f>AZ46</f>
        <v>1</v>
      </c>
      <c r="BV46" s="8"/>
      <c r="BW46" s="528">
        <f>IF(BU46="","",(BU46*17))</f>
        <v>17</v>
      </c>
      <c r="BX46" s="529"/>
      <c r="BZ46" s="524" t="s">
        <v>44</v>
      </c>
      <c r="CA46" s="530" t="s">
        <v>17</v>
      </c>
      <c r="CB46" s="521"/>
      <c r="CC46" s="301"/>
      <c r="CD46" s="74">
        <f>BH46</f>
        <v>1</v>
      </c>
      <c r="CE46" s="4"/>
      <c r="CF46" s="4"/>
      <c r="CG46" s="4"/>
      <c r="CH46" s="531" t="s">
        <v>109</v>
      </c>
      <c r="CI46" s="532"/>
      <c r="CL46" s="524" t="s">
        <v>43</v>
      </c>
      <c r="CM46" s="527" t="s">
        <v>30</v>
      </c>
      <c r="CN46" s="527"/>
      <c r="CO46" s="527"/>
      <c r="CP46" s="527"/>
      <c r="CQ46" s="193">
        <f>BU46</f>
        <v>1</v>
      </c>
      <c r="CR46" s="8"/>
      <c r="CS46" s="528">
        <f>IF(CQ46="","",(CQ46*17))</f>
        <v>17</v>
      </c>
      <c r="CT46" s="529"/>
      <c r="CV46" s="524" t="s">
        <v>44</v>
      </c>
      <c r="CW46" s="530" t="s">
        <v>17</v>
      </c>
      <c r="CX46" s="521"/>
      <c r="CY46" s="301"/>
      <c r="CZ46" s="74">
        <f>CD46</f>
        <v>1</v>
      </c>
      <c r="DA46" s="4"/>
      <c r="DB46" s="4"/>
      <c r="DC46" s="4"/>
      <c r="DD46" s="531" t="s">
        <v>109</v>
      </c>
      <c r="DE46" s="532"/>
      <c r="DH46" s="524" t="s">
        <v>43</v>
      </c>
      <c r="DI46" s="527" t="s">
        <v>30</v>
      </c>
      <c r="DJ46" s="527"/>
      <c r="DK46" s="527"/>
      <c r="DL46" s="527"/>
      <c r="DM46" s="193">
        <f>CQ46</f>
        <v>1</v>
      </c>
      <c r="DN46" s="8"/>
      <c r="DO46" s="528">
        <f>IF(DM46="","",(DM46*17))</f>
        <v>17</v>
      </c>
      <c r="DP46" s="529"/>
      <c r="DR46" s="524" t="s">
        <v>44</v>
      </c>
      <c r="DS46" s="530" t="s">
        <v>17</v>
      </c>
      <c r="DT46" s="521"/>
      <c r="DU46" s="301"/>
      <c r="DV46" s="74">
        <f>CZ46</f>
        <v>1</v>
      </c>
      <c r="DW46" s="4"/>
      <c r="DX46" s="4"/>
      <c r="DY46" s="4"/>
      <c r="DZ46" s="531" t="s">
        <v>109</v>
      </c>
      <c r="EA46" s="532"/>
    </row>
    <row r="47" spans="1:131" x14ac:dyDescent="0.2">
      <c r="A47" s="525"/>
      <c r="B47" s="533" t="s">
        <v>28</v>
      </c>
      <c r="C47" s="527"/>
      <c r="D47" s="527"/>
      <c r="E47" s="527"/>
      <c r="F47" s="146">
        <v>9</v>
      </c>
      <c r="G47" s="9"/>
      <c r="H47" s="544">
        <f>IF(F47="","",F47*13)</f>
        <v>117</v>
      </c>
      <c r="I47" s="545"/>
      <c r="K47" s="525"/>
      <c r="L47" s="542" t="s">
        <v>10</v>
      </c>
      <c r="M47" s="542"/>
      <c r="N47" s="303"/>
      <c r="O47" s="2">
        <f>IF(O46="","",IF(O46=1,0.5,IF(O46=2,1,IF(O46=3,2,IF(O46=4,0.5,IF(O46=5,1))))))</f>
        <v>0.5</v>
      </c>
      <c r="P47" s="4"/>
      <c r="Q47" s="546">
        <f>IF(O47="","",O47*17)</f>
        <v>8.5</v>
      </c>
      <c r="R47" s="546"/>
      <c r="S47" s="4"/>
      <c r="T47" s="8"/>
      <c r="V47" s="300"/>
      <c r="W47" s="75"/>
      <c r="X47" s="22"/>
      <c r="Y47" s="300"/>
      <c r="Z47" s="525"/>
      <c r="AA47" s="533" t="s">
        <v>28</v>
      </c>
      <c r="AB47" s="527"/>
      <c r="AC47" s="527"/>
      <c r="AD47" s="527"/>
      <c r="AE47" s="193">
        <f>IF(F47="","",F47)</f>
        <v>9</v>
      </c>
      <c r="AF47" s="9"/>
      <c r="AG47" s="544">
        <f>IF(AE47="","",AE47*8)</f>
        <v>72</v>
      </c>
      <c r="AH47" s="545"/>
      <c r="AJ47" s="525"/>
      <c r="AK47" s="542" t="s">
        <v>10</v>
      </c>
      <c r="AL47" s="542"/>
      <c r="AM47" s="2">
        <f>IF(AM46="","",IF(AM46=1,0.5,IF(AM46=2,1,IF(AM46=3,2,IF(AM46=4,0.5,IF(AM46=5,1))))))</f>
        <v>0.5</v>
      </c>
      <c r="AN47" s="4"/>
      <c r="AO47" s="546">
        <f>IF(AM47="","",AM47*17)</f>
        <v>8.5</v>
      </c>
      <c r="AP47" s="546"/>
      <c r="AQ47" s="4"/>
      <c r="AR47" s="8"/>
      <c r="AS47" s="300"/>
      <c r="AT47" s="300"/>
      <c r="AU47" s="525"/>
      <c r="AV47" s="533" t="s">
        <v>28</v>
      </c>
      <c r="AW47" s="527"/>
      <c r="AX47" s="527"/>
      <c r="AY47" s="527"/>
      <c r="AZ47" s="193">
        <f>IF(AE47="","",AE47)</f>
        <v>9</v>
      </c>
      <c r="BA47" s="9"/>
      <c r="BB47" s="544">
        <f>IF(AZ47="","",AZ47*8)</f>
        <v>72</v>
      </c>
      <c r="BC47" s="545"/>
      <c r="BE47" s="525"/>
      <c r="BF47" s="542" t="s">
        <v>10</v>
      </c>
      <c r="BG47" s="542"/>
      <c r="BH47" s="2">
        <f>IF(BH46="","",IF(BH46=1,0.5,IF(BH46=2,1,IF(BH46=3,2,IF(BH46=4,0.5,IF(BH46=5,1))))))</f>
        <v>0.5</v>
      </c>
      <c r="BI47" s="4"/>
      <c r="BJ47" s="546">
        <f>IF(BH47="","",BH47*17)</f>
        <v>8.5</v>
      </c>
      <c r="BK47" s="546"/>
      <c r="BL47" s="4"/>
      <c r="BM47" s="8"/>
      <c r="BN47" s="298"/>
      <c r="BP47" s="525"/>
      <c r="BQ47" s="533" t="s">
        <v>28</v>
      </c>
      <c r="BR47" s="527"/>
      <c r="BS47" s="527"/>
      <c r="BT47" s="527"/>
      <c r="BU47" s="310">
        <f>AZ47</f>
        <v>9</v>
      </c>
      <c r="BV47" s="9"/>
      <c r="BW47" s="544">
        <f>IF(BU47="","",BU47*8)</f>
        <v>72</v>
      </c>
      <c r="BX47" s="545"/>
      <c r="BZ47" s="525"/>
      <c r="CA47" s="542" t="s">
        <v>10</v>
      </c>
      <c r="CB47" s="542"/>
      <c r="CC47" s="303"/>
      <c r="CD47" s="2">
        <f>IF(CD46="","",IF(CD46=1,0.5,IF(CD46=2,1,IF(CD46=3,2,IF(CD46=4,0.5,IF(CD46=5,1))))))</f>
        <v>0.5</v>
      </c>
      <c r="CE47" s="4"/>
      <c r="CF47" s="546">
        <f>IF(CD47="","",CD47*17)</f>
        <v>8.5</v>
      </c>
      <c r="CG47" s="546"/>
      <c r="CH47" s="4"/>
      <c r="CI47" s="8"/>
      <c r="CL47" s="525"/>
      <c r="CM47" s="533" t="s">
        <v>28</v>
      </c>
      <c r="CN47" s="527"/>
      <c r="CO47" s="527"/>
      <c r="CP47" s="527"/>
      <c r="CQ47" s="310">
        <f>BU47</f>
        <v>9</v>
      </c>
      <c r="CR47" s="9"/>
      <c r="CS47" s="544">
        <f>IF(CQ47="","",CQ47*8)</f>
        <v>72</v>
      </c>
      <c r="CT47" s="545"/>
      <c r="CV47" s="525"/>
      <c r="CW47" s="542" t="s">
        <v>10</v>
      </c>
      <c r="CX47" s="542"/>
      <c r="CY47" s="303"/>
      <c r="CZ47" s="2">
        <f>IF(CZ46="","",IF(CZ46=1,0.5,IF(CZ46=2,1,IF(CZ46=3,2,IF(CZ46=4,0.5,IF(CZ46=5,1))))))</f>
        <v>0.5</v>
      </c>
      <c r="DA47" s="4"/>
      <c r="DB47" s="546">
        <f>IF(CZ47="","",CZ47*17)</f>
        <v>8.5</v>
      </c>
      <c r="DC47" s="546"/>
      <c r="DD47" s="4"/>
      <c r="DE47" s="8"/>
      <c r="DH47" s="525"/>
      <c r="DI47" s="533" t="s">
        <v>28</v>
      </c>
      <c r="DJ47" s="527"/>
      <c r="DK47" s="527"/>
      <c r="DL47" s="527"/>
      <c r="DM47" s="310">
        <f>CQ47</f>
        <v>9</v>
      </c>
      <c r="DN47" s="9"/>
      <c r="DO47" s="544">
        <f>IF(DM47="","",DM47*8)</f>
        <v>72</v>
      </c>
      <c r="DP47" s="545"/>
      <c r="DR47" s="525"/>
      <c r="DS47" s="542" t="s">
        <v>10</v>
      </c>
      <c r="DT47" s="542"/>
      <c r="DU47" s="303"/>
      <c r="DV47" s="2">
        <f>IF(DV46="","",IF(DV46=1,0.5,IF(DV46=2,1,IF(DV46=3,2,IF(DV46=4,0.5,IF(DV46=5,1))))))</f>
        <v>0.5</v>
      </c>
      <c r="DW47" s="4"/>
      <c r="DX47" s="546">
        <f>IF(DV47="","",DV47*17)</f>
        <v>8.5</v>
      </c>
      <c r="DY47" s="546"/>
      <c r="DZ47" s="4"/>
      <c r="EA47" s="8"/>
    </row>
    <row r="48" spans="1:131" x14ac:dyDescent="0.2">
      <c r="A48" s="525"/>
      <c r="B48" s="533" t="s">
        <v>33</v>
      </c>
      <c r="C48" s="527"/>
      <c r="D48" s="527"/>
      <c r="E48" s="527"/>
      <c r="F48" s="418">
        <v>1</v>
      </c>
      <c r="G48" s="9"/>
      <c r="H48" s="534">
        <f>IF(F48="","",F48*21)</f>
        <v>21</v>
      </c>
      <c r="I48" s="535"/>
      <c r="K48" s="525"/>
      <c r="L48" s="542" t="s">
        <v>37</v>
      </c>
      <c r="M48" s="542"/>
      <c r="N48" s="303"/>
      <c r="O48" s="2">
        <f>IF(O46="","",IF(O46=1,(H35/$U$12)/1000,IF(O46=2,"",IF(O46=3,"",IF(O46=4,(H35/$U$12)/1000*2,IF(O46=5,""))))))</f>
        <v>0.5</v>
      </c>
      <c r="P48" s="4" t="s">
        <v>23</v>
      </c>
      <c r="Q48" s="543">
        <f>IF(O48="","",O48*17)</f>
        <v>8.5</v>
      </c>
      <c r="R48" s="543"/>
      <c r="S48" s="4"/>
      <c r="T48" s="8"/>
      <c r="V48" s="300"/>
      <c r="W48" s="75"/>
      <c r="X48" s="22"/>
      <c r="Y48" s="300"/>
      <c r="Z48" s="525"/>
      <c r="AA48" s="533" t="s">
        <v>33</v>
      </c>
      <c r="AB48" s="527"/>
      <c r="AC48" s="527"/>
      <c r="AD48" s="527"/>
      <c r="AE48" s="72">
        <f>IF($F$48="","",$F$48)</f>
        <v>1</v>
      </c>
      <c r="AF48" s="9"/>
      <c r="AG48" s="534">
        <f>IF(AE48="","",AE48*21)</f>
        <v>21</v>
      </c>
      <c r="AH48" s="535"/>
      <c r="AJ48" s="525"/>
      <c r="AK48" s="542" t="s">
        <v>37</v>
      </c>
      <c r="AL48" s="542"/>
      <c r="AM48" s="2">
        <f>IF(AM46="","",IF(AM46=1,(AG35/$U$12)/1000,IF(AM46=2,"",IF(AM46=3,"",IF(AM46=4,(AG35/$U$12)/1000*2,IF(AM46=5,""))))))</f>
        <v>1</v>
      </c>
      <c r="AN48" s="4" t="s">
        <v>23</v>
      </c>
      <c r="AO48" s="543">
        <f>IF(AM48="","",AM48*17)</f>
        <v>17</v>
      </c>
      <c r="AP48" s="543"/>
      <c r="AQ48" s="4"/>
      <c r="AR48" s="8"/>
      <c r="AS48" s="300"/>
      <c r="AT48" s="300"/>
      <c r="AU48" s="525"/>
      <c r="AV48" s="533" t="s">
        <v>33</v>
      </c>
      <c r="AW48" s="527"/>
      <c r="AX48" s="527"/>
      <c r="AY48" s="527"/>
      <c r="AZ48" s="72">
        <f>IF($F$48="","",$F$48)</f>
        <v>1</v>
      </c>
      <c r="BA48" s="9"/>
      <c r="BB48" s="534">
        <f>IF(AZ48="","",AZ48*21)</f>
        <v>21</v>
      </c>
      <c r="BC48" s="535"/>
      <c r="BE48" s="525"/>
      <c r="BF48" s="542" t="s">
        <v>37</v>
      </c>
      <c r="BG48" s="542"/>
      <c r="BH48" s="2">
        <f>IF(BH46="","",IF(BH46=1,(BB35/$U$12)/1000,IF(BH46=2,"",IF(BH46=3,"",IF(BH46=4,(BB35/$U$12)/1000*2,IF(BH46=5,""))))))</f>
        <v>1.5</v>
      </c>
      <c r="BI48" s="4" t="s">
        <v>23</v>
      </c>
      <c r="BJ48" s="543">
        <f>IF(BH48="","",BH48*17)</f>
        <v>25.5</v>
      </c>
      <c r="BK48" s="543"/>
      <c r="BL48" s="4"/>
      <c r="BM48" s="8"/>
      <c r="BN48" s="298"/>
      <c r="BP48" s="525"/>
      <c r="BQ48" s="533" t="s">
        <v>33</v>
      </c>
      <c r="BR48" s="527"/>
      <c r="BS48" s="527"/>
      <c r="BT48" s="527"/>
      <c r="BU48" s="72">
        <f>IF($F$48="","",$F$48)</f>
        <v>1</v>
      </c>
      <c r="BV48" s="9"/>
      <c r="BW48" s="534">
        <f>IF(BU48="","",BU48*21)</f>
        <v>21</v>
      </c>
      <c r="BX48" s="535"/>
      <c r="BZ48" s="525"/>
      <c r="CA48" s="542" t="s">
        <v>37</v>
      </c>
      <c r="CB48" s="542"/>
      <c r="CC48" s="303"/>
      <c r="CD48" s="2" t="e">
        <f>IF(CD46="","",IF(CD46=1,(BW35/$U$12)/1000,IF(CD46=2,"",IF(CD46=3,"",IF(CD46=4,(BW35/$U$12)/1000*2,IF(CD46=5,""))))))</f>
        <v>#VALUE!</v>
      </c>
      <c r="CE48" s="4" t="s">
        <v>23</v>
      </c>
      <c r="CF48" s="543" t="e">
        <f>IF(CD48="","",CD48*17)</f>
        <v>#VALUE!</v>
      </c>
      <c r="CG48" s="543"/>
      <c r="CH48" s="4"/>
      <c r="CI48" s="8"/>
      <c r="CL48" s="525"/>
      <c r="CM48" s="533" t="s">
        <v>33</v>
      </c>
      <c r="CN48" s="527"/>
      <c r="CO48" s="527"/>
      <c r="CP48" s="527"/>
      <c r="CQ48" s="72">
        <f>IF($F$48="","",$F$48)</f>
        <v>1</v>
      </c>
      <c r="CR48" s="9"/>
      <c r="CS48" s="534">
        <f>IF(CQ48="","",CQ48*21)</f>
        <v>21</v>
      </c>
      <c r="CT48" s="535"/>
      <c r="CV48" s="525"/>
      <c r="CW48" s="542" t="s">
        <v>37</v>
      </c>
      <c r="CX48" s="542"/>
      <c r="CY48" s="303"/>
      <c r="CZ48" s="2" t="e">
        <f>IF(CZ46="","",IF(CZ46=1,(CS35/$U$12)/1000,IF(CZ46=2,"",IF(CZ46=3,"",IF(CZ46=4,(CS35/$U$12)/1000*2,IF(CZ46=5,""))))))</f>
        <v>#VALUE!</v>
      </c>
      <c r="DA48" s="4" t="s">
        <v>23</v>
      </c>
      <c r="DB48" s="543" t="e">
        <f>IF(CZ48="","",CZ48*17)</f>
        <v>#VALUE!</v>
      </c>
      <c r="DC48" s="543"/>
      <c r="DD48" s="4"/>
      <c r="DE48" s="8"/>
      <c r="DH48" s="525"/>
      <c r="DI48" s="533" t="s">
        <v>33</v>
      </c>
      <c r="DJ48" s="527"/>
      <c r="DK48" s="527"/>
      <c r="DL48" s="527"/>
      <c r="DM48" s="72">
        <f>IF($F$48="","",$F$48)</f>
        <v>1</v>
      </c>
      <c r="DN48" s="9"/>
      <c r="DO48" s="534">
        <f>IF(DM48="","",DM48*21)</f>
        <v>21</v>
      </c>
      <c r="DP48" s="535"/>
      <c r="DR48" s="525"/>
      <c r="DS48" s="542" t="s">
        <v>37</v>
      </c>
      <c r="DT48" s="542"/>
      <c r="DU48" s="303"/>
      <c r="DV48" s="2" t="e">
        <f>IF(DV46="","",IF(DV46=1,(DO35/$U$12)/1000,IF(DV46=2,"",IF(DV46=3,"",IF(DV46=4,(DO35/$U$12)/1000*2,IF(DV46=5,""))))))</f>
        <v>#VALUE!</v>
      </c>
      <c r="DW48" s="4" t="s">
        <v>23</v>
      </c>
      <c r="DX48" s="543" t="e">
        <f>IF(DV48="","",DV48*17)</f>
        <v>#VALUE!</v>
      </c>
      <c r="DY48" s="543"/>
      <c r="DZ48" s="4"/>
      <c r="EA48" s="8"/>
    </row>
    <row r="49" spans="1:131" ht="15" x14ac:dyDescent="0.25">
      <c r="A49" s="525"/>
      <c r="B49" s="8"/>
      <c r="C49" s="8"/>
      <c r="D49" s="8"/>
      <c r="E49" s="8"/>
      <c r="F49" s="8"/>
      <c r="G49" s="8"/>
      <c r="H49" s="8"/>
      <c r="I49" s="8"/>
      <c r="K49" s="525"/>
      <c r="L49" s="542" t="s">
        <v>38</v>
      </c>
      <c r="M49" s="542"/>
      <c r="N49" s="303"/>
      <c r="O49" s="2" t="str">
        <f>IF(O46="","",IF(O46=1,"",IF(O46=2,((H35/$U$12)/1000),IF(O46=3,((H35/$U$12)/1000)*2,IF(O46=4,"",IF(O46=5,""))))))</f>
        <v/>
      </c>
      <c r="P49" s="4"/>
      <c r="Q49" s="543" t="str">
        <f>IF(O49="","",O49*17)</f>
        <v/>
      </c>
      <c r="R49" s="543"/>
      <c r="S49" s="547" t="str">
        <f>IF(KLIŠE!O5="","",KLIŠE!O5)</f>
        <v/>
      </c>
      <c r="T49" s="548"/>
      <c r="V49" s="300"/>
      <c r="W49" s="75"/>
      <c r="X49" s="300"/>
      <c r="Y49" s="300"/>
      <c r="Z49" s="525"/>
      <c r="AA49" s="8"/>
      <c r="AB49" s="8"/>
      <c r="AC49" s="8"/>
      <c r="AD49" s="8"/>
      <c r="AE49" s="8"/>
      <c r="AF49" s="8"/>
      <c r="AG49" s="8"/>
      <c r="AH49" s="8"/>
      <c r="AJ49" s="525"/>
      <c r="AK49" s="542" t="s">
        <v>38</v>
      </c>
      <c r="AL49" s="542"/>
      <c r="AM49" s="2" t="str">
        <f>IF(AM46="","",IF(AM46=1,"",IF(AM46=2,((AG35/$U$12)/1000),IF(AM46=3,((AG35/$U$12)/1000)*2,IF(AM46=4,"",IF(AM46=5,""))))))</f>
        <v/>
      </c>
      <c r="AN49" s="4"/>
      <c r="AO49" s="543" t="str">
        <f>IF(AM49="","",AM49*17)</f>
        <v/>
      </c>
      <c r="AP49" s="543"/>
      <c r="AQ49" s="546" t="str">
        <f>IF($S$49="","",$S$49/$G$19*I19)</f>
        <v/>
      </c>
      <c r="AR49" s="549"/>
      <c r="AS49" s="300"/>
      <c r="AT49" s="300"/>
      <c r="AU49" s="525"/>
      <c r="AV49" s="8"/>
      <c r="AW49" s="8"/>
      <c r="AX49" s="8"/>
      <c r="AY49" s="8"/>
      <c r="AZ49" s="8"/>
      <c r="BA49" s="8"/>
      <c r="BB49" s="8"/>
      <c r="BC49" s="8"/>
      <c r="BE49" s="525"/>
      <c r="BF49" s="542" t="s">
        <v>38</v>
      </c>
      <c r="BG49" s="542"/>
      <c r="BH49" s="2" t="str">
        <f>IF(BH46="","",IF(BH46=1,"",IF(BH46=2,((BB35/$U$12)/1000),IF(BH46=3,((BB35/$U$12)/1000)*2,IF(BH46=4,"",IF(BH46=5,""))))))</f>
        <v/>
      </c>
      <c r="BI49" s="4"/>
      <c r="BJ49" s="543" t="str">
        <f>IF(BH49="","",BH49*17)</f>
        <v/>
      </c>
      <c r="BK49" s="543"/>
      <c r="BL49" s="546" t="str">
        <f>IF($S$49="","",$S$49/$G$19*M19)</f>
        <v/>
      </c>
      <c r="BM49" s="549"/>
      <c r="BN49" s="298"/>
      <c r="BP49" s="525"/>
      <c r="BQ49" s="8"/>
      <c r="BR49" s="8"/>
      <c r="BS49" s="8"/>
      <c r="BT49" s="8"/>
      <c r="BU49" s="8"/>
      <c r="BV49" s="8"/>
      <c r="BW49" s="8"/>
      <c r="BX49" s="8"/>
      <c r="BZ49" s="525"/>
      <c r="CA49" s="542" t="s">
        <v>38</v>
      </c>
      <c r="CB49" s="542"/>
      <c r="CC49" s="303"/>
      <c r="CD49" s="2" t="str">
        <f>IF(CD46="","",IF(CD46=1,"",IF(CD46=2,((BW35/$U$12)/1000),IF(CD46=3,((BW35/$U$12)/1000)*2,IF(CD46=4,"",IF(CD46=5,""))))))</f>
        <v/>
      </c>
      <c r="CE49" s="4"/>
      <c r="CF49" s="543" t="str">
        <f>IF(CD49="","",CD49*17)</f>
        <v/>
      </c>
      <c r="CG49" s="543"/>
      <c r="CH49" s="546" t="str">
        <f>IF($S$49="","",$S$49/$G$19*G29)</f>
        <v/>
      </c>
      <c r="CI49" s="549"/>
      <c r="CL49" s="525"/>
      <c r="CM49" s="8"/>
      <c r="CN49" s="8"/>
      <c r="CO49" s="8"/>
      <c r="CP49" s="8"/>
      <c r="CQ49" s="8"/>
      <c r="CR49" s="8"/>
      <c r="CS49" s="8"/>
      <c r="CT49" s="8"/>
      <c r="CV49" s="525"/>
      <c r="CW49" s="542" t="s">
        <v>38</v>
      </c>
      <c r="CX49" s="542"/>
      <c r="CY49" s="303"/>
      <c r="CZ49" s="2" t="str">
        <f>IF(CZ46="","",IF(CZ46=1,"",IF(CZ46=2,((CS35/$U$12)/1000),IF(CZ46=3,((CS35/$U$12)/1000)*2,IF(CZ46=4,"",IF(CZ46=5,""))))))</f>
        <v/>
      </c>
      <c r="DA49" s="4"/>
      <c r="DB49" s="543" t="str">
        <f>IF(CZ49="","",CZ49*17)</f>
        <v/>
      </c>
      <c r="DC49" s="543"/>
      <c r="DD49" s="546" t="str">
        <f>IF($S$49="","",$S$49/$G$19*I29)</f>
        <v/>
      </c>
      <c r="DE49" s="549"/>
      <c r="DH49" s="525"/>
      <c r="DI49" s="8"/>
      <c r="DJ49" s="8"/>
      <c r="DK49" s="8"/>
      <c r="DL49" s="8"/>
      <c r="DM49" s="8"/>
      <c r="DN49" s="8"/>
      <c r="DO49" s="8"/>
      <c r="DP49" s="8"/>
      <c r="DR49" s="525"/>
      <c r="DS49" s="542" t="s">
        <v>38</v>
      </c>
      <c r="DT49" s="542"/>
      <c r="DU49" s="303"/>
      <c r="DV49" s="2" t="str">
        <f>IF(DV46="","",IF(DV46=1,"",IF(DV46=2,((DO35/$U$12)/1000),IF(DV46=3,((DO35/$U$12)/1000)*2,IF(DV46=4,"",IF(DV46=5,""))))))</f>
        <v/>
      </c>
      <c r="DW49" s="4"/>
      <c r="DX49" s="543" t="str">
        <f>IF(DV49="","",DV49*17)</f>
        <v/>
      </c>
      <c r="DY49" s="543"/>
      <c r="DZ49" s="546" t="str">
        <f>IF($S$49="","",$S$49/$G$19*M29)</f>
        <v/>
      </c>
      <c r="EA49" s="549"/>
    </row>
    <row r="50" spans="1:131" ht="15" customHeight="1" thickBot="1" x14ac:dyDescent="0.3">
      <c r="A50" s="526"/>
      <c r="B50" s="550" t="s">
        <v>8</v>
      </c>
      <c r="C50" s="550"/>
      <c r="D50" s="550"/>
      <c r="E50" s="5"/>
      <c r="F50" s="5"/>
      <c r="G50" s="5"/>
      <c r="H50" s="551">
        <f>SUM(H47:I49)</f>
        <v>138</v>
      </c>
      <c r="I50" s="552"/>
      <c r="K50" s="525"/>
      <c r="L50" s="553" t="s">
        <v>55</v>
      </c>
      <c r="M50" s="542"/>
      <c r="N50" s="8"/>
      <c r="O50" s="2" t="str">
        <f>IF(O46="","",IF(O46=1,"",IF(O46=2,"",IF(O46=3,"",IF(O46=4,"",IF(O46=5,G14/1000))))))</f>
        <v/>
      </c>
      <c r="P50" s="8"/>
      <c r="Q50" s="543" t="str">
        <f>IF(O50="","",O50*17)</f>
        <v/>
      </c>
      <c r="R50" s="543"/>
      <c r="S50" s="4"/>
      <c r="T50" s="8"/>
      <c r="V50" s="300"/>
      <c r="W50" s="75"/>
      <c r="X50" s="305"/>
      <c r="Y50" s="305"/>
      <c r="Z50" s="526"/>
      <c r="AA50" s="550" t="s">
        <v>8</v>
      </c>
      <c r="AB50" s="550"/>
      <c r="AC50" s="550"/>
      <c r="AD50" s="5"/>
      <c r="AE50" s="5"/>
      <c r="AF50" s="5"/>
      <c r="AG50" s="551">
        <f>SUM(AG47:AH49)</f>
        <v>93</v>
      </c>
      <c r="AH50" s="552"/>
      <c r="AJ50" s="525"/>
      <c r="AK50" s="8"/>
      <c r="AL50" s="8"/>
      <c r="AM50" s="2" t="str">
        <f>IF(AM46="","",IF(AM46=1,"",IF(AM46=2,"",IF(AM46=3,"",IF(AM46=4,"",IF(AM46=5,J14/1000))))))</f>
        <v/>
      </c>
      <c r="AN50" s="8"/>
      <c r="AO50" s="543" t="str">
        <f>IF(AM50="","",AM50*17)</f>
        <v/>
      </c>
      <c r="AP50" s="543"/>
      <c r="AQ50" s="4"/>
      <c r="AR50" s="8"/>
      <c r="AS50" s="300"/>
      <c r="AT50" s="300"/>
      <c r="AU50" s="526"/>
      <c r="AV50" s="550" t="s">
        <v>8</v>
      </c>
      <c r="AW50" s="550"/>
      <c r="AX50" s="550"/>
      <c r="AY50" s="5"/>
      <c r="AZ50" s="5"/>
      <c r="BA50" s="5"/>
      <c r="BB50" s="551">
        <f>SUM(BB47:BC49)</f>
        <v>93</v>
      </c>
      <c r="BC50" s="552"/>
      <c r="BE50" s="525"/>
      <c r="BF50" s="8"/>
      <c r="BG50" s="8"/>
      <c r="BH50" s="2" t="str">
        <f>IF(BH46="","",IF(BH46=1,"",IF(BH46=2,"",IF(BH46=3,"",IF(BH46=4,"",IF(BH46=5,M14/1000))))))</f>
        <v/>
      </c>
      <c r="BI50" s="8"/>
      <c r="BJ50" s="543" t="str">
        <f>IF(BH50="","",BH50*17)</f>
        <v/>
      </c>
      <c r="BK50" s="543"/>
      <c r="BL50" s="554"/>
      <c r="BM50" s="555"/>
      <c r="BN50" s="298"/>
      <c r="BP50" s="526"/>
      <c r="BQ50" s="550" t="s">
        <v>8</v>
      </c>
      <c r="BR50" s="550"/>
      <c r="BS50" s="550"/>
      <c r="BT50" s="5"/>
      <c r="BU50" s="5"/>
      <c r="BV50" s="5"/>
      <c r="BW50" s="551">
        <f>SUM(BW47:BX49)</f>
        <v>93</v>
      </c>
      <c r="BX50" s="552"/>
      <c r="BZ50" s="525"/>
      <c r="CA50" s="553" t="s">
        <v>55</v>
      </c>
      <c r="CB50" s="542"/>
      <c r="CC50" s="8"/>
      <c r="CD50" s="2" t="str">
        <f>IF(CD46="","",IF(CD46=1,"",IF(CD46=2,"",IF(CD46=3,"",IF(CD46=4,"",IF(CD46=5,G24/1000))))))</f>
        <v/>
      </c>
      <c r="CE50" s="8"/>
      <c r="CF50" s="543" t="str">
        <f>IF(CD50="","",CD50*17)</f>
        <v/>
      </c>
      <c r="CG50" s="543"/>
      <c r="CH50" s="4"/>
      <c r="CI50" s="8"/>
      <c r="CL50" s="526"/>
      <c r="CM50" s="550" t="s">
        <v>8</v>
      </c>
      <c r="CN50" s="550"/>
      <c r="CO50" s="550"/>
      <c r="CP50" s="5"/>
      <c r="CQ50" s="5"/>
      <c r="CR50" s="5"/>
      <c r="CS50" s="551">
        <f>SUM(CS47:CT49)</f>
        <v>93</v>
      </c>
      <c r="CT50" s="552"/>
      <c r="CV50" s="525"/>
      <c r="CW50" s="553" t="s">
        <v>55</v>
      </c>
      <c r="CX50" s="542"/>
      <c r="CY50" s="8"/>
      <c r="CZ50" s="2" t="str">
        <f>IF(CZ46="","",IF(CZ46=1,"",IF(CZ46=2,"",IF(CZ46=3,"",IF(CZ46=4,"",IF(CZ46=5,J24/1000))))))</f>
        <v/>
      </c>
      <c r="DA50" s="8"/>
      <c r="DB50" s="543" t="str">
        <f>IF(CZ50="","",CZ50*17)</f>
        <v/>
      </c>
      <c r="DC50" s="543"/>
      <c r="DD50" s="4"/>
      <c r="DE50" s="8"/>
      <c r="DH50" s="526"/>
      <c r="DI50" s="550" t="s">
        <v>8</v>
      </c>
      <c r="DJ50" s="550"/>
      <c r="DK50" s="550"/>
      <c r="DL50" s="5"/>
      <c r="DM50" s="5"/>
      <c r="DN50" s="5"/>
      <c r="DO50" s="551">
        <f>SUM(DO47:DP49)</f>
        <v>93</v>
      </c>
      <c r="DP50" s="552"/>
      <c r="DR50" s="525"/>
      <c r="DS50" s="553" t="s">
        <v>55</v>
      </c>
      <c r="DT50" s="542"/>
      <c r="DU50" s="8"/>
      <c r="DV50" s="2" t="str">
        <f>IF(DV46="","",IF(DV46=1,"",IF(DV46=2,"",IF(DV46=3,"",IF(DV46=4,"",IF(DV46=5,M24/1000))))))</f>
        <v/>
      </c>
      <c r="DW50" s="8"/>
      <c r="DX50" s="543" t="str">
        <f>IF(DV50="","",DV50*17)</f>
        <v/>
      </c>
      <c r="DY50" s="543"/>
      <c r="DZ50" s="4"/>
      <c r="EA50" s="8"/>
    </row>
    <row r="51" spans="1:131" x14ac:dyDescent="0.2">
      <c r="K51" s="525"/>
      <c r="L51" s="4"/>
      <c r="M51" s="4"/>
      <c r="N51" s="4"/>
      <c r="O51" s="4"/>
      <c r="P51" s="4"/>
      <c r="Q51" s="4"/>
      <c r="R51" s="4"/>
      <c r="S51" s="4"/>
      <c r="T51" s="4"/>
      <c r="V51" s="300"/>
      <c r="W51" s="300"/>
      <c r="AJ51" s="525"/>
      <c r="AK51" s="4"/>
      <c r="AL51" s="4"/>
      <c r="AM51" s="4"/>
      <c r="AN51" s="4"/>
      <c r="AO51" s="4"/>
      <c r="AP51" s="4"/>
      <c r="AQ51" s="4"/>
      <c r="AR51" s="4"/>
      <c r="AS51" s="300"/>
      <c r="AT51" s="300"/>
      <c r="BE51" s="525"/>
      <c r="BF51" s="4"/>
      <c r="BG51" s="4"/>
      <c r="BH51" s="4"/>
      <c r="BI51" s="4"/>
      <c r="BJ51" s="4"/>
      <c r="BK51" s="4"/>
      <c r="BL51" s="4"/>
      <c r="BM51" s="4"/>
      <c r="BN51" s="298"/>
      <c r="BZ51" s="525"/>
      <c r="CA51" s="4"/>
      <c r="CB51" s="4"/>
      <c r="CC51" s="4"/>
      <c r="CD51" s="4"/>
      <c r="CE51" s="4"/>
      <c r="CF51" s="4"/>
      <c r="CG51" s="4"/>
      <c r="CH51" s="4"/>
      <c r="CI51" s="4"/>
      <c r="CV51" s="525"/>
      <c r="CW51" s="4"/>
      <c r="CX51" s="4"/>
      <c r="CY51" s="4"/>
      <c r="CZ51" s="4"/>
      <c r="DA51" s="4"/>
      <c r="DB51" s="4"/>
      <c r="DC51" s="4"/>
      <c r="DD51" s="4"/>
      <c r="DE51" s="4"/>
      <c r="DR51" s="525"/>
      <c r="DS51" s="4"/>
      <c r="DT51" s="4"/>
      <c r="DU51" s="4"/>
      <c r="DV51" s="4"/>
      <c r="DW51" s="4"/>
      <c r="DX51" s="4"/>
      <c r="DY51" s="4"/>
      <c r="DZ51" s="4"/>
      <c r="EA51" s="4"/>
    </row>
    <row r="52" spans="1:131" ht="15" x14ac:dyDescent="0.2">
      <c r="A52" s="536" t="s">
        <v>9</v>
      </c>
      <c r="B52" s="537"/>
      <c r="C52" s="537"/>
      <c r="D52" s="538"/>
      <c r="E52" s="30"/>
      <c r="F52" s="30"/>
      <c r="G52" s="30"/>
      <c r="H52" s="30"/>
      <c r="I52" s="30"/>
      <c r="K52" s="525"/>
      <c r="L52" s="531" t="s">
        <v>18</v>
      </c>
      <c r="M52" s="531"/>
      <c r="N52" s="302"/>
      <c r="O52" s="85"/>
      <c r="P52" s="4"/>
      <c r="Q52" s="4"/>
      <c r="R52" s="4"/>
      <c r="S52" s="4"/>
      <c r="T52" s="4"/>
      <c r="V52" s="300"/>
      <c r="W52" s="299"/>
      <c r="Z52" s="536" t="s">
        <v>9</v>
      </c>
      <c r="AA52" s="537"/>
      <c r="AB52" s="537"/>
      <c r="AC52" s="538"/>
      <c r="AD52" s="30"/>
      <c r="AE52" s="30"/>
      <c r="AF52" s="30"/>
      <c r="AG52" s="30"/>
      <c r="AH52" s="30"/>
      <c r="AJ52" s="525"/>
      <c r="AK52" s="531" t="s">
        <v>18</v>
      </c>
      <c r="AL52" s="531"/>
      <c r="AM52" s="74" t="str">
        <f>IF(O52="","",O52)</f>
        <v/>
      </c>
      <c r="AN52" s="4"/>
      <c r="AO52" s="4"/>
      <c r="AP52" s="4"/>
      <c r="AQ52" s="4"/>
      <c r="AR52" s="4"/>
      <c r="AS52" s="300"/>
      <c r="AT52" s="300"/>
      <c r="AU52" s="536" t="s">
        <v>9</v>
      </c>
      <c r="AV52" s="537"/>
      <c r="AW52" s="537"/>
      <c r="AX52" s="538"/>
      <c r="AY52" s="30"/>
      <c r="AZ52" s="30"/>
      <c r="BA52" s="30"/>
      <c r="BB52" s="30"/>
      <c r="BC52" s="30"/>
      <c r="BE52" s="525"/>
      <c r="BF52" s="531" t="s">
        <v>18</v>
      </c>
      <c r="BG52" s="531"/>
      <c r="BH52" s="74" t="str">
        <f>IF(O52="","",O52)</f>
        <v/>
      </c>
      <c r="BI52" s="4"/>
      <c r="BJ52" s="4"/>
      <c r="BK52" s="4"/>
      <c r="BL52" s="4"/>
      <c r="BM52" s="4"/>
      <c r="BN52" s="298"/>
      <c r="BP52" s="536" t="s">
        <v>9</v>
      </c>
      <c r="BQ52" s="537"/>
      <c r="BR52" s="537"/>
      <c r="BS52" s="538"/>
      <c r="BT52" s="30"/>
      <c r="BU52" s="30"/>
      <c r="BV52" s="30"/>
      <c r="BW52" s="30"/>
      <c r="BX52" s="30"/>
      <c r="BZ52" s="525"/>
      <c r="CA52" s="531" t="s">
        <v>18</v>
      </c>
      <c r="CB52" s="531"/>
      <c r="CC52" s="302"/>
      <c r="CD52" s="74" t="str">
        <f>BH52</f>
        <v/>
      </c>
      <c r="CE52" s="4"/>
      <c r="CF52" s="4"/>
      <c r="CG52" s="4"/>
      <c r="CH52" s="4"/>
      <c r="CI52" s="4"/>
      <c r="CL52" s="536" t="s">
        <v>9</v>
      </c>
      <c r="CM52" s="537"/>
      <c r="CN52" s="537"/>
      <c r="CO52" s="538"/>
      <c r="CP52" s="30"/>
      <c r="CQ52" s="30"/>
      <c r="CR52" s="30"/>
      <c r="CS52" s="30"/>
      <c r="CT52" s="30"/>
      <c r="CV52" s="525"/>
      <c r="CW52" s="531" t="s">
        <v>18</v>
      </c>
      <c r="CX52" s="531"/>
      <c r="CY52" s="302"/>
      <c r="CZ52" s="74" t="str">
        <f>CD52</f>
        <v/>
      </c>
      <c r="DA52" s="4"/>
      <c r="DB52" s="4"/>
      <c r="DC52" s="4"/>
      <c r="DD52" s="4"/>
      <c r="DE52" s="4"/>
      <c r="DH52" s="536" t="s">
        <v>9</v>
      </c>
      <c r="DI52" s="537"/>
      <c r="DJ52" s="537"/>
      <c r="DK52" s="538"/>
      <c r="DL52" s="30"/>
      <c r="DM52" s="30"/>
      <c r="DN52" s="30"/>
      <c r="DO52" s="30"/>
      <c r="DP52" s="30"/>
      <c r="DR52" s="525"/>
      <c r="DS52" s="531" t="s">
        <v>18</v>
      </c>
      <c r="DT52" s="531"/>
      <c r="DU52" s="302"/>
      <c r="DV52" s="74" t="str">
        <f>CZ52</f>
        <v/>
      </c>
      <c r="DW52" s="4"/>
      <c r="DX52" s="4"/>
      <c r="DY52" s="4"/>
      <c r="DZ52" s="4"/>
      <c r="EA52" s="4"/>
    </row>
    <row r="53" spans="1:131" x14ac:dyDescent="0.2">
      <c r="A53" s="539" t="s">
        <v>57</v>
      </c>
      <c r="B53" s="4"/>
      <c r="C53" s="4"/>
      <c r="D53" s="4"/>
      <c r="E53" s="4"/>
      <c r="F53" s="4"/>
      <c r="G53" s="4"/>
      <c r="H53" s="4"/>
      <c r="I53" s="4"/>
      <c r="K53" s="525"/>
      <c r="L53" s="542" t="s">
        <v>10</v>
      </c>
      <c r="M53" s="542"/>
      <c r="N53" s="303"/>
      <c r="O53" s="3" t="str">
        <f>IF($O$52="","",IF($O$52=1,2,IF($O$52=2,3,IF($O$52=3,4,IF($O$52=4,1.5)))))</f>
        <v/>
      </c>
      <c r="P53" s="4"/>
      <c r="Q53" s="546" t="str">
        <f>IF(O53="","",O53*45)</f>
        <v/>
      </c>
      <c r="R53" s="546"/>
      <c r="S53" s="4"/>
      <c r="T53" s="8"/>
      <c r="V53" s="300"/>
      <c r="W53" s="76"/>
      <c r="Z53" s="539" t="s">
        <v>57</v>
      </c>
      <c r="AA53" s="4"/>
      <c r="AB53" s="4"/>
      <c r="AC53" s="4"/>
      <c r="AD53" s="4"/>
      <c r="AE53" s="4"/>
      <c r="AF53" s="4"/>
      <c r="AG53" s="4"/>
      <c r="AH53" s="4"/>
      <c r="AJ53" s="525"/>
      <c r="AK53" s="542" t="s">
        <v>10</v>
      </c>
      <c r="AL53" s="542"/>
      <c r="AM53" s="3" t="str">
        <f>IF($O$52="","",IF($O$52=1,2,IF($O$52=2,3,IF($O$52=3,4,IF($O$52=4,1.5)))))</f>
        <v/>
      </c>
      <c r="AN53" s="4"/>
      <c r="AO53" s="546" t="str">
        <f>IF(AM53="","",AM53*45)</f>
        <v/>
      </c>
      <c r="AP53" s="546"/>
      <c r="AQ53" s="4"/>
      <c r="AR53" s="8"/>
      <c r="AS53" s="300"/>
      <c r="AT53" s="300"/>
      <c r="AU53" s="539" t="s">
        <v>57</v>
      </c>
      <c r="AV53" s="4"/>
      <c r="AW53" s="4"/>
      <c r="AX53" s="4"/>
      <c r="AY53" s="4"/>
      <c r="AZ53" s="4"/>
      <c r="BA53" s="4"/>
      <c r="BB53" s="4"/>
      <c r="BC53" s="4"/>
      <c r="BE53" s="525"/>
      <c r="BF53" s="542" t="s">
        <v>10</v>
      </c>
      <c r="BG53" s="542"/>
      <c r="BH53" s="3" t="str">
        <f>IF($O$52="","",IF($O$52=1,2,IF($O$52=2,3,IF($O$52=3,4,IF($O$52=4,1.5)))))</f>
        <v/>
      </c>
      <c r="BI53" s="4"/>
      <c r="BJ53" s="546" t="str">
        <f>IF(BH53="","",BH53*45)</f>
        <v/>
      </c>
      <c r="BK53" s="546"/>
      <c r="BL53" s="4"/>
      <c r="BM53" s="8"/>
      <c r="BN53" s="298"/>
      <c r="BP53" s="539" t="s">
        <v>57</v>
      </c>
      <c r="BQ53" s="4"/>
      <c r="BR53" s="4"/>
      <c r="BS53" s="4"/>
      <c r="BT53" s="4"/>
      <c r="BU53" s="4"/>
      <c r="BV53" s="4"/>
      <c r="BW53" s="4"/>
      <c r="BX53" s="4"/>
      <c r="BZ53" s="525"/>
      <c r="CA53" s="542" t="s">
        <v>10</v>
      </c>
      <c r="CB53" s="542"/>
      <c r="CC53" s="303"/>
      <c r="CD53" s="3" t="str">
        <f>IF($O$52="","",IF($O$52=1,2,IF($O$52=2,3,IF($O$52=3,4,IF($O$52=4,1.5)))))</f>
        <v/>
      </c>
      <c r="CE53" s="4"/>
      <c r="CF53" s="546" t="str">
        <f>IF(CD53="","",CD53*45)</f>
        <v/>
      </c>
      <c r="CG53" s="546"/>
      <c r="CH53" s="4"/>
      <c r="CI53" s="8"/>
      <c r="CL53" s="539" t="s">
        <v>57</v>
      </c>
      <c r="CM53" s="4"/>
      <c r="CN53" s="4"/>
      <c r="CO53" s="4"/>
      <c r="CP53" s="4"/>
      <c r="CQ53" s="4"/>
      <c r="CR53" s="4"/>
      <c r="CS53" s="4"/>
      <c r="CT53" s="4"/>
      <c r="CV53" s="525"/>
      <c r="CW53" s="542" t="s">
        <v>10</v>
      </c>
      <c r="CX53" s="542"/>
      <c r="CY53" s="303"/>
      <c r="CZ53" s="3" t="str">
        <f>IF($O$52="","",IF($O$52=1,2,IF($O$52=2,3,IF($O$52=3,4,IF($O$52=4,1.5)))))</f>
        <v/>
      </c>
      <c r="DA53" s="4"/>
      <c r="DB53" s="546" t="str">
        <f>IF(CZ53="","",CZ53*45)</f>
        <v/>
      </c>
      <c r="DC53" s="546"/>
      <c r="DD53" s="4"/>
      <c r="DE53" s="8"/>
      <c r="DH53" s="539" t="s">
        <v>57</v>
      </c>
      <c r="DI53" s="4"/>
      <c r="DJ53" s="4"/>
      <c r="DK53" s="4"/>
      <c r="DL53" s="4"/>
      <c r="DM53" s="4"/>
      <c r="DN53" s="4"/>
      <c r="DO53" s="4"/>
      <c r="DP53" s="4"/>
      <c r="DR53" s="525"/>
      <c r="DS53" s="542" t="s">
        <v>10</v>
      </c>
      <c r="DT53" s="542"/>
      <c r="DU53" s="303"/>
      <c r="DV53" s="3" t="str">
        <f>IF($O$52="","",IF($O$52=1,2,IF($O$52=2,3,IF($O$52=3,4,IF($O$52=4,1.5)))))</f>
        <v/>
      </c>
      <c r="DW53" s="4"/>
      <c r="DX53" s="546" t="str">
        <f>IF(DV53="","",DV53*45)</f>
        <v/>
      </c>
      <c r="DY53" s="546"/>
      <c r="DZ53" s="4"/>
      <c r="EA53" s="8"/>
    </row>
    <row r="54" spans="1:131" x14ac:dyDescent="0.2">
      <c r="A54" s="540"/>
      <c r="B54" s="4"/>
      <c r="C54" s="4"/>
      <c r="D54" s="4"/>
      <c r="E54" s="4"/>
      <c r="F54" s="4"/>
      <c r="G54" s="4"/>
      <c r="H54" s="4"/>
      <c r="I54" s="4"/>
      <c r="J54" s="367" t="s">
        <v>23</v>
      </c>
      <c r="K54" s="525"/>
      <c r="L54" s="556" t="s">
        <v>55</v>
      </c>
      <c r="M54" s="542"/>
      <c r="N54" s="303"/>
      <c r="O54" s="3" t="str">
        <f>IF(O52="","",IF(O52=1,H35/($U$12)/3500,IF(O52=2,H35/($U$12)/3500,IF(O52=3,H35/($U$12)/3500*2,IF(O52=4,H35/($U$12)/3500)))))</f>
        <v/>
      </c>
      <c r="P54" s="4"/>
      <c r="Q54" s="543" t="str">
        <f>IF(O54="","",O54*45)</f>
        <v/>
      </c>
      <c r="R54" s="543"/>
      <c r="S54" s="4"/>
      <c r="T54" s="8"/>
      <c r="V54" s="300"/>
      <c r="W54" s="77"/>
      <c r="Z54" s="540"/>
      <c r="AA54" s="4"/>
      <c r="AB54" s="4"/>
      <c r="AC54" s="4"/>
      <c r="AD54" s="4"/>
      <c r="AE54" s="4"/>
      <c r="AF54" s="4"/>
      <c r="AG54" s="4"/>
      <c r="AH54" s="4"/>
      <c r="AJ54" s="525"/>
      <c r="AK54" s="556" t="s">
        <v>55</v>
      </c>
      <c r="AL54" s="542"/>
      <c r="AM54" s="3" t="str">
        <f>IF(AM52="","",IF(AM52=1,AG35/($U$12)/3500,IF(AM52=2,AG35/($U$12)/3500,IF(AM52=3,AG35/($U$12)/3500*2,IF(AM52=4,AG35/($U$12)/3500)))))</f>
        <v/>
      </c>
      <c r="AN54" s="4"/>
      <c r="AO54" s="543" t="str">
        <f>IF(AM54="","",AM54*45)</f>
        <v/>
      </c>
      <c r="AP54" s="543"/>
      <c r="AQ54" s="4"/>
      <c r="AR54" s="8"/>
      <c r="AS54" s="300"/>
      <c r="AT54" s="300"/>
      <c r="AU54" s="540"/>
      <c r="AV54" s="4"/>
      <c r="AW54" s="4"/>
      <c r="AX54" s="4"/>
      <c r="AY54" s="4"/>
      <c r="AZ54" s="4"/>
      <c r="BA54" s="4"/>
      <c r="BB54" s="4"/>
      <c r="BC54" s="4"/>
      <c r="BE54" s="525"/>
      <c r="BF54" s="556" t="s">
        <v>55</v>
      </c>
      <c r="BG54" s="542"/>
      <c r="BH54" s="3" t="str">
        <f>IF(BH52="","",IF(BH52=1,BB35/($U$12)/3500,IF(BH52=2,BB35/($U$12)/3500,IF(BH52=3,BB35/($U$12)/3500*2,IF(BH52=4,BB35/($U$12)/3500)))))</f>
        <v/>
      </c>
      <c r="BI54" s="4"/>
      <c r="BJ54" s="543" t="str">
        <f>IF(BH54="","",BH54*45)</f>
        <v/>
      </c>
      <c r="BK54" s="543"/>
      <c r="BL54" s="4"/>
      <c r="BM54" s="8"/>
      <c r="BN54" s="298"/>
      <c r="BP54" s="540"/>
      <c r="BQ54" s="4"/>
      <c r="BR54" s="4"/>
      <c r="BS54" s="4"/>
      <c r="BT54" s="4"/>
      <c r="BU54" s="4"/>
      <c r="BV54" s="4"/>
      <c r="BW54" s="4"/>
      <c r="BX54" s="4"/>
      <c r="BZ54" s="525"/>
      <c r="CA54" s="556" t="s">
        <v>55</v>
      </c>
      <c r="CB54" s="542"/>
      <c r="CC54" s="303"/>
      <c r="CD54" s="3" t="str">
        <f>IF(CD52="","",IF(CD52=1,BW35/($U$12)/3500,IF(CD52=2,BW35/($U$12)/3500,IF(CD52=3,BW35/($U$12)/3500*2,IF(CD52=4,BW35/($U$12)/3500)))))</f>
        <v/>
      </c>
      <c r="CE54" s="4"/>
      <c r="CF54" s="543" t="str">
        <f>IF(CD54="","",CD54*45)</f>
        <v/>
      </c>
      <c r="CG54" s="543"/>
      <c r="CH54" s="4"/>
      <c r="CI54" s="8"/>
      <c r="CL54" s="540"/>
      <c r="CM54" s="4"/>
      <c r="CN54" s="4"/>
      <c r="CO54" s="4"/>
      <c r="CP54" s="4"/>
      <c r="CQ54" s="4"/>
      <c r="CR54" s="4"/>
      <c r="CS54" s="4"/>
      <c r="CT54" s="4"/>
      <c r="CV54" s="525"/>
      <c r="CW54" s="556" t="s">
        <v>55</v>
      </c>
      <c r="CX54" s="542"/>
      <c r="CY54" s="303"/>
      <c r="CZ54" s="3" t="str">
        <f>IF(CZ52="","",IF(CZ52=1,CS35/($U$12)/3500,IF(CZ52=2,CS35/($U$12)/3500,IF(CZ52=3,CS35/($U$12)/3500*2,IF(CZ52=4,CS35/($U$12)/3500)))))</f>
        <v/>
      </c>
      <c r="DA54" s="4"/>
      <c r="DB54" s="543" t="str">
        <f>IF(CZ54="","",CZ54*45)</f>
        <v/>
      </c>
      <c r="DC54" s="543"/>
      <c r="DD54" s="4"/>
      <c r="DE54" s="8"/>
      <c r="DH54" s="540"/>
      <c r="DI54" s="4"/>
      <c r="DJ54" s="4"/>
      <c r="DK54" s="4"/>
      <c r="DL54" s="4"/>
      <c r="DM54" s="4"/>
      <c r="DN54" s="4"/>
      <c r="DO54" s="4"/>
      <c r="DP54" s="4"/>
      <c r="DR54" s="525"/>
      <c r="DS54" s="556" t="s">
        <v>55</v>
      </c>
      <c r="DT54" s="542"/>
      <c r="DU54" s="303"/>
      <c r="DV54" s="3" t="str">
        <f>IF(DV52="","",IF(DV52=1,DO35/($U$12)/3500,IF(DV52=2,DO35/($U$12)/3500,IF(DV52=3,DO35/($U$12)/3500*2,IF(DV52=4,DO35/($U$12)/3500)))))</f>
        <v/>
      </c>
      <c r="DW54" s="4"/>
      <c r="DX54" s="543" t="str">
        <f>IF(DV54="","",DV54*45)</f>
        <v/>
      </c>
      <c r="DY54" s="543"/>
      <c r="DZ54" s="4"/>
      <c r="EA54" s="8"/>
    </row>
    <row r="55" spans="1:131" ht="15" x14ac:dyDescent="0.2">
      <c r="A55" s="540"/>
      <c r="B55" s="13" t="s">
        <v>257</v>
      </c>
      <c r="C55" s="4"/>
      <c r="D55" s="84">
        <v>3</v>
      </c>
      <c r="E55" s="4"/>
      <c r="F55" s="4"/>
      <c r="G55" s="4"/>
      <c r="H55" s="4"/>
      <c r="I55" s="4"/>
      <c r="K55" s="525"/>
      <c r="L55" s="8"/>
      <c r="M55" s="8"/>
      <c r="N55" s="8"/>
      <c r="O55" s="8"/>
      <c r="P55" s="8"/>
      <c r="Q55" s="8"/>
      <c r="R55" s="8"/>
      <c r="S55" s="4"/>
      <c r="T55" s="8"/>
      <c r="V55" s="300"/>
      <c r="W55" s="77"/>
      <c r="Z55" s="540"/>
      <c r="AA55" s="13" t="s">
        <v>12</v>
      </c>
      <c r="AB55" s="4"/>
      <c r="AC55" s="193">
        <f>IF(D55="","",D55)</f>
        <v>3</v>
      </c>
      <c r="AD55" s="4"/>
      <c r="AE55" s="4"/>
      <c r="AF55" s="4"/>
      <c r="AG55" s="4"/>
      <c r="AH55" s="4"/>
      <c r="AJ55" s="525"/>
      <c r="AK55" s="8"/>
      <c r="AL55" s="8"/>
      <c r="AM55" s="8"/>
      <c r="AN55" s="8"/>
      <c r="AO55" s="8"/>
      <c r="AP55" s="8"/>
      <c r="AQ55" s="4"/>
      <c r="AR55" s="8"/>
      <c r="AS55" s="300"/>
      <c r="AT55" s="300"/>
      <c r="AU55" s="540"/>
      <c r="AV55" s="13" t="s">
        <v>12</v>
      </c>
      <c r="AW55" s="4"/>
      <c r="AX55" s="193">
        <f>IF(D55="","",D55)</f>
        <v>3</v>
      </c>
      <c r="AY55" s="4"/>
      <c r="AZ55" s="4"/>
      <c r="BA55" s="4"/>
      <c r="BB55" s="4"/>
      <c r="BC55" s="4"/>
      <c r="BE55" s="525"/>
      <c r="BF55" s="8"/>
      <c r="BG55" s="8"/>
      <c r="BH55" s="8"/>
      <c r="BI55" s="8"/>
      <c r="BJ55" s="8"/>
      <c r="BK55" s="8"/>
      <c r="BL55" s="4"/>
      <c r="BM55" s="8"/>
      <c r="BN55" s="298"/>
      <c r="BP55" s="540"/>
      <c r="BQ55" s="13" t="s">
        <v>12</v>
      </c>
      <c r="BR55" s="4"/>
      <c r="BS55" s="193">
        <f>AX55</f>
        <v>3</v>
      </c>
      <c r="BT55" s="4"/>
      <c r="BU55" s="4"/>
      <c r="BV55" s="4"/>
      <c r="BW55" s="4"/>
      <c r="BX55" s="4"/>
      <c r="BZ55" s="525"/>
      <c r="CA55" s="8"/>
      <c r="CB55" s="8"/>
      <c r="CC55" s="8"/>
      <c r="CD55" s="8"/>
      <c r="CE55" s="8"/>
      <c r="CF55" s="8"/>
      <c r="CG55" s="8"/>
      <c r="CH55" s="4"/>
      <c r="CI55" s="8"/>
      <c r="CL55" s="540"/>
      <c r="CM55" s="13" t="s">
        <v>12</v>
      </c>
      <c r="CN55" s="4"/>
      <c r="CO55" s="193">
        <f>BS55</f>
        <v>3</v>
      </c>
      <c r="CP55" s="4"/>
      <c r="CQ55" s="4"/>
      <c r="CR55" s="4"/>
      <c r="CS55" s="4"/>
      <c r="CT55" s="4"/>
      <c r="CV55" s="525"/>
      <c r="CW55" s="8"/>
      <c r="CX55" s="8"/>
      <c r="CY55" s="8"/>
      <c r="CZ55" s="8"/>
      <c r="DA55" s="8"/>
      <c r="DB55" s="8"/>
      <c r="DC55" s="8"/>
      <c r="DD55" s="4"/>
      <c r="DE55" s="8"/>
      <c r="DH55" s="540"/>
      <c r="DI55" s="13" t="s">
        <v>12</v>
      </c>
      <c r="DJ55" s="4"/>
      <c r="DK55" s="193">
        <f>CO55</f>
        <v>3</v>
      </c>
      <c r="DL55" s="4"/>
      <c r="DM55" s="4"/>
      <c r="DN55" s="4"/>
      <c r="DO55" s="4"/>
      <c r="DP55" s="4"/>
      <c r="DR55" s="525"/>
      <c r="DS55" s="8"/>
      <c r="DT55" s="8"/>
      <c r="DU55" s="8"/>
      <c r="DV55" s="8"/>
      <c r="DW55" s="8"/>
      <c r="DX55" s="8"/>
      <c r="DY55" s="8"/>
      <c r="DZ55" s="4"/>
      <c r="EA55" s="8"/>
    </row>
    <row r="56" spans="1:131" x14ac:dyDescent="0.2">
      <c r="A56" s="540"/>
      <c r="B56" s="542" t="s">
        <v>10</v>
      </c>
      <c r="C56" s="542"/>
      <c r="D56" s="86">
        <v>0.5</v>
      </c>
      <c r="E56" s="4"/>
      <c r="F56" s="546">
        <f>IF(D56="","",D56*67)</f>
        <v>33.5</v>
      </c>
      <c r="G56" s="546"/>
      <c r="H56" s="4"/>
      <c r="I56" s="4"/>
      <c r="K56" s="525"/>
      <c r="L56" s="531" t="s">
        <v>36</v>
      </c>
      <c r="M56" s="531"/>
      <c r="N56" s="531"/>
      <c r="O56" s="531"/>
      <c r="P56" s="527"/>
      <c r="Q56" s="527"/>
      <c r="R56" s="527"/>
      <c r="S56" s="4"/>
      <c r="T56" s="4"/>
      <c r="V56" s="300"/>
      <c r="W56" s="77"/>
      <c r="Z56" s="540"/>
      <c r="AA56" s="542" t="s">
        <v>10</v>
      </c>
      <c r="AB56" s="542"/>
      <c r="AC56" s="194">
        <f>IF(D56="","",D56)</f>
        <v>0.5</v>
      </c>
      <c r="AD56" s="4"/>
      <c r="AE56" s="546">
        <f>IF(AC56="","",AC56*67)</f>
        <v>33.5</v>
      </c>
      <c r="AF56" s="546"/>
      <c r="AG56" s="4"/>
      <c r="AH56" s="4"/>
      <c r="AJ56" s="525"/>
      <c r="AK56" s="531" t="s">
        <v>36</v>
      </c>
      <c r="AL56" s="531"/>
      <c r="AM56" s="531"/>
      <c r="AN56" s="527"/>
      <c r="AO56" s="527"/>
      <c r="AP56" s="527"/>
      <c r="AQ56" s="4"/>
      <c r="AR56" s="4"/>
      <c r="AS56" s="300"/>
      <c r="AT56" s="300"/>
      <c r="AU56" s="540"/>
      <c r="AV56" s="542" t="s">
        <v>10</v>
      </c>
      <c r="AW56" s="542"/>
      <c r="AX56" s="194">
        <f>IF(D56="","",D56)</f>
        <v>0.5</v>
      </c>
      <c r="AY56" s="4"/>
      <c r="AZ56" s="546">
        <f>IF(AX56="","",AX56*67)</f>
        <v>33.5</v>
      </c>
      <c r="BA56" s="546"/>
      <c r="BB56" s="4"/>
      <c r="BC56" s="4"/>
      <c r="BE56" s="525"/>
      <c r="BF56" s="531" t="s">
        <v>36</v>
      </c>
      <c r="BG56" s="531"/>
      <c r="BH56" s="531"/>
      <c r="BI56" s="527"/>
      <c r="BJ56" s="527"/>
      <c r="BK56" s="527"/>
      <c r="BL56" s="4"/>
      <c r="BM56" s="4"/>
      <c r="BN56" s="298"/>
      <c r="BP56" s="540"/>
      <c r="BQ56" s="542" t="s">
        <v>10</v>
      </c>
      <c r="BR56" s="542"/>
      <c r="BS56" s="194">
        <f>AX56</f>
        <v>0.5</v>
      </c>
      <c r="BT56" s="4"/>
      <c r="BU56" s="546">
        <f>IF(BS56="","",BS56*67)</f>
        <v>33.5</v>
      </c>
      <c r="BV56" s="546"/>
      <c r="BW56" s="4"/>
      <c r="BX56" s="4"/>
      <c r="BZ56" s="525"/>
      <c r="CA56" s="531" t="s">
        <v>36</v>
      </c>
      <c r="CB56" s="531"/>
      <c r="CC56" s="531"/>
      <c r="CD56" s="531"/>
      <c r="CE56" s="527"/>
      <c r="CF56" s="527"/>
      <c r="CG56" s="527"/>
      <c r="CH56" s="4"/>
      <c r="CI56" s="4"/>
      <c r="CL56" s="540"/>
      <c r="CM56" s="542" t="s">
        <v>10</v>
      </c>
      <c r="CN56" s="542"/>
      <c r="CO56" s="194">
        <f>BS56</f>
        <v>0.5</v>
      </c>
      <c r="CP56" s="4"/>
      <c r="CQ56" s="546">
        <f>IF(CO56="","",CO56*67)</f>
        <v>33.5</v>
      </c>
      <c r="CR56" s="546"/>
      <c r="CS56" s="4"/>
      <c r="CT56" s="4"/>
      <c r="CV56" s="525"/>
      <c r="CW56" s="531" t="s">
        <v>36</v>
      </c>
      <c r="CX56" s="531"/>
      <c r="CY56" s="531"/>
      <c r="CZ56" s="531"/>
      <c r="DA56" s="527"/>
      <c r="DB56" s="527"/>
      <c r="DC56" s="527"/>
      <c r="DD56" s="4"/>
      <c r="DE56" s="4"/>
      <c r="DH56" s="540"/>
      <c r="DI56" s="542" t="s">
        <v>10</v>
      </c>
      <c r="DJ56" s="542"/>
      <c r="DK56" s="194">
        <f>CO56</f>
        <v>0.5</v>
      </c>
      <c r="DL56" s="4"/>
      <c r="DM56" s="546">
        <f>IF(DK56="","",DK56*67)</f>
        <v>33.5</v>
      </c>
      <c r="DN56" s="546"/>
      <c r="DO56" s="4"/>
      <c r="DP56" s="4"/>
      <c r="DR56" s="525"/>
      <c r="DS56" s="531" t="s">
        <v>36</v>
      </c>
      <c r="DT56" s="531"/>
      <c r="DU56" s="531"/>
      <c r="DV56" s="531"/>
      <c r="DW56" s="527"/>
      <c r="DX56" s="527"/>
      <c r="DY56" s="527"/>
      <c r="DZ56" s="4"/>
      <c r="EA56" s="4"/>
    </row>
    <row r="57" spans="1:131" x14ac:dyDescent="0.2">
      <c r="A57" s="540"/>
      <c r="B57" s="542" t="s">
        <v>11</v>
      </c>
      <c r="C57" s="542"/>
      <c r="D57" s="3">
        <f>IF(D55="","",IF(D55=1,(H35/$U$12)/6000,IF(D55=2,(H35/$U$12*2)/6000,IF(D55=3,(H35/$U$12*2)/6000,IF(D57&lt;=0.25,0.25)))))</f>
        <v>0.16666666666666666</v>
      </c>
      <c r="E57" s="4"/>
      <c r="F57" s="543">
        <f>IF(D57="","",IF(D57&lt;=0.25,0.25*67,D57*67))</f>
        <v>16.75</v>
      </c>
      <c r="G57" s="543"/>
      <c r="H57" s="4"/>
      <c r="I57" s="4"/>
      <c r="J57" s="30"/>
      <c r="K57" s="525"/>
      <c r="L57" s="8"/>
      <c r="M57" s="8"/>
      <c r="N57" s="8"/>
      <c r="O57" s="85"/>
      <c r="P57" s="8"/>
      <c r="Q57" s="8"/>
      <c r="R57" s="8"/>
      <c r="S57" s="8"/>
      <c r="T57" s="8"/>
      <c r="V57" s="300"/>
      <c r="W57" s="77"/>
      <c r="Z57" s="540"/>
      <c r="AA57" s="542" t="s">
        <v>11</v>
      </c>
      <c r="AB57" s="542"/>
      <c r="AC57" s="3">
        <f>IF(AC55="","",IF(AC55=1,(AG35/$U$12)/3500,IF(AC55=2,(AG35/$U$12*2)/3500,IF(AC55=3,(AG35/$U$12*2)/3500,IF(AC57&lt;=0.25,0.5)))))</f>
        <v>0.5714285714285714</v>
      </c>
      <c r="AD57" s="4"/>
      <c r="AE57" s="543">
        <f>IF(AC57="","",IF(AC57&lt;=0.25,0.25*67,AC57*67))</f>
        <v>38.285714285714285</v>
      </c>
      <c r="AF57" s="543"/>
      <c r="AG57" s="4"/>
      <c r="AH57" s="4"/>
      <c r="AI57" s="30"/>
      <c r="AJ57" s="525"/>
      <c r="AK57" s="8"/>
      <c r="AL57" s="8"/>
      <c r="AM57" s="74" t="str">
        <f>IF(O57="","",O57)</f>
        <v/>
      </c>
      <c r="AN57" s="8"/>
      <c r="AO57" s="8"/>
      <c r="AP57" s="8"/>
      <c r="AQ57" s="8"/>
      <c r="AR57" s="8"/>
      <c r="AS57" s="300"/>
      <c r="AT57" s="300"/>
      <c r="AU57" s="540"/>
      <c r="AV57" s="542" t="s">
        <v>11</v>
      </c>
      <c r="AW57" s="542"/>
      <c r="AX57" s="3">
        <f>IF(AX55="","",IF(AX55=1,(BB35/$U$12)/3500,IF(AX55=2,(BB35/$U$12*2)/3500,IF(AX55=3,(BB35/$U$12*2)/3500,))))</f>
        <v>0.8571428571428571</v>
      </c>
      <c r="AY57" s="4"/>
      <c r="AZ57" s="543">
        <f>IF(AX57="","",IF(AX57&lt;=0.25,0.25*67,AX57*67))</f>
        <v>57.428571428571423</v>
      </c>
      <c r="BA57" s="543"/>
      <c r="BB57" s="4"/>
      <c r="BC57" s="4"/>
      <c r="BD57" s="30"/>
      <c r="BE57" s="525"/>
      <c r="BF57" s="8"/>
      <c r="BG57" s="8"/>
      <c r="BH57" s="74" t="str">
        <f>IF(O57="","",O57)</f>
        <v/>
      </c>
      <c r="BI57" s="8"/>
      <c r="BJ57" s="8"/>
      <c r="BK57" s="8"/>
      <c r="BL57" s="8"/>
      <c r="BM57" s="8"/>
      <c r="BN57" s="298"/>
      <c r="BP57" s="540"/>
      <c r="BQ57" s="542" t="s">
        <v>11</v>
      </c>
      <c r="BR57" s="542"/>
      <c r="BS57" s="3" t="e">
        <f>IF(BS55="","",IF(BS55=1,(BW35/$U$12)/3500,IF(BS55=2,(BW35/$U$12*2)/3500,IF(BS55=3,(BW35/$U$12*2)/3500,IF(BS57&lt;=0.25,0.25)))))</f>
        <v>#VALUE!</v>
      </c>
      <c r="BT57" s="4"/>
      <c r="BU57" s="543" t="e">
        <f>IF(BS57="","",IF(BS57&lt;=0.25,0.25*67,BS57*67))</f>
        <v>#VALUE!</v>
      </c>
      <c r="BV57" s="543"/>
      <c r="BW57" s="4"/>
      <c r="BX57" s="4"/>
      <c r="BY57" s="30"/>
      <c r="BZ57" s="525"/>
      <c r="CA57" s="8"/>
      <c r="CB57" s="8"/>
      <c r="CC57" s="8"/>
      <c r="CD57" s="74" t="str">
        <f>BH57</f>
        <v/>
      </c>
      <c r="CE57" s="8"/>
      <c r="CF57" s="8"/>
      <c r="CG57" s="8"/>
      <c r="CH57" s="8"/>
      <c r="CI57" s="8"/>
      <c r="CL57" s="540"/>
      <c r="CM57" s="542" t="s">
        <v>11</v>
      </c>
      <c r="CN57" s="542"/>
      <c r="CO57" s="3" t="e">
        <f>IF(CO55="","",IF(CO55=1,(CS35/$U$12)/3500,IF(CO55=2,(CS35/$U$12*2)/3500,IF(CO55=3,(CS35/$U$12*2)/3500,IF(CO57&lt;=0.25,0.25)))))</f>
        <v>#VALUE!</v>
      </c>
      <c r="CP57" s="4"/>
      <c r="CQ57" s="543" t="e">
        <f>IF(CO57="","",IF(CO57&lt;=0.25,0.25*67,CO57*67))</f>
        <v>#VALUE!</v>
      </c>
      <c r="CR57" s="543"/>
      <c r="CS57" s="4"/>
      <c r="CT57" s="4"/>
      <c r="CU57" s="30"/>
      <c r="CV57" s="525"/>
      <c r="CW57" s="8"/>
      <c r="CX57" s="8"/>
      <c r="CY57" s="8"/>
      <c r="CZ57" s="74" t="str">
        <f>CD57</f>
        <v/>
      </c>
      <c r="DA57" s="8"/>
      <c r="DB57" s="8"/>
      <c r="DC57" s="8"/>
      <c r="DD57" s="8"/>
      <c r="DE57" s="8"/>
      <c r="DH57" s="540"/>
      <c r="DI57" s="542" t="s">
        <v>11</v>
      </c>
      <c r="DJ57" s="542"/>
      <c r="DK57" s="3" t="e">
        <f>IF(DK55="","",IF(DK55=1,(DO35/$U$12)/3500,IF(DK55=2,(DO35/$U$12*2)/3500,IF(DK55=3,(DO35/$U$12*2)/3500,IF(DK57&lt;=0.25,0.25)))))</f>
        <v>#VALUE!</v>
      </c>
      <c r="DL57" s="4"/>
      <c r="DM57" s="543" t="e">
        <f>IF(DK57="","",IF(DK57&lt;=0.25,0.25*67,DK57*67))</f>
        <v>#VALUE!</v>
      </c>
      <c r="DN57" s="543"/>
      <c r="DO57" s="4"/>
      <c r="DP57" s="4"/>
      <c r="DQ57" s="30"/>
      <c r="DR57" s="525"/>
      <c r="DS57" s="8"/>
      <c r="DT57" s="8"/>
      <c r="DU57" s="8"/>
      <c r="DV57" s="74" t="str">
        <f>CZ57</f>
        <v/>
      </c>
      <c r="DW57" s="8"/>
      <c r="DX57" s="8"/>
      <c r="DY57" s="8"/>
      <c r="DZ57" s="8"/>
      <c r="EA57" s="8"/>
    </row>
    <row r="58" spans="1:131" x14ac:dyDescent="0.2">
      <c r="A58" s="540"/>
      <c r="B58" s="4"/>
      <c r="C58" s="4"/>
      <c r="D58" s="4"/>
      <c r="E58" s="4"/>
      <c r="F58" s="4"/>
      <c r="G58" s="4"/>
      <c r="H58" s="4"/>
      <c r="I58" s="4"/>
      <c r="J58" s="30"/>
      <c r="K58" s="525"/>
      <c r="L58" s="527" t="s">
        <v>25</v>
      </c>
      <c r="M58" s="527"/>
      <c r="N58" s="301"/>
      <c r="O58" s="2" t="str">
        <f>IF(O57="","",IF(O57=1,G14/4000,IF(O57=2,G14/3000,IF(O57=3,G14/2000))))</f>
        <v/>
      </c>
      <c r="P58" s="8"/>
      <c r="Q58" s="546" t="str">
        <f>IF(O57="","",O58*11)</f>
        <v/>
      </c>
      <c r="R58" s="546"/>
      <c r="S58" s="8"/>
      <c r="T58" s="8"/>
      <c r="V58" s="300"/>
      <c r="W58" s="77"/>
      <c r="Z58" s="540"/>
      <c r="AA58" s="4"/>
      <c r="AB58" s="4"/>
      <c r="AC58" s="4"/>
      <c r="AD58" s="4"/>
      <c r="AE58" s="4"/>
      <c r="AF58" s="4"/>
      <c r="AG58" s="4"/>
      <c r="AH58" s="4"/>
      <c r="AI58" s="30"/>
      <c r="AJ58" s="525"/>
      <c r="AK58" s="527" t="s">
        <v>25</v>
      </c>
      <c r="AL58" s="527"/>
      <c r="AM58" s="2" t="str">
        <f>IF(AM57="","",IF(AM57=1,J14/4000,IF(AM57=2,J14/3000,IF(AM57=3,J14/2000))))</f>
        <v/>
      </c>
      <c r="AN58" s="8"/>
      <c r="AO58" s="546" t="str">
        <f>IF(AM57="","",AM58*11)</f>
        <v/>
      </c>
      <c r="AP58" s="546"/>
      <c r="AQ58" s="8"/>
      <c r="AR58" s="8"/>
      <c r="AS58" s="300"/>
      <c r="AT58" s="300"/>
      <c r="AU58" s="540"/>
      <c r="AV58" s="4"/>
      <c r="AW58" s="4"/>
      <c r="AX58" s="4"/>
      <c r="AY58" s="4"/>
      <c r="AZ58" s="4"/>
      <c r="BA58" s="4"/>
      <c r="BB58" s="4"/>
      <c r="BC58" s="4"/>
      <c r="BD58" s="30"/>
      <c r="BE58" s="525"/>
      <c r="BF58" s="527" t="s">
        <v>25</v>
      </c>
      <c r="BG58" s="527"/>
      <c r="BH58" s="2" t="str">
        <f>IF(BH57="","",IF(BH57=1,M14/4000,IF(BH57=2,M14/3000,IF(BH57=3,M14/2000))))</f>
        <v/>
      </c>
      <c r="BI58" s="8"/>
      <c r="BJ58" s="546" t="str">
        <f>IF(BH57="","",BH58*11)</f>
        <v/>
      </c>
      <c r="BK58" s="546"/>
      <c r="BL58" s="8"/>
      <c r="BM58" s="8"/>
      <c r="BN58" s="298"/>
      <c r="BP58" s="540"/>
      <c r="BQ58" s="4"/>
      <c r="BR58" s="4"/>
      <c r="BS58" s="4"/>
      <c r="BT58" s="4"/>
      <c r="BU58" s="4"/>
      <c r="BV58" s="4"/>
      <c r="BW58" s="4"/>
      <c r="BX58" s="4"/>
      <c r="BY58" s="30"/>
      <c r="BZ58" s="525"/>
      <c r="CA58" s="527" t="s">
        <v>25</v>
      </c>
      <c r="CB58" s="527"/>
      <c r="CC58" s="301"/>
      <c r="CD58" s="2" t="str">
        <f>IF(CD57="","",IF(CD57=1,G24/4000,IF(CD57=2,G24/3000,IF(CD57=3,G24/2000))))</f>
        <v/>
      </c>
      <c r="CE58" s="8"/>
      <c r="CF58" s="546" t="str">
        <f>IF(CD57="","",CD58*11)</f>
        <v/>
      </c>
      <c r="CG58" s="546"/>
      <c r="CH58" s="8"/>
      <c r="CI58" s="8"/>
      <c r="CL58" s="540"/>
      <c r="CM58" s="4"/>
      <c r="CN58" s="4"/>
      <c r="CO58" s="4"/>
      <c r="CP58" s="4"/>
      <c r="CQ58" s="4"/>
      <c r="CR58" s="4"/>
      <c r="CS58" s="4"/>
      <c r="CT58" s="4"/>
      <c r="CU58" s="30"/>
      <c r="CV58" s="525"/>
      <c r="CW58" s="527" t="s">
        <v>25</v>
      </c>
      <c r="CX58" s="527"/>
      <c r="CY58" s="301"/>
      <c r="CZ58" s="2" t="str">
        <f>IF(CZ57="","",IF(CZ57=1,J24/4000,IF(CZ57=2,J24/3000,IF(CZ57=3,J24/2000))))</f>
        <v/>
      </c>
      <c r="DA58" s="8"/>
      <c r="DB58" s="546" t="str">
        <f>IF(CZ57="","",CZ58*11)</f>
        <v/>
      </c>
      <c r="DC58" s="546"/>
      <c r="DD58" s="8"/>
      <c r="DE58" s="8"/>
      <c r="DH58" s="540"/>
      <c r="DI58" s="4"/>
      <c r="DJ58" s="4"/>
      <c r="DK58" s="4"/>
      <c r="DL58" s="4"/>
      <c r="DM58" s="4"/>
      <c r="DN58" s="4"/>
      <c r="DO58" s="4"/>
      <c r="DP58" s="4"/>
      <c r="DQ58" s="30"/>
      <c r="DR58" s="525"/>
      <c r="DS58" s="527" t="s">
        <v>25</v>
      </c>
      <c r="DT58" s="527"/>
      <c r="DU58" s="301"/>
      <c r="DV58" s="2" t="str">
        <f>IF(DV57="","",IF(DV57=1,M24/4000,IF(DV57=2,M24/3000,IF(DV57=3,M24/2000))))</f>
        <v/>
      </c>
      <c r="DW58" s="8"/>
      <c r="DX58" s="546" t="str">
        <f>IF(DV57="","",DV58*11)</f>
        <v/>
      </c>
      <c r="DY58" s="546"/>
      <c r="DZ58" s="8"/>
      <c r="EA58" s="8"/>
    </row>
    <row r="59" spans="1:131" x14ac:dyDescent="0.2">
      <c r="A59" s="540"/>
      <c r="B59" s="531" t="s">
        <v>21</v>
      </c>
      <c r="C59" s="531"/>
      <c r="D59" s="531"/>
      <c r="E59" s="531"/>
      <c r="F59" s="542"/>
      <c r="G59" s="4"/>
      <c r="H59" s="4"/>
      <c r="I59" s="4"/>
      <c r="J59" s="30"/>
      <c r="K59" s="525"/>
      <c r="L59" s="557" t="s">
        <v>238</v>
      </c>
      <c r="M59" s="527"/>
      <c r="N59" s="301"/>
      <c r="O59" s="2" t="str">
        <f>IF(O58="","",IF(O57=1,G14/4000,IF(O57=2,G14/3000,IF(O57=3,G14/2000))))</f>
        <v/>
      </c>
      <c r="P59" s="8"/>
      <c r="Q59" s="546" t="str">
        <f>IF(O59="","",O59*11)</f>
        <v/>
      </c>
      <c r="R59" s="546"/>
      <c r="S59" s="8"/>
      <c r="T59" s="8"/>
      <c r="V59" s="300"/>
      <c r="W59" s="77"/>
      <c r="X59" s="300"/>
      <c r="Y59" s="300"/>
      <c r="Z59" s="540"/>
      <c r="AA59" s="531" t="s">
        <v>21</v>
      </c>
      <c r="AB59" s="531"/>
      <c r="AC59" s="531"/>
      <c r="AD59" s="531"/>
      <c r="AE59" s="542"/>
      <c r="AF59" s="4"/>
      <c r="AG59" s="4"/>
      <c r="AH59" s="4"/>
      <c r="AI59" s="30"/>
      <c r="AJ59" s="525"/>
      <c r="AK59" s="557" t="s">
        <v>238</v>
      </c>
      <c r="AL59" s="527"/>
      <c r="AM59" s="2" t="str">
        <f>IF(AM58="","",IF(AM57=1,J14/4000,IF(AM57=2,J14/3000,IF(AM57=3,J14/2000))))</f>
        <v/>
      </c>
      <c r="AN59" s="8"/>
      <c r="AO59" s="546" t="str">
        <f>IF(AM59="","",AM59*11)</f>
        <v/>
      </c>
      <c r="AP59" s="546"/>
      <c r="AQ59" s="8"/>
      <c r="AR59" s="8"/>
      <c r="AS59" s="300"/>
      <c r="AT59" s="300"/>
      <c r="AU59" s="540"/>
      <c r="AV59" s="531" t="s">
        <v>21</v>
      </c>
      <c r="AW59" s="531"/>
      <c r="AX59" s="531"/>
      <c r="AY59" s="531"/>
      <c r="AZ59" s="542"/>
      <c r="BA59" s="4"/>
      <c r="BB59" s="4"/>
      <c r="BC59" s="4"/>
      <c r="BD59" s="30"/>
      <c r="BE59" s="525"/>
      <c r="BF59" s="557" t="s">
        <v>238</v>
      </c>
      <c r="BG59" s="527"/>
      <c r="BH59" s="2" t="str">
        <f>IF(BH58="","",IF(BH57=1,M14/4000,IF(BH57=2,M14/3000,IF(BH57=3,M14/2000))))</f>
        <v/>
      </c>
      <c r="BI59" s="8"/>
      <c r="BJ59" s="546" t="str">
        <f>IF(BH59="","",BH59*11)</f>
        <v/>
      </c>
      <c r="BK59" s="546"/>
      <c r="BL59" s="8"/>
      <c r="BM59" s="8"/>
      <c r="BN59" s="298"/>
      <c r="BP59" s="540"/>
      <c r="BQ59" s="531" t="s">
        <v>21</v>
      </c>
      <c r="BR59" s="531"/>
      <c r="BS59" s="531"/>
      <c r="BT59" s="531"/>
      <c r="BU59" s="542"/>
      <c r="BV59" s="4"/>
      <c r="BW59" s="4"/>
      <c r="BX59" s="4"/>
      <c r="BY59" s="30"/>
      <c r="BZ59" s="525"/>
      <c r="CA59" s="557" t="s">
        <v>238</v>
      </c>
      <c r="CB59" s="527"/>
      <c r="CC59" s="301"/>
      <c r="CD59" s="2" t="str">
        <f>IF(CD58="","",IF(CD57=1,G24/4000,IF(CD57=2,G24/3000,IF(CD57=3,G24/2000))))</f>
        <v/>
      </c>
      <c r="CE59" s="8"/>
      <c r="CF59" s="546" t="str">
        <f>IF(CD59="","",CD59*11)</f>
        <v/>
      </c>
      <c r="CG59" s="546"/>
      <c r="CH59" s="8"/>
      <c r="CI59" s="8"/>
      <c r="CL59" s="540"/>
      <c r="CM59" s="531" t="s">
        <v>21</v>
      </c>
      <c r="CN59" s="531"/>
      <c r="CO59" s="531"/>
      <c r="CP59" s="531"/>
      <c r="CQ59" s="542"/>
      <c r="CR59" s="4"/>
      <c r="CS59" s="4"/>
      <c r="CT59" s="4"/>
      <c r="CU59" s="30"/>
      <c r="CV59" s="525"/>
      <c r="CW59" s="557" t="s">
        <v>238</v>
      </c>
      <c r="CX59" s="527"/>
      <c r="CY59" s="301"/>
      <c r="CZ59" s="2" t="str">
        <f>IF(CZ58="","",IF(CZ57=1,J24/4000,IF(CZ57=2,J24/3000,IF(CZ57=3,J24/2000))))</f>
        <v/>
      </c>
      <c r="DA59" s="8"/>
      <c r="DB59" s="546" t="str">
        <f>IF(CZ59="","",CZ59*11)</f>
        <v/>
      </c>
      <c r="DC59" s="546"/>
      <c r="DD59" s="8"/>
      <c r="DE59" s="8"/>
      <c r="DH59" s="540"/>
      <c r="DI59" s="531" t="s">
        <v>21</v>
      </c>
      <c r="DJ59" s="531"/>
      <c r="DK59" s="531"/>
      <c r="DL59" s="531"/>
      <c r="DM59" s="542"/>
      <c r="DN59" s="4"/>
      <c r="DO59" s="4"/>
      <c r="DP59" s="4"/>
      <c r="DQ59" s="30"/>
      <c r="DR59" s="525"/>
      <c r="DS59" s="557" t="s">
        <v>238</v>
      </c>
      <c r="DT59" s="527"/>
      <c r="DU59" s="301"/>
      <c r="DV59" s="2" t="str">
        <f>IF(DV58="","",IF(DV57=1,M24/4000,IF(DV57=2,M24/3000,IF(DV57=3,M24/2000))))</f>
        <v/>
      </c>
      <c r="DW59" s="8"/>
      <c r="DX59" s="546" t="str">
        <f>IF(DV59="","",DV59*11)</f>
        <v/>
      </c>
      <c r="DY59" s="546"/>
      <c r="DZ59" s="8"/>
      <c r="EA59" s="8"/>
    </row>
    <row r="60" spans="1:131" x14ac:dyDescent="0.2">
      <c r="A60" s="540"/>
      <c r="B60" s="8"/>
      <c r="C60" s="8"/>
      <c r="D60" s="84">
        <v>2</v>
      </c>
      <c r="E60" s="8"/>
      <c r="F60" s="8"/>
      <c r="G60" s="4"/>
      <c r="H60" s="4"/>
      <c r="I60" s="4"/>
      <c r="J60" s="30"/>
      <c r="K60" s="525"/>
      <c r="L60" s="8"/>
      <c r="M60" s="8"/>
      <c r="N60" s="8"/>
      <c r="O60" s="8"/>
      <c r="P60" s="8"/>
      <c r="Q60" s="8"/>
      <c r="R60" s="8"/>
      <c r="S60" s="8"/>
      <c r="T60" s="8"/>
      <c r="V60" s="300"/>
      <c r="W60" s="77"/>
      <c r="X60" s="305"/>
      <c r="Y60" s="305"/>
      <c r="Z60" s="540"/>
      <c r="AA60" s="8"/>
      <c r="AB60" s="8"/>
      <c r="AC60" s="193">
        <f>IF(D60="","",D60)</f>
        <v>2</v>
      </c>
      <c r="AD60" s="8"/>
      <c r="AE60" s="8"/>
      <c r="AF60" s="4"/>
      <c r="AG60" s="4"/>
      <c r="AH60" s="4"/>
      <c r="AI60" s="30"/>
      <c r="AJ60" s="525"/>
      <c r="AK60" s="8"/>
      <c r="AL60" s="8"/>
      <c r="AM60" s="8"/>
      <c r="AN60" s="8"/>
      <c r="AO60" s="8"/>
      <c r="AP60" s="8"/>
      <c r="AQ60" s="8"/>
      <c r="AR60" s="8"/>
      <c r="AS60" s="300"/>
      <c r="AT60" s="300"/>
      <c r="AU60" s="540"/>
      <c r="AV60" s="8"/>
      <c r="AW60" s="8"/>
      <c r="AX60" s="193">
        <f>IF(D60="","",D60)</f>
        <v>2</v>
      </c>
      <c r="AY60" s="8"/>
      <c r="AZ60" s="8"/>
      <c r="BA60" s="4"/>
      <c r="BB60" s="4"/>
      <c r="BC60" s="4"/>
      <c r="BD60" s="30"/>
      <c r="BE60" s="525"/>
      <c r="BF60" s="8"/>
      <c r="BG60" s="8"/>
      <c r="BH60" s="8"/>
      <c r="BI60" s="8"/>
      <c r="BJ60" s="8"/>
      <c r="BK60" s="8"/>
      <c r="BL60" s="8"/>
      <c r="BM60" s="8"/>
      <c r="BN60" s="298"/>
      <c r="BP60" s="540"/>
      <c r="BQ60" s="8"/>
      <c r="BR60" s="8"/>
      <c r="BS60" s="193">
        <f>AX60</f>
        <v>2</v>
      </c>
      <c r="BT60" s="8"/>
      <c r="BU60" s="8"/>
      <c r="BV60" s="4"/>
      <c r="BW60" s="4"/>
      <c r="BX60" s="4"/>
      <c r="BY60" s="30"/>
      <c r="BZ60" s="525"/>
      <c r="CA60" s="8"/>
      <c r="CB60" s="8"/>
      <c r="CC60" s="8"/>
      <c r="CD60" s="8"/>
      <c r="CE60" s="8"/>
      <c r="CF60" s="8"/>
      <c r="CG60" s="8"/>
      <c r="CH60" s="8"/>
      <c r="CI60" s="8"/>
      <c r="CL60" s="540"/>
      <c r="CM60" s="8"/>
      <c r="CN60" s="8"/>
      <c r="CO60" s="193">
        <f>BS60</f>
        <v>2</v>
      </c>
      <c r="CP60" s="8"/>
      <c r="CQ60" s="8"/>
      <c r="CR60" s="4"/>
      <c r="CS60" s="4"/>
      <c r="CT60" s="4"/>
      <c r="CU60" s="30"/>
      <c r="CV60" s="525"/>
      <c r="CW60" s="8"/>
      <c r="CX60" s="8"/>
      <c r="CY60" s="8"/>
      <c r="CZ60" s="8"/>
      <c r="DA60" s="8"/>
      <c r="DB60" s="8"/>
      <c r="DC60" s="8"/>
      <c r="DD60" s="8"/>
      <c r="DE60" s="8"/>
      <c r="DH60" s="540"/>
      <c r="DI60" s="8"/>
      <c r="DJ60" s="8"/>
      <c r="DK60" s="193">
        <f>CO60</f>
        <v>2</v>
      </c>
      <c r="DL60" s="8"/>
      <c r="DM60" s="8"/>
      <c r="DN60" s="4"/>
      <c r="DO60" s="4"/>
      <c r="DP60" s="4"/>
      <c r="DQ60" s="30"/>
      <c r="DR60" s="525"/>
      <c r="DS60" s="8"/>
      <c r="DT60" s="8"/>
      <c r="DU60" s="8"/>
      <c r="DV60" s="8"/>
      <c r="DW60" s="8"/>
      <c r="DX60" s="8"/>
      <c r="DY60" s="8"/>
      <c r="DZ60" s="8"/>
      <c r="EA60" s="8"/>
    </row>
    <row r="61" spans="1:131" x14ac:dyDescent="0.2">
      <c r="A61" s="540"/>
      <c r="B61" s="542" t="s">
        <v>10</v>
      </c>
      <c r="C61" s="542"/>
      <c r="D61" s="312">
        <f>IF(D60="","",0.5)</f>
        <v>0.5</v>
      </c>
      <c r="E61" s="4"/>
      <c r="F61" s="546">
        <f>IF(D61="","",D61*60)</f>
        <v>30</v>
      </c>
      <c r="G61" s="546"/>
      <c r="H61" s="4"/>
      <c r="I61" s="4"/>
      <c r="J61" s="30"/>
      <c r="K61" s="525"/>
      <c r="L61" s="8"/>
      <c r="M61" s="8"/>
      <c r="N61" s="8"/>
      <c r="O61" s="8"/>
      <c r="P61" s="8"/>
      <c r="Q61" s="8"/>
      <c r="R61" s="8"/>
      <c r="S61" s="8"/>
      <c r="T61" s="8"/>
      <c r="V61" s="300"/>
      <c r="W61" s="77"/>
      <c r="X61" s="300"/>
      <c r="Y61" s="300"/>
      <c r="Z61" s="540"/>
      <c r="AA61" s="542" t="s">
        <v>10</v>
      </c>
      <c r="AB61" s="542"/>
      <c r="AC61" s="312">
        <f>IF(AC60="","",0.5)</f>
        <v>0.5</v>
      </c>
      <c r="AD61" s="4"/>
      <c r="AE61" s="546">
        <f>IF(AC61="","",AC61*60)</f>
        <v>30</v>
      </c>
      <c r="AF61" s="546"/>
      <c r="AG61" s="4"/>
      <c r="AH61" s="4"/>
      <c r="AI61" s="30"/>
      <c r="AJ61" s="525"/>
      <c r="AK61" s="8"/>
      <c r="AL61" s="8"/>
      <c r="AM61" s="8"/>
      <c r="AN61" s="8"/>
      <c r="AO61" s="8"/>
      <c r="AP61" s="8"/>
      <c r="AQ61" s="8"/>
      <c r="AR61" s="8"/>
      <c r="AS61" s="300"/>
      <c r="AT61" s="300"/>
      <c r="AU61" s="540"/>
      <c r="AV61" s="542" t="s">
        <v>10</v>
      </c>
      <c r="AW61" s="542"/>
      <c r="AX61" s="312">
        <f>IF(AX60="","",0.5)</f>
        <v>0.5</v>
      </c>
      <c r="AY61" s="4"/>
      <c r="AZ61" s="546">
        <f>IF(AX61="","",AX61*60)</f>
        <v>30</v>
      </c>
      <c r="BA61" s="546"/>
      <c r="BB61" s="4"/>
      <c r="BC61" s="4"/>
      <c r="BD61" s="30"/>
      <c r="BE61" s="525"/>
      <c r="BF61" s="8"/>
      <c r="BG61" s="8"/>
      <c r="BH61" s="8"/>
      <c r="BI61" s="8"/>
      <c r="BJ61" s="8"/>
      <c r="BK61" s="8"/>
      <c r="BL61" s="8"/>
      <c r="BM61" s="8"/>
      <c r="BN61" s="298"/>
      <c r="BP61" s="540"/>
      <c r="BQ61" s="542" t="s">
        <v>10</v>
      </c>
      <c r="BR61" s="542"/>
      <c r="BS61" s="312">
        <f>IF(BS60="","",0.5)</f>
        <v>0.5</v>
      </c>
      <c r="BT61" s="4"/>
      <c r="BU61" s="546">
        <f>IF(BS61="","",BS61*60)</f>
        <v>30</v>
      </c>
      <c r="BV61" s="546"/>
      <c r="BW61" s="4"/>
      <c r="BX61" s="4"/>
      <c r="BY61" s="30"/>
      <c r="BZ61" s="525"/>
      <c r="CA61" s="8"/>
      <c r="CB61" s="8"/>
      <c r="CC61" s="8"/>
      <c r="CD61" s="8"/>
      <c r="CE61" s="8"/>
      <c r="CF61" s="8"/>
      <c r="CG61" s="8"/>
      <c r="CH61" s="8"/>
      <c r="CI61" s="8"/>
      <c r="CL61" s="540"/>
      <c r="CM61" s="542" t="s">
        <v>10</v>
      </c>
      <c r="CN61" s="542"/>
      <c r="CO61" s="312">
        <f>IF(CO60="","",0.5)</f>
        <v>0.5</v>
      </c>
      <c r="CP61" s="4"/>
      <c r="CQ61" s="546">
        <f>IF(CO61="","",CO61*60)</f>
        <v>30</v>
      </c>
      <c r="CR61" s="546"/>
      <c r="CS61" s="4"/>
      <c r="CT61" s="4"/>
      <c r="CU61" s="30"/>
      <c r="CV61" s="525"/>
      <c r="CW61" s="8"/>
      <c r="CX61" s="8"/>
      <c r="CY61" s="8"/>
      <c r="CZ61" s="8"/>
      <c r="DA61" s="8"/>
      <c r="DB61" s="8"/>
      <c r="DC61" s="8"/>
      <c r="DD61" s="8"/>
      <c r="DE61" s="8"/>
      <c r="DH61" s="540"/>
      <c r="DI61" s="542" t="s">
        <v>10</v>
      </c>
      <c r="DJ61" s="542"/>
      <c r="DK61" s="312">
        <f>IF(DK60="","",0.5)</f>
        <v>0.5</v>
      </c>
      <c r="DL61" s="4"/>
      <c r="DM61" s="546">
        <f>IF(DK61="","",DK61*60)</f>
        <v>30</v>
      </c>
      <c r="DN61" s="546"/>
      <c r="DO61" s="4"/>
      <c r="DP61" s="4"/>
      <c r="DQ61" s="30"/>
      <c r="DR61" s="525"/>
      <c r="DS61" s="8"/>
      <c r="DT61" s="8"/>
      <c r="DU61" s="8"/>
      <c r="DV61" s="8"/>
      <c r="DW61" s="8"/>
      <c r="DX61" s="8"/>
      <c r="DY61" s="8"/>
      <c r="DZ61" s="8"/>
      <c r="EA61" s="8"/>
    </row>
    <row r="62" spans="1:131" x14ac:dyDescent="0.2">
      <c r="A62" s="540"/>
      <c r="B62" s="542" t="s">
        <v>11</v>
      </c>
      <c r="C62" s="542"/>
      <c r="D62" s="10">
        <f>IF(D60="","",IF(D60=1,H35/$U$12,IF(D60=2,(H35/$U$12)*2)))</f>
        <v>1000</v>
      </c>
      <c r="E62" s="4"/>
      <c r="F62" s="543">
        <f>IF(D62="","",D62*0.01)</f>
        <v>10</v>
      </c>
      <c r="G62" s="543"/>
      <c r="H62" s="4"/>
      <c r="I62" s="4"/>
      <c r="J62" s="30"/>
      <c r="K62" s="525"/>
      <c r="L62" s="531" t="s">
        <v>19</v>
      </c>
      <c r="M62" s="531"/>
      <c r="N62" s="302"/>
      <c r="O62" s="88"/>
      <c r="P62" s="4"/>
      <c r="Q62" s="4"/>
      <c r="R62" s="4"/>
      <c r="S62" s="8"/>
      <c r="T62" s="8"/>
      <c r="V62" s="300"/>
      <c r="W62" s="77"/>
      <c r="X62" s="300"/>
      <c r="Y62" s="300"/>
      <c r="Z62" s="540"/>
      <c r="AA62" s="542" t="s">
        <v>11</v>
      </c>
      <c r="AB62" s="542"/>
      <c r="AC62" s="10">
        <f>IF(AC60="","",IF(AC60=1,AG35/U12,IF(AC60=2,(AG35/U12)*2)))</f>
        <v>2000</v>
      </c>
      <c r="AD62" s="4"/>
      <c r="AE62" s="543">
        <f>IF(AC62="","",AC62*0.01)</f>
        <v>20</v>
      </c>
      <c r="AF62" s="543"/>
      <c r="AG62" s="4"/>
      <c r="AH62" s="4"/>
      <c r="AI62" s="30"/>
      <c r="AJ62" s="525"/>
      <c r="AK62" s="531" t="s">
        <v>19</v>
      </c>
      <c r="AL62" s="531"/>
      <c r="AM62" s="78" t="str">
        <f>IF(O62="","",O62)</f>
        <v/>
      </c>
      <c r="AN62" s="4"/>
      <c r="AO62" s="4"/>
      <c r="AP62" s="4"/>
      <c r="AQ62" s="8"/>
      <c r="AR62" s="8"/>
      <c r="AS62" s="300"/>
      <c r="AT62" s="300"/>
      <c r="AU62" s="540"/>
      <c r="AV62" s="542" t="s">
        <v>11</v>
      </c>
      <c r="AW62" s="542"/>
      <c r="AX62" s="10">
        <f>IF(AX60="","",IF(AX60=1,BB35/$U$12,IF(AX60=2,(BB35/$U$12)*2)))</f>
        <v>3000</v>
      </c>
      <c r="AY62" s="4"/>
      <c r="AZ62" s="543">
        <f>IF(AX62="","",AX62*0.01)</f>
        <v>30</v>
      </c>
      <c r="BA62" s="543"/>
      <c r="BB62" s="4"/>
      <c r="BC62" s="4"/>
      <c r="BD62" s="30"/>
      <c r="BE62" s="525"/>
      <c r="BF62" s="531" t="s">
        <v>19</v>
      </c>
      <c r="BG62" s="531"/>
      <c r="BH62" s="78" t="str">
        <f>IF(O62="","",O62)</f>
        <v/>
      </c>
      <c r="BI62" s="4"/>
      <c r="BJ62" s="4"/>
      <c r="BK62" s="4"/>
      <c r="BL62" s="8"/>
      <c r="BM62" s="8"/>
      <c r="BN62" s="298"/>
      <c r="BP62" s="540"/>
      <c r="BQ62" s="542" t="s">
        <v>11</v>
      </c>
      <c r="BR62" s="542"/>
      <c r="BS62" s="10" t="e">
        <f>IF(BS60="","",IF(BS60=1,BW35/$U$12,IF(BS60=2,(BW35/$U$12)*2)))</f>
        <v>#VALUE!</v>
      </c>
      <c r="BT62" s="4"/>
      <c r="BU62" s="543" t="e">
        <f>IF(BS62="","",BS62*0.01)</f>
        <v>#VALUE!</v>
      </c>
      <c r="BV62" s="543"/>
      <c r="BW62" s="4"/>
      <c r="BX62" s="4"/>
      <c r="BY62" s="30"/>
      <c r="BZ62" s="525"/>
      <c r="CA62" s="531" t="s">
        <v>19</v>
      </c>
      <c r="CB62" s="531"/>
      <c r="CC62" s="302"/>
      <c r="CD62" s="78" t="str">
        <f>BH62</f>
        <v/>
      </c>
      <c r="CE62" s="4"/>
      <c r="CF62" s="4"/>
      <c r="CG62" s="4"/>
      <c r="CH62" s="8"/>
      <c r="CI62" s="8"/>
      <c r="CL62" s="540"/>
      <c r="CM62" s="542" t="s">
        <v>11</v>
      </c>
      <c r="CN62" s="542"/>
      <c r="CO62" s="10" t="e">
        <f>IF(CO60="","",IF(CO60=1,CS35/$U$12,IF(CO60=2,(CS35/$U$12)*2)))</f>
        <v>#VALUE!</v>
      </c>
      <c r="CP62" s="4"/>
      <c r="CQ62" s="543" t="e">
        <f>IF(CO62="","",CO62*0.01)</f>
        <v>#VALUE!</v>
      </c>
      <c r="CR62" s="543"/>
      <c r="CS62" s="4"/>
      <c r="CT62" s="4"/>
      <c r="CU62" s="30"/>
      <c r="CV62" s="525"/>
      <c r="CW62" s="531" t="s">
        <v>19</v>
      </c>
      <c r="CX62" s="531"/>
      <c r="CY62" s="302"/>
      <c r="CZ62" s="78" t="str">
        <f>CD62</f>
        <v/>
      </c>
      <c r="DA62" s="4"/>
      <c r="DB62" s="4"/>
      <c r="DC62" s="4"/>
      <c r="DD62" s="8"/>
      <c r="DE62" s="8"/>
      <c r="DH62" s="540"/>
      <c r="DI62" s="542" t="s">
        <v>11</v>
      </c>
      <c r="DJ62" s="542"/>
      <c r="DK62" s="10" t="e">
        <f>IF(DK60="","",IF(DK60=1,DO35/$U$12,IF(DK60=2,(DO35/$U$12)*2)))</f>
        <v>#VALUE!</v>
      </c>
      <c r="DL62" s="4"/>
      <c r="DM62" s="543" t="e">
        <f>IF(DK62="","",DK62*0.01)</f>
        <v>#VALUE!</v>
      </c>
      <c r="DN62" s="543"/>
      <c r="DO62" s="4"/>
      <c r="DP62" s="4"/>
      <c r="DQ62" s="30"/>
      <c r="DR62" s="525"/>
      <c r="DS62" s="531" t="s">
        <v>19</v>
      </c>
      <c r="DT62" s="531"/>
      <c r="DU62" s="302"/>
      <c r="DV62" s="78" t="str">
        <f>CZ62</f>
        <v/>
      </c>
      <c r="DW62" s="4"/>
      <c r="DX62" s="4"/>
      <c r="DY62" s="4"/>
      <c r="DZ62" s="8"/>
      <c r="EA62" s="8"/>
    </row>
    <row r="63" spans="1:131" x14ac:dyDescent="0.2">
      <c r="A63" s="540"/>
      <c r="B63" s="4"/>
      <c r="C63" s="4"/>
      <c r="D63" s="4"/>
      <c r="E63" s="4"/>
      <c r="F63" s="4"/>
      <c r="G63" s="4"/>
      <c r="H63" s="4"/>
      <c r="I63" s="4"/>
      <c r="J63" s="30"/>
      <c r="K63" s="525"/>
      <c r="L63" s="542" t="s">
        <v>10</v>
      </c>
      <c r="M63" s="542"/>
      <c r="N63" s="303"/>
      <c r="O63" s="3" t="str">
        <f>IF(O62="","",IF(O62=1,0.5,IF(O62=2,1,IF(O62=3,1.5))))</f>
        <v/>
      </c>
      <c r="P63" s="4"/>
      <c r="Q63" s="546" t="str">
        <f>IF(O63="","",O63*25)</f>
        <v/>
      </c>
      <c r="R63" s="546"/>
      <c r="S63" s="8"/>
      <c r="T63" s="8"/>
      <c r="V63" s="300"/>
      <c r="W63" s="77"/>
      <c r="X63" s="300"/>
      <c r="Y63" s="300"/>
      <c r="Z63" s="540"/>
      <c r="AA63" s="4"/>
      <c r="AB63" s="4"/>
      <c r="AC63" s="4"/>
      <c r="AD63" s="4"/>
      <c r="AE63" s="4"/>
      <c r="AF63" s="4"/>
      <c r="AG63" s="4"/>
      <c r="AH63" s="4"/>
      <c r="AI63" s="30"/>
      <c r="AJ63" s="525"/>
      <c r="AK63" s="542" t="s">
        <v>10</v>
      </c>
      <c r="AL63" s="542"/>
      <c r="AM63" s="3" t="str">
        <f>IF(AM62="","",IF(AM62=1,0.5,IF(AM62=2,1,IF(AM62=3,1.5))))</f>
        <v/>
      </c>
      <c r="AN63" s="4"/>
      <c r="AO63" s="546" t="str">
        <f>IF(AM63="","",AM63*25)</f>
        <v/>
      </c>
      <c r="AP63" s="546"/>
      <c r="AQ63" s="8"/>
      <c r="AR63" s="8"/>
      <c r="AS63" s="300"/>
      <c r="AT63" s="300"/>
      <c r="AU63" s="540"/>
      <c r="AV63" s="4"/>
      <c r="AW63" s="4"/>
      <c r="AX63" s="4"/>
      <c r="AY63" s="4"/>
      <c r="AZ63" s="4"/>
      <c r="BA63" s="4"/>
      <c r="BB63" s="4"/>
      <c r="BC63" s="4"/>
      <c r="BD63" s="30"/>
      <c r="BE63" s="525"/>
      <c r="BF63" s="542" t="s">
        <v>10</v>
      </c>
      <c r="BG63" s="542"/>
      <c r="BH63" s="3" t="str">
        <f>IF(BH62="","",IF(BH62=1,0.5,IF(BH62=2,1,IF(BH62=3,1.5))))</f>
        <v/>
      </c>
      <c r="BI63" s="4"/>
      <c r="BJ63" s="546" t="str">
        <f>IF(BH63="","",BH63*25)</f>
        <v/>
      </c>
      <c r="BK63" s="546"/>
      <c r="BL63" s="8"/>
      <c r="BM63" s="8"/>
      <c r="BN63" s="298"/>
      <c r="BP63" s="540"/>
      <c r="BQ63" s="4"/>
      <c r="BR63" s="4"/>
      <c r="BS63" s="4"/>
      <c r="BT63" s="4"/>
      <c r="BU63" s="4"/>
      <c r="BV63" s="4"/>
      <c r="BW63" s="4"/>
      <c r="BX63" s="4"/>
      <c r="BY63" s="30"/>
      <c r="BZ63" s="525"/>
      <c r="CA63" s="542" t="s">
        <v>10</v>
      </c>
      <c r="CB63" s="542"/>
      <c r="CC63" s="303"/>
      <c r="CD63" s="3" t="str">
        <f>IF(CD62="","",IF(CD62=1,0.5,IF(CD62=2,1,IF(CD62=3,1.5))))</f>
        <v/>
      </c>
      <c r="CE63" s="4"/>
      <c r="CF63" s="546" t="str">
        <f>IF(CD63="","",CD63*25)</f>
        <v/>
      </c>
      <c r="CG63" s="546"/>
      <c r="CH63" s="8"/>
      <c r="CI63" s="8"/>
      <c r="CL63" s="540"/>
      <c r="CM63" s="4"/>
      <c r="CN63" s="4"/>
      <c r="CO63" s="4"/>
      <c r="CP63" s="4"/>
      <c r="CQ63" s="4"/>
      <c r="CR63" s="4"/>
      <c r="CS63" s="4"/>
      <c r="CT63" s="4"/>
      <c r="CU63" s="30"/>
      <c r="CV63" s="525"/>
      <c r="CW63" s="542" t="s">
        <v>10</v>
      </c>
      <c r="CX63" s="542"/>
      <c r="CY63" s="303"/>
      <c r="CZ63" s="3" t="str">
        <f>IF(CZ62="","",IF(CZ62=1,0.5,IF(CZ62=2,1,IF(CZ62=3,1.5))))</f>
        <v/>
      </c>
      <c r="DA63" s="4"/>
      <c r="DB63" s="546" t="str">
        <f>IF(CZ63="","",CZ63*25)</f>
        <v/>
      </c>
      <c r="DC63" s="546"/>
      <c r="DD63" s="8"/>
      <c r="DE63" s="8"/>
      <c r="DH63" s="540"/>
      <c r="DI63" s="4"/>
      <c r="DJ63" s="4"/>
      <c r="DK63" s="4"/>
      <c r="DL63" s="4"/>
      <c r="DM63" s="4"/>
      <c r="DN63" s="4"/>
      <c r="DO63" s="4"/>
      <c r="DP63" s="4"/>
      <c r="DQ63" s="30"/>
      <c r="DR63" s="525"/>
      <c r="DS63" s="542" t="s">
        <v>10</v>
      </c>
      <c r="DT63" s="542"/>
      <c r="DU63" s="303"/>
      <c r="DV63" s="3" t="str">
        <f>IF(DV62="","",IF(DV62=1,0.5,IF(DV62=2,1,IF(DV62=3,1.5))))</f>
        <v/>
      </c>
      <c r="DW63" s="4"/>
      <c r="DX63" s="546" t="str">
        <f>IF(DV63="","",DV63*25)</f>
        <v/>
      </c>
      <c r="DY63" s="546"/>
      <c r="DZ63" s="8"/>
      <c r="EA63" s="8"/>
    </row>
    <row r="64" spans="1:131" x14ac:dyDescent="0.2">
      <c r="A64" s="540"/>
      <c r="B64" s="4"/>
      <c r="C64" s="4"/>
      <c r="D64" s="4"/>
      <c r="E64" s="4"/>
      <c r="F64" s="4"/>
      <c r="G64" s="4"/>
      <c r="H64" s="4"/>
      <c r="I64" s="4"/>
      <c r="J64" s="30"/>
      <c r="K64" s="525"/>
      <c r="L64" s="542" t="s">
        <v>20</v>
      </c>
      <c r="M64" s="542"/>
      <c r="N64" s="303"/>
      <c r="O64" s="3" t="str">
        <f>IF(O62="","",IF(O62=1,H35/5000,IF(O62=2,H35/3500,IF(O62=3,H35/5000)*2)))</f>
        <v/>
      </c>
      <c r="P64" s="4"/>
      <c r="Q64" s="543" t="str">
        <f>IF(O64="","",O64*25)</f>
        <v/>
      </c>
      <c r="R64" s="543"/>
      <c r="S64" s="8"/>
      <c r="T64" s="8"/>
      <c r="V64" s="300"/>
      <c r="W64" s="77"/>
      <c r="X64" s="300"/>
      <c r="Y64" s="300"/>
      <c r="Z64" s="540"/>
      <c r="AA64" s="4"/>
      <c r="AB64" s="4"/>
      <c r="AC64" s="4"/>
      <c r="AD64" s="4"/>
      <c r="AE64" s="4"/>
      <c r="AF64" s="4"/>
      <c r="AG64" s="4"/>
      <c r="AH64" s="4"/>
      <c r="AI64" s="30"/>
      <c r="AJ64" s="525"/>
      <c r="AK64" s="542" t="s">
        <v>20</v>
      </c>
      <c r="AL64" s="542"/>
      <c r="AM64" s="3" t="str">
        <f>IF(AM62="","",IF(AM62=1,AG35/5000,IF(AM62=2,AG35/3500,IF(AM62=3,AG35/5000)*2)))</f>
        <v/>
      </c>
      <c r="AN64" s="4"/>
      <c r="AO64" s="543" t="str">
        <f>IF(AM64="","",AM64*25)</f>
        <v/>
      </c>
      <c r="AP64" s="543"/>
      <c r="AQ64" s="8"/>
      <c r="AR64" s="8"/>
      <c r="AS64" s="300"/>
      <c r="AT64" s="300"/>
      <c r="AU64" s="540"/>
      <c r="AV64" s="4"/>
      <c r="AW64" s="4"/>
      <c r="AX64" s="4"/>
      <c r="AY64" s="4"/>
      <c r="AZ64" s="4"/>
      <c r="BA64" s="4"/>
      <c r="BB64" s="4"/>
      <c r="BC64" s="4"/>
      <c r="BD64" s="30"/>
      <c r="BE64" s="525"/>
      <c r="BF64" s="542" t="s">
        <v>20</v>
      </c>
      <c r="BG64" s="542"/>
      <c r="BH64" s="3" t="str">
        <f>IF(BH62="","",IF(BH62=1,BB35/5000,IF(BH62=2,BB35/3500,IF(BH62=3,BB35/5000)*2)))</f>
        <v/>
      </c>
      <c r="BI64" s="4"/>
      <c r="BJ64" s="543" t="str">
        <f>IF(BH64="","",BH64*25)</f>
        <v/>
      </c>
      <c r="BK64" s="543"/>
      <c r="BL64" s="8"/>
      <c r="BM64" s="8"/>
      <c r="BN64" s="298"/>
      <c r="BP64" s="540"/>
      <c r="BQ64" s="4"/>
      <c r="BR64" s="4"/>
      <c r="BS64" s="4"/>
      <c r="BT64" s="4"/>
      <c r="BU64" s="4"/>
      <c r="BV64" s="4"/>
      <c r="BW64" s="4"/>
      <c r="BX64" s="4"/>
      <c r="BY64" s="30"/>
      <c r="BZ64" s="525"/>
      <c r="CA64" s="542" t="s">
        <v>20</v>
      </c>
      <c r="CB64" s="542"/>
      <c r="CC64" s="303"/>
      <c r="CD64" s="3" t="str">
        <f>IF(CD62="","",IF(CD62=1,BW35/5000,IF(CD62=2,BW35/3500,IF(CD62=3,BW35/5000)*2)))</f>
        <v/>
      </c>
      <c r="CE64" s="4"/>
      <c r="CF64" s="543" t="str">
        <f>IF(CD64="","",CD64*25)</f>
        <v/>
      </c>
      <c r="CG64" s="543"/>
      <c r="CH64" s="8"/>
      <c r="CI64" s="8"/>
      <c r="CL64" s="540"/>
      <c r="CM64" s="4"/>
      <c r="CN64" s="4"/>
      <c r="CO64" s="4"/>
      <c r="CP64" s="4"/>
      <c r="CQ64" s="4"/>
      <c r="CR64" s="4"/>
      <c r="CS64" s="4"/>
      <c r="CT64" s="4"/>
      <c r="CU64" s="30"/>
      <c r="CV64" s="525"/>
      <c r="CW64" s="542" t="s">
        <v>20</v>
      </c>
      <c r="CX64" s="542"/>
      <c r="CY64" s="303"/>
      <c r="CZ64" s="3" t="str">
        <f>IF(CZ62="","",IF(CZ62=1,CS35/5000,IF(CZ62=2,CS35/3500,IF(CZ62=3,CS35/5000)*2)))</f>
        <v/>
      </c>
      <c r="DA64" s="4"/>
      <c r="DB64" s="543" t="str">
        <f>IF(CZ64="","",CZ64*25)</f>
        <v/>
      </c>
      <c r="DC64" s="543"/>
      <c r="DD64" s="8"/>
      <c r="DE64" s="8"/>
      <c r="DH64" s="540"/>
      <c r="DI64" s="4"/>
      <c r="DJ64" s="4"/>
      <c r="DK64" s="4"/>
      <c r="DL64" s="4"/>
      <c r="DM64" s="4"/>
      <c r="DN64" s="4"/>
      <c r="DO64" s="4"/>
      <c r="DP64" s="4"/>
      <c r="DQ64" s="30"/>
      <c r="DR64" s="525"/>
      <c r="DS64" s="542" t="s">
        <v>20</v>
      </c>
      <c r="DT64" s="542"/>
      <c r="DU64" s="303"/>
      <c r="DV64" s="3" t="str">
        <f>IF(DV62="","",IF(DV62=1,DO35/5000,IF(DV62=2,DO35/3500,IF(DV62=3,DO35/5000)*2)))</f>
        <v/>
      </c>
      <c r="DW64" s="4"/>
      <c r="DX64" s="543" t="str">
        <f>IF(DV64="","",DV64*25)</f>
        <v/>
      </c>
      <c r="DY64" s="543"/>
      <c r="DZ64" s="8"/>
      <c r="EA64" s="8"/>
    </row>
    <row r="65" spans="1:131" ht="15" x14ac:dyDescent="0.2">
      <c r="A65" s="540"/>
      <c r="B65" s="558"/>
      <c r="C65" s="542"/>
      <c r="D65" s="87"/>
      <c r="E65" s="4"/>
      <c r="F65" s="4"/>
      <c r="G65" s="4"/>
      <c r="H65" s="4"/>
      <c r="I65" s="4"/>
      <c r="J65" s="30"/>
      <c r="K65" s="525"/>
      <c r="L65" s="557" t="s">
        <v>239</v>
      </c>
      <c r="M65" s="527"/>
      <c r="N65" s="301"/>
      <c r="O65" s="3" t="str">
        <f>O64</f>
        <v/>
      </c>
      <c r="P65" s="8"/>
      <c r="Q65" s="543" t="str">
        <f>IF(O65="","",O65*11)</f>
        <v/>
      </c>
      <c r="R65" s="543"/>
      <c r="S65" s="8"/>
      <c r="T65" s="8"/>
      <c r="V65" s="300"/>
      <c r="W65" s="77"/>
      <c r="X65" s="299"/>
      <c r="Y65" s="300"/>
      <c r="Z65" s="540"/>
      <c r="AA65" s="558" t="s">
        <v>204</v>
      </c>
      <c r="AB65" s="542"/>
      <c r="AC65" s="195" t="str">
        <f>IF(D65="","",D65)</f>
        <v/>
      </c>
      <c r="AD65" s="4"/>
      <c r="AE65" s="4"/>
      <c r="AF65" s="4"/>
      <c r="AG65" s="4"/>
      <c r="AH65" s="4"/>
      <c r="AI65" s="30"/>
      <c r="AJ65" s="525"/>
      <c r="AK65" s="557" t="s">
        <v>239</v>
      </c>
      <c r="AL65" s="527"/>
      <c r="AM65" s="3" t="str">
        <f>AM64</f>
        <v/>
      </c>
      <c r="AN65" s="8"/>
      <c r="AO65" s="543" t="str">
        <f>IF(AM65="","",AM65*11)</f>
        <v/>
      </c>
      <c r="AP65" s="543"/>
      <c r="AQ65" s="8"/>
      <c r="AR65" s="8"/>
      <c r="AS65" s="300"/>
      <c r="AT65" s="300"/>
      <c r="AU65" s="540"/>
      <c r="AV65" s="558" t="s">
        <v>204</v>
      </c>
      <c r="AW65" s="542"/>
      <c r="AX65" s="195" t="str">
        <f>IF(D65="","",D65)</f>
        <v/>
      </c>
      <c r="AY65" s="4"/>
      <c r="AZ65" s="4"/>
      <c r="BA65" s="4"/>
      <c r="BB65" s="4"/>
      <c r="BC65" s="4"/>
      <c r="BD65" s="30"/>
      <c r="BE65" s="525"/>
      <c r="BF65" s="557" t="s">
        <v>239</v>
      </c>
      <c r="BG65" s="527"/>
      <c r="BH65" s="3" t="str">
        <f>BH64</f>
        <v/>
      </c>
      <c r="BI65" s="8"/>
      <c r="BJ65" s="543" t="str">
        <f>IF(BH65="","",BH65*11)</f>
        <v/>
      </c>
      <c r="BK65" s="543"/>
      <c r="BL65" s="8"/>
      <c r="BM65" s="8"/>
      <c r="BN65" s="298"/>
      <c r="BP65" s="540"/>
      <c r="BQ65" s="558" t="s">
        <v>204</v>
      </c>
      <c r="BR65" s="542"/>
      <c r="BS65" s="195" t="str">
        <f>AX65</f>
        <v/>
      </c>
      <c r="BT65" s="4"/>
      <c r="BU65" s="4"/>
      <c r="BV65" s="4"/>
      <c r="BW65" s="4"/>
      <c r="BX65" s="4"/>
      <c r="BY65" s="30"/>
      <c r="BZ65" s="525"/>
      <c r="CA65" s="557" t="s">
        <v>239</v>
      </c>
      <c r="CB65" s="527"/>
      <c r="CC65" s="301"/>
      <c r="CD65" s="3" t="str">
        <f>CD64</f>
        <v/>
      </c>
      <c r="CE65" s="8"/>
      <c r="CF65" s="543" t="str">
        <f>IF(CD65="","",CD65*11)</f>
        <v/>
      </c>
      <c r="CG65" s="543"/>
      <c r="CH65" s="8"/>
      <c r="CI65" s="8"/>
      <c r="CL65" s="540"/>
      <c r="CM65" s="558" t="s">
        <v>204</v>
      </c>
      <c r="CN65" s="542"/>
      <c r="CO65" s="195" t="str">
        <f>BS65</f>
        <v/>
      </c>
      <c r="CP65" s="4"/>
      <c r="CQ65" s="4"/>
      <c r="CR65" s="4"/>
      <c r="CS65" s="4"/>
      <c r="CT65" s="4"/>
      <c r="CU65" s="30"/>
      <c r="CV65" s="525"/>
      <c r="CW65" s="557" t="s">
        <v>239</v>
      </c>
      <c r="CX65" s="527"/>
      <c r="CY65" s="301"/>
      <c r="CZ65" s="3" t="str">
        <f>CZ64</f>
        <v/>
      </c>
      <c r="DA65" s="8"/>
      <c r="DB65" s="543" t="str">
        <f>IF(CZ65="","",CZ65*11)</f>
        <v/>
      </c>
      <c r="DC65" s="543"/>
      <c r="DD65" s="8"/>
      <c r="DE65" s="8"/>
      <c r="DH65" s="540"/>
      <c r="DI65" s="558" t="s">
        <v>204</v>
      </c>
      <c r="DJ65" s="542"/>
      <c r="DK65" s="195" t="str">
        <f>CO65</f>
        <v/>
      </c>
      <c r="DL65" s="4"/>
      <c r="DM65" s="4"/>
      <c r="DN65" s="4"/>
      <c r="DO65" s="4"/>
      <c r="DP65" s="4"/>
      <c r="DQ65" s="30"/>
      <c r="DR65" s="525"/>
      <c r="DS65" s="557" t="s">
        <v>239</v>
      </c>
      <c r="DT65" s="527"/>
      <c r="DU65" s="301"/>
      <c r="DV65" s="3" t="str">
        <f>DV64</f>
        <v/>
      </c>
      <c r="DW65" s="8"/>
      <c r="DX65" s="543" t="str">
        <f>IF(DV65="","",DV65*11)</f>
        <v/>
      </c>
      <c r="DY65" s="543"/>
      <c r="DZ65" s="8"/>
      <c r="EA65" s="8"/>
    </row>
    <row r="66" spans="1:131" x14ac:dyDescent="0.2">
      <c r="A66" s="540"/>
      <c r="B66" s="542" t="s">
        <v>10</v>
      </c>
      <c r="C66" s="542"/>
      <c r="D66" s="86"/>
      <c r="E66" s="4"/>
      <c r="F66" s="546" t="str">
        <f>IF(D66="","",D66*21)</f>
        <v/>
      </c>
      <c r="G66" s="546"/>
      <c r="H66" s="4"/>
      <c r="I66" s="4"/>
      <c r="J66" s="30"/>
      <c r="K66" s="525"/>
      <c r="L66" s="8"/>
      <c r="M66" s="8"/>
      <c r="N66" s="8"/>
      <c r="O66" s="8"/>
      <c r="P66" s="8"/>
      <c r="Q66" s="8"/>
      <c r="R66" s="8"/>
      <c r="S66" s="8"/>
      <c r="T66" s="8"/>
      <c r="V66" s="300"/>
      <c r="W66" s="77"/>
      <c r="X66" s="300"/>
      <c r="Y66" s="300"/>
      <c r="Z66" s="540"/>
      <c r="AA66" s="542" t="s">
        <v>10</v>
      </c>
      <c r="AB66" s="542"/>
      <c r="AC66" s="196" t="str">
        <f>IF(D66="","",D66)</f>
        <v/>
      </c>
      <c r="AD66" s="4"/>
      <c r="AE66" s="546" t="str">
        <f>IF(AC66="","",AC66*21)</f>
        <v/>
      </c>
      <c r="AF66" s="546"/>
      <c r="AG66" s="4"/>
      <c r="AH66" s="4"/>
      <c r="AI66" s="30"/>
      <c r="AJ66" s="525"/>
      <c r="AK66" s="8"/>
      <c r="AL66" s="8"/>
      <c r="AM66" s="8"/>
      <c r="AN66" s="8"/>
      <c r="AO66" s="8"/>
      <c r="AP66" s="8"/>
      <c r="AQ66" s="8"/>
      <c r="AR66" s="8"/>
      <c r="AS66" s="300"/>
      <c r="AT66" s="300"/>
      <c r="AU66" s="540"/>
      <c r="AV66" s="542" t="s">
        <v>10</v>
      </c>
      <c r="AW66" s="542"/>
      <c r="AX66" s="196" t="str">
        <f>IF(D66="","",D66)</f>
        <v/>
      </c>
      <c r="AY66" s="4"/>
      <c r="AZ66" s="546" t="str">
        <f>IF(AX66="","",AX66*21)</f>
        <v/>
      </c>
      <c r="BA66" s="546"/>
      <c r="BB66" s="4"/>
      <c r="BC66" s="4"/>
      <c r="BD66" s="30"/>
      <c r="BE66" s="525"/>
      <c r="BF66" s="8"/>
      <c r="BG66" s="8"/>
      <c r="BH66" s="8"/>
      <c r="BI66" s="8"/>
      <c r="BJ66" s="8"/>
      <c r="BK66" s="8"/>
      <c r="BL66" s="8"/>
      <c r="BM66" s="8"/>
      <c r="BN66" s="298"/>
      <c r="BP66" s="540"/>
      <c r="BQ66" s="542" t="s">
        <v>10</v>
      </c>
      <c r="BR66" s="542"/>
      <c r="BS66" s="194" t="str">
        <f>AX66</f>
        <v/>
      </c>
      <c r="BT66" s="4"/>
      <c r="BU66" s="546" t="str">
        <f>IF(BS66="","",BS66*21)</f>
        <v/>
      </c>
      <c r="BV66" s="546"/>
      <c r="BW66" s="4"/>
      <c r="BX66" s="4"/>
      <c r="BY66" s="30"/>
      <c r="BZ66" s="525"/>
      <c r="CA66" s="8"/>
      <c r="CB66" s="8"/>
      <c r="CC66" s="8"/>
      <c r="CD66" s="8"/>
      <c r="CE66" s="8"/>
      <c r="CF66" s="8"/>
      <c r="CG66" s="8"/>
      <c r="CH66" s="8"/>
      <c r="CI66" s="8"/>
      <c r="CL66" s="540"/>
      <c r="CM66" s="542" t="s">
        <v>10</v>
      </c>
      <c r="CN66" s="542"/>
      <c r="CO66" s="194" t="str">
        <f>BS66</f>
        <v/>
      </c>
      <c r="CP66" s="4"/>
      <c r="CQ66" s="546" t="str">
        <f>IF(CO66="","",CO66*21)</f>
        <v/>
      </c>
      <c r="CR66" s="546"/>
      <c r="CS66" s="4"/>
      <c r="CT66" s="4"/>
      <c r="CU66" s="30"/>
      <c r="CV66" s="525"/>
      <c r="CW66" s="8"/>
      <c r="CX66" s="8"/>
      <c r="CY66" s="8"/>
      <c r="CZ66" s="8"/>
      <c r="DA66" s="8"/>
      <c r="DB66" s="8"/>
      <c r="DC66" s="8"/>
      <c r="DD66" s="8"/>
      <c r="DE66" s="8"/>
      <c r="DH66" s="540"/>
      <c r="DI66" s="542" t="s">
        <v>10</v>
      </c>
      <c r="DJ66" s="542"/>
      <c r="DK66" s="194" t="str">
        <f>CO66</f>
        <v/>
      </c>
      <c r="DL66" s="4"/>
      <c r="DM66" s="546" t="str">
        <f>IF(DK66="","",DK66*21)</f>
        <v/>
      </c>
      <c r="DN66" s="546"/>
      <c r="DO66" s="4"/>
      <c r="DP66" s="4"/>
      <c r="DQ66" s="30"/>
      <c r="DR66" s="525"/>
      <c r="DS66" s="8"/>
      <c r="DT66" s="8"/>
      <c r="DU66" s="8"/>
      <c r="DV66" s="8"/>
      <c r="DW66" s="8"/>
      <c r="DX66" s="8"/>
      <c r="DY66" s="8"/>
      <c r="DZ66" s="8"/>
      <c r="EA66" s="8"/>
    </row>
    <row r="67" spans="1:131" x14ac:dyDescent="0.2">
      <c r="A67" s="540"/>
      <c r="B67" s="542" t="s">
        <v>11</v>
      </c>
      <c r="C67" s="542"/>
      <c r="D67" s="3" t="str">
        <f>IF(D65="","",IF(D65=1,(H35/$U$12)/3000,IF(D65=2,(H35/$U$12*2)/3000,IF(D65=3,(H35/$U$12*2)/3000))))</f>
        <v/>
      </c>
      <c r="E67" s="4"/>
      <c r="F67" s="543" t="str">
        <f>IF(D67="","",D67*21)</f>
        <v/>
      </c>
      <c r="G67" s="543"/>
      <c r="H67" s="4"/>
      <c r="I67" s="4"/>
      <c r="J67" s="30"/>
      <c r="K67" s="525"/>
      <c r="L67" s="8"/>
      <c r="M67" s="8"/>
      <c r="N67" s="8"/>
      <c r="O67" s="8"/>
      <c r="P67" s="8"/>
      <c r="Q67" s="8"/>
      <c r="R67" s="8"/>
      <c r="S67" s="8"/>
      <c r="T67" s="8"/>
      <c r="V67" s="300"/>
      <c r="W67" s="77"/>
      <c r="X67" s="300"/>
      <c r="Y67" s="300"/>
      <c r="Z67" s="540"/>
      <c r="AA67" s="542" t="s">
        <v>11</v>
      </c>
      <c r="AB67" s="542"/>
      <c r="AC67" s="3" t="str">
        <f>IF(AC65="","",IF(AC65=1,(AG35/$U$12)/3000,IF(AC65=2,(AG35/$U$12*2)/3000,IF(AC65=3,(AG35/$U$12*2)/3000))))</f>
        <v/>
      </c>
      <c r="AD67" s="4"/>
      <c r="AE67" s="543" t="str">
        <f>IF(AC67="","",AC67*21)</f>
        <v/>
      </c>
      <c r="AF67" s="543"/>
      <c r="AG67" s="4"/>
      <c r="AH67" s="4"/>
      <c r="AI67" s="30"/>
      <c r="AJ67" s="525"/>
      <c r="AK67" s="8"/>
      <c r="AL67" s="8"/>
      <c r="AM67" s="8"/>
      <c r="AN67" s="8"/>
      <c r="AO67" s="8"/>
      <c r="AP67" s="8"/>
      <c r="AQ67" s="8"/>
      <c r="AR67" s="8"/>
      <c r="AS67" s="300"/>
      <c r="AT67" s="300"/>
      <c r="AU67" s="540"/>
      <c r="AV67" s="542" t="s">
        <v>11</v>
      </c>
      <c r="AW67" s="542"/>
      <c r="AX67" s="3" t="str">
        <f>IF(AX65="","",IF(AX65=1,(BB35/$U$12)/3000,IF(AX65=2,(BB35/$U$12*2)/3000,IF(AX65=3,(BB35/$U$12*2)/3000))))</f>
        <v/>
      </c>
      <c r="AY67" s="4"/>
      <c r="AZ67" s="543" t="str">
        <f>IF(AX67="","",AX67*21)</f>
        <v/>
      </c>
      <c r="BA67" s="543"/>
      <c r="BB67" s="4"/>
      <c r="BC67" s="4"/>
      <c r="BD67" s="30"/>
      <c r="BE67" s="525"/>
      <c r="BF67" s="8"/>
      <c r="BG67" s="8"/>
      <c r="BH67" s="8"/>
      <c r="BI67" s="8"/>
      <c r="BJ67" s="8"/>
      <c r="BK67" s="8"/>
      <c r="BL67" s="8"/>
      <c r="BM67" s="8"/>
      <c r="BN67" s="298"/>
      <c r="BP67" s="540"/>
      <c r="BQ67" s="542" t="s">
        <v>11</v>
      </c>
      <c r="BR67" s="542"/>
      <c r="BS67" s="3" t="str">
        <f>IF(BS65="","",IF(BS65=1,(BW35/$U$12)/3000,IF(BS65=2,(BW35/$U$12*2)/3000,IF(BS65=3,(BW35/$U$12*2)/3000))))</f>
        <v/>
      </c>
      <c r="BT67" s="4"/>
      <c r="BU67" s="543" t="str">
        <f>IF(BS67="","",BS67*21)</f>
        <v/>
      </c>
      <c r="BV67" s="543"/>
      <c r="BW67" s="4"/>
      <c r="BX67" s="4"/>
      <c r="BY67" s="30"/>
      <c r="BZ67" s="525"/>
      <c r="CA67" s="8"/>
      <c r="CB67" s="8"/>
      <c r="CC67" s="8"/>
      <c r="CD67" s="8"/>
      <c r="CE67" s="8"/>
      <c r="CF67" s="8"/>
      <c r="CG67" s="8"/>
      <c r="CH67" s="8"/>
      <c r="CI67" s="8"/>
      <c r="CL67" s="540"/>
      <c r="CM67" s="542" t="s">
        <v>11</v>
      </c>
      <c r="CN67" s="542"/>
      <c r="CO67" s="3" t="str">
        <f>IF(CO65="","",IF(CO65=1,(CS35/$U$12)/3000,IF(CO65=2,(CS35/$U$12*2)/3000,IF(CO65=3,(CS35/$U$12*2)/3000))))</f>
        <v/>
      </c>
      <c r="CP67" s="4"/>
      <c r="CQ67" s="543" t="str">
        <f>IF(CO67="","",CO67*21)</f>
        <v/>
      </c>
      <c r="CR67" s="543"/>
      <c r="CS67" s="4"/>
      <c r="CT67" s="4"/>
      <c r="CU67" s="30"/>
      <c r="CV67" s="525"/>
      <c r="CW67" s="8"/>
      <c r="CX67" s="8"/>
      <c r="CY67" s="8"/>
      <c r="CZ67" s="8"/>
      <c r="DA67" s="8"/>
      <c r="DB67" s="8"/>
      <c r="DC67" s="8"/>
      <c r="DD67" s="8"/>
      <c r="DE67" s="8"/>
      <c r="DH67" s="540"/>
      <c r="DI67" s="542" t="s">
        <v>11</v>
      </c>
      <c r="DJ67" s="542"/>
      <c r="DK67" s="3" t="str">
        <f>IF(DK65="","",IF(DK65=1,(DO35/$U$12)/3000,IF(DK65=2,(DO35/$U$12*2)/3000,IF(DK65=3,(DO35/$U$12*2)/3000))))</f>
        <v/>
      </c>
      <c r="DL67" s="4"/>
      <c r="DM67" s="543" t="str">
        <f>IF(DK67="","",DK67*21)</f>
        <v/>
      </c>
      <c r="DN67" s="543"/>
      <c r="DO67" s="4"/>
      <c r="DP67" s="4"/>
      <c r="DQ67" s="30"/>
      <c r="DR67" s="525"/>
      <c r="DS67" s="8"/>
      <c r="DT67" s="8"/>
      <c r="DU67" s="8"/>
      <c r="DV67" s="8"/>
      <c r="DW67" s="8"/>
      <c r="DX67" s="8"/>
      <c r="DY67" s="8"/>
      <c r="DZ67" s="8"/>
      <c r="EA67" s="8"/>
    </row>
    <row r="68" spans="1:131" x14ac:dyDescent="0.2">
      <c r="A68" s="540"/>
      <c r="B68" s="4"/>
      <c r="C68" s="4"/>
      <c r="D68" s="4"/>
      <c r="E68" s="4"/>
      <c r="F68" s="4"/>
      <c r="G68" s="4"/>
      <c r="H68" s="4"/>
      <c r="I68" s="4"/>
      <c r="J68" s="30"/>
      <c r="K68" s="525"/>
      <c r="L68" s="531" t="s">
        <v>22</v>
      </c>
      <c r="M68" s="531"/>
      <c r="N68" s="531"/>
      <c r="O68" s="531"/>
      <c r="P68" s="531"/>
      <c r="Q68" s="4"/>
      <c r="R68" s="4"/>
      <c r="S68" s="4"/>
      <c r="T68" s="4"/>
      <c r="V68" s="300"/>
      <c r="W68" s="77"/>
      <c r="X68" s="300"/>
      <c r="Y68" s="300"/>
      <c r="Z68" s="540"/>
      <c r="AA68" s="4"/>
      <c r="AB68" s="4"/>
      <c r="AC68" s="4"/>
      <c r="AD68" s="4"/>
      <c r="AE68" s="4"/>
      <c r="AF68" s="4"/>
      <c r="AG68" s="4"/>
      <c r="AH68" s="4"/>
      <c r="AI68" s="30"/>
      <c r="AJ68" s="525"/>
      <c r="AK68" s="531" t="s">
        <v>22</v>
      </c>
      <c r="AL68" s="531"/>
      <c r="AM68" s="531"/>
      <c r="AN68" s="531"/>
      <c r="AO68" s="4"/>
      <c r="AP68" s="4"/>
      <c r="AQ68" s="4"/>
      <c r="AR68" s="4"/>
      <c r="AS68" s="300"/>
      <c r="AT68" s="300"/>
      <c r="AU68" s="540"/>
      <c r="AV68" s="4"/>
      <c r="AW68" s="4"/>
      <c r="AX68" s="4"/>
      <c r="AY68" s="4"/>
      <c r="AZ68" s="4"/>
      <c r="BA68" s="4"/>
      <c r="BB68" s="4"/>
      <c r="BC68" s="4"/>
      <c r="BD68" s="30"/>
      <c r="BE68" s="525"/>
      <c r="BF68" s="531" t="s">
        <v>22</v>
      </c>
      <c r="BG68" s="531"/>
      <c r="BH68" s="531"/>
      <c r="BI68" s="531"/>
      <c r="BJ68" s="4"/>
      <c r="BK68" s="4"/>
      <c r="BL68" s="4"/>
      <c r="BM68" s="4"/>
      <c r="BN68" s="298"/>
      <c r="BP68" s="540"/>
      <c r="BQ68" s="4"/>
      <c r="BR68" s="4"/>
      <c r="BS68" s="4"/>
      <c r="BT68" s="4"/>
      <c r="BU68" s="4"/>
      <c r="BV68" s="4"/>
      <c r="BW68" s="4"/>
      <c r="BX68" s="4"/>
      <c r="BY68" s="30"/>
      <c r="BZ68" s="525"/>
      <c r="CA68" s="531" t="s">
        <v>22</v>
      </c>
      <c r="CB68" s="531"/>
      <c r="CC68" s="531"/>
      <c r="CD68" s="531"/>
      <c r="CE68" s="531"/>
      <c r="CF68" s="4"/>
      <c r="CG68" s="4"/>
      <c r="CH68" s="4"/>
      <c r="CI68" s="4"/>
      <c r="CL68" s="540"/>
      <c r="CM68" s="4"/>
      <c r="CN68" s="4"/>
      <c r="CO68" s="4"/>
      <c r="CP68" s="4"/>
      <c r="CQ68" s="4"/>
      <c r="CR68" s="4"/>
      <c r="CS68" s="4"/>
      <c r="CT68" s="4"/>
      <c r="CU68" s="30"/>
      <c r="CV68" s="525"/>
      <c r="CW68" s="531" t="s">
        <v>22</v>
      </c>
      <c r="CX68" s="531"/>
      <c r="CY68" s="531"/>
      <c r="CZ68" s="531"/>
      <c r="DA68" s="531"/>
      <c r="DB68" s="4"/>
      <c r="DC68" s="4"/>
      <c r="DD68" s="4"/>
      <c r="DE68" s="4"/>
      <c r="DH68" s="540"/>
      <c r="DI68" s="4"/>
      <c r="DJ68" s="4"/>
      <c r="DK68" s="4"/>
      <c r="DL68" s="4"/>
      <c r="DM68" s="4"/>
      <c r="DN68" s="4"/>
      <c r="DO68" s="4"/>
      <c r="DP68" s="4"/>
      <c r="DQ68" s="30"/>
      <c r="DR68" s="525"/>
      <c r="DS68" s="531" t="s">
        <v>22</v>
      </c>
      <c r="DT68" s="531"/>
      <c r="DU68" s="531"/>
      <c r="DV68" s="531"/>
      <c r="DW68" s="531"/>
      <c r="DX68" s="4"/>
      <c r="DY68" s="4"/>
      <c r="DZ68" s="4"/>
      <c r="EA68" s="4"/>
    </row>
    <row r="69" spans="1:131" x14ac:dyDescent="0.2">
      <c r="A69" s="540"/>
      <c r="B69" s="4"/>
      <c r="C69" s="4"/>
      <c r="D69" s="4"/>
      <c r="E69" s="4"/>
      <c r="F69" s="4"/>
      <c r="G69" s="4"/>
      <c r="H69" s="4"/>
      <c r="I69" s="4"/>
      <c r="J69" s="30"/>
      <c r="K69" s="525"/>
      <c r="L69" s="4"/>
      <c r="M69" s="4"/>
      <c r="N69" s="4"/>
      <c r="O69" s="89"/>
      <c r="P69" s="4"/>
      <c r="Q69" s="546" t="str">
        <f>IF(O69="","",O69*17)</f>
        <v/>
      </c>
      <c r="R69" s="546"/>
      <c r="S69" s="4"/>
      <c r="T69" s="4"/>
      <c r="V69" s="300"/>
      <c r="W69" s="77"/>
      <c r="X69" s="300"/>
      <c r="Y69" s="300"/>
      <c r="Z69" s="540"/>
      <c r="AA69" s="4"/>
      <c r="AB69" s="4"/>
      <c r="AC69" s="4"/>
      <c r="AD69" s="4"/>
      <c r="AE69" s="4"/>
      <c r="AF69" s="4"/>
      <c r="AG69" s="4"/>
      <c r="AH69" s="4"/>
      <c r="AI69" s="30"/>
      <c r="AJ69" s="525"/>
      <c r="AK69" s="4"/>
      <c r="AL69" s="4"/>
      <c r="AM69" s="67"/>
      <c r="AN69" s="4"/>
      <c r="AO69" s="546" t="str">
        <f>IF(AM69="","",AM69*17)</f>
        <v/>
      </c>
      <c r="AP69" s="546"/>
      <c r="AQ69" s="4"/>
      <c r="AR69" s="4"/>
      <c r="AS69" s="300"/>
      <c r="AT69" s="300"/>
      <c r="AU69" s="540"/>
      <c r="AV69" s="4"/>
      <c r="AW69" s="4"/>
      <c r="AX69" s="4"/>
      <c r="AY69" s="4"/>
      <c r="AZ69" s="4"/>
      <c r="BA69" s="4"/>
      <c r="BB69" s="4"/>
      <c r="BC69" s="4"/>
      <c r="BD69" s="30"/>
      <c r="BE69" s="525"/>
      <c r="BF69" s="4"/>
      <c r="BG69" s="4"/>
      <c r="BH69" s="67"/>
      <c r="BI69" s="4"/>
      <c r="BJ69" s="546" t="str">
        <f>IF(BH69="","",BH69*17)</f>
        <v/>
      </c>
      <c r="BK69" s="546"/>
      <c r="BL69" s="4"/>
      <c r="BM69" s="4"/>
      <c r="BN69" s="298"/>
      <c r="BP69" s="540"/>
      <c r="BQ69" s="4"/>
      <c r="BR69" s="4"/>
      <c r="BS69" s="4"/>
      <c r="BT69" s="4"/>
      <c r="BU69" s="4"/>
      <c r="BV69" s="4"/>
      <c r="BW69" s="4"/>
      <c r="BX69" s="4"/>
      <c r="BY69" s="30"/>
      <c r="BZ69" s="525"/>
      <c r="CA69" s="4"/>
      <c r="CB69" s="4"/>
      <c r="CC69" s="4"/>
      <c r="CD69" s="67"/>
      <c r="CE69" s="4"/>
      <c r="CF69" s="546" t="str">
        <f>IF(CD69="","",CD69*17)</f>
        <v/>
      </c>
      <c r="CG69" s="546"/>
      <c r="CH69" s="4"/>
      <c r="CI69" s="4"/>
      <c r="CL69" s="540"/>
      <c r="CM69" s="4"/>
      <c r="CN69" s="4"/>
      <c r="CO69" s="4"/>
      <c r="CP69" s="4"/>
      <c r="CQ69" s="4"/>
      <c r="CR69" s="4"/>
      <c r="CS69" s="4"/>
      <c r="CT69" s="4"/>
      <c r="CU69" s="30"/>
      <c r="CV69" s="525"/>
      <c r="CW69" s="4"/>
      <c r="CX69" s="4"/>
      <c r="CY69" s="4"/>
      <c r="CZ69" s="67"/>
      <c r="DA69" s="4"/>
      <c r="DB69" s="546" t="str">
        <f>IF(CZ69="","",CZ69*17)</f>
        <v/>
      </c>
      <c r="DC69" s="546"/>
      <c r="DD69" s="4"/>
      <c r="DE69" s="4"/>
      <c r="DH69" s="540"/>
      <c r="DI69" s="4"/>
      <c r="DJ69" s="4"/>
      <c r="DK69" s="4"/>
      <c r="DL69" s="4"/>
      <c r="DM69" s="4"/>
      <c r="DN69" s="4"/>
      <c r="DO69" s="4"/>
      <c r="DP69" s="4"/>
      <c r="DQ69" s="30"/>
      <c r="DR69" s="525"/>
      <c r="DS69" s="4"/>
      <c r="DT69" s="4"/>
      <c r="DU69" s="4"/>
      <c r="DV69" s="67"/>
      <c r="DW69" s="4"/>
      <c r="DX69" s="546" t="str">
        <f>IF(DV69="","",DV69*17)</f>
        <v/>
      </c>
      <c r="DY69" s="546"/>
      <c r="DZ69" s="4"/>
      <c r="EA69" s="4"/>
    </row>
    <row r="70" spans="1:131" x14ac:dyDescent="0.2">
      <c r="A70" s="540"/>
      <c r="B70" s="530"/>
      <c r="C70" s="521"/>
      <c r="D70" s="85"/>
      <c r="E70" s="4"/>
      <c r="F70" s="4"/>
      <c r="G70" s="4"/>
      <c r="H70" s="4"/>
      <c r="I70" s="4"/>
      <c r="J70" s="30"/>
      <c r="K70" s="525"/>
      <c r="L70" s="4"/>
      <c r="M70" s="4"/>
      <c r="N70" s="4"/>
      <c r="O70" s="4"/>
      <c r="P70" s="4"/>
      <c r="Q70" s="4"/>
      <c r="R70" s="4"/>
      <c r="S70" s="4"/>
      <c r="T70" s="4"/>
      <c r="V70" s="300"/>
      <c r="W70" s="77"/>
      <c r="X70" s="305"/>
      <c r="Y70" s="305"/>
      <c r="Z70" s="540"/>
      <c r="AA70" s="530" t="s">
        <v>58</v>
      </c>
      <c r="AB70" s="521"/>
      <c r="AC70" s="74" t="str">
        <f>IF(D70="","",D70)</f>
        <v/>
      </c>
      <c r="AD70" s="4"/>
      <c r="AE70" s="4"/>
      <c r="AF70" s="4"/>
      <c r="AG70" s="4"/>
      <c r="AH70" s="4"/>
      <c r="AI70" s="30"/>
      <c r="AJ70" s="525"/>
      <c r="AK70" s="4"/>
      <c r="AL70" s="4"/>
      <c r="AM70" s="4"/>
      <c r="AN70" s="4"/>
      <c r="AO70" s="4"/>
      <c r="AP70" s="4"/>
      <c r="AQ70" s="4"/>
      <c r="AR70" s="4"/>
      <c r="AS70" s="300"/>
      <c r="AT70" s="300"/>
      <c r="AU70" s="540"/>
      <c r="AV70" s="530" t="s">
        <v>58</v>
      </c>
      <c r="AW70" s="521"/>
      <c r="AX70" s="74" t="str">
        <f>IF(D70="","",D70)</f>
        <v/>
      </c>
      <c r="AY70" s="4"/>
      <c r="AZ70" s="4"/>
      <c r="BA70" s="4"/>
      <c r="BB70" s="4"/>
      <c r="BC70" s="4"/>
      <c r="BD70" s="30"/>
      <c r="BE70" s="525"/>
      <c r="BF70" s="4"/>
      <c r="BG70" s="4"/>
      <c r="BH70" s="4"/>
      <c r="BI70" s="4"/>
      <c r="BJ70" s="4"/>
      <c r="BK70" s="4"/>
      <c r="BL70" s="4"/>
      <c r="BM70" s="4"/>
      <c r="BN70" s="298"/>
      <c r="BP70" s="540"/>
      <c r="BQ70" s="530" t="s">
        <v>58</v>
      </c>
      <c r="BR70" s="521"/>
      <c r="BS70" s="74" t="str">
        <f>AX70</f>
        <v/>
      </c>
      <c r="BT70" s="4"/>
      <c r="BU70" s="4"/>
      <c r="BV70" s="4"/>
      <c r="BW70" s="4"/>
      <c r="BX70" s="4"/>
      <c r="BY70" s="30"/>
      <c r="BZ70" s="525"/>
      <c r="CA70" s="4"/>
      <c r="CB70" s="4"/>
      <c r="CC70" s="4"/>
      <c r="CD70" s="4"/>
      <c r="CE70" s="4"/>
      <c r="CF70" s="4"/>
      <c r="CG70" s="4"/>
      <c r="CH70" s="4"/>
      <c r="CI70" s="4"/>
      <c r="CL70" s="540"/>
      <c r="CM70" s="530" t="s">
        <v>58</v>
      </c>
      <c r="CN70" s="521"/>
      <c r="CO70" s="74" t="str">
        <f>BS70</f>
        <v/>
      </c>
      <c r="CP70" s="4"/>
      <c r="CQ70" s="4"/>
      <c r="CR70" s="4"/>
      <c r="CS70" s="4"/>
      <c r="CT70" s="4"/>
      <c r="CU70" s="30"/>
      <c r="CV70" s="525"/>
      <c r="CW70" s="4"/>
      <c r="CX70" s="4"/>
      <c r="CY70" s="4"/>
      <c r="CZ70" s="4"/>
      <c r="DA70" s="4"/>
      <c r="DB70" s="4"/>
      <c r="DC70" s="4"/>
      <c r="DD70" s="4"/>
      <c r="DE70" s="4"/>
      <c r="DH70" s="540"/>
      <c r="DI70" s="530" t="s">
        <v>58</v>
      </c>
      <c r="DJ70" s="521"/>
      <c r="DK70" s="74" t="str">
        <f>CO70</f>
        <v/>
      </c>
      <c r="DL70" s="4"/>
      <c r="DM70" s="4"/>
      <c r="DN70" s="4"/>
      <c r="DO70" s="4"/>
      <c r="DP70" s="4"/>
      <c r="DQ70" s="30"/>
      <c r="DR70" s="525"/>
      <c r="DS70" s="4"/>
      <c r="DT70" s="4"/>
      <c r="DU70" s="4"/>
      <c r="DV70" s="4"/>
      <c r="DW70" s="4"/>
      <c r="DX70" s="4"/>
      <c r="DY70" s="4"/>
      <c r="DZ70" s="4"/>
      <c r="EA70" s="4"/>
    </row>
    <row r="71" spans="1:131" x14ac:dyDescent="0.2">
      <c r="A71" s="540"/>
      <c r="B71" s="542" t="s">
        <v>10</v>
      </c>
      <c r="C71" s="542"/>
      <c r="D71" s="3" t="str">
        <f>IF(D70="","",IF(D70=1,1.5,IF(D70=2,3)))</f>
        <v/>
      </c>
      <c r="E71" s="4"/>
      <c r="F71" s="546" t="str">
        <f>IF(D71="","",D71*67)</f>
        <v/>
      </c>
      <c r="G71" s="546"/>
      <c r="H71" s="4"/>
      <c r="I71" s="4"/>
      <c r="J71" s="30"/>
      <c r="K71" s="525"/>
      <c r="L71" s="4"/>
      <c r="M71" s="4"/>
      <c r="N71" s="4"/>
      <c r="O71" s="4"/>
      <c r="P71" s="4"/>
      <c r="Q71" s="4"/>
      <c r="R71" s="4"/>
      <c r="S71" s="4"/>
      <c r="T71" s="4"/>
      <c r="V71" s="300"/>
      <c r="W71" s="77"/>
      <c r="X71" s="300"/>
      <c r="Y71" s="300"/>
      <c r="Z71" s="540"/>
      <c r="AA71" s="542" t="s">
        <v>10</v>
      </c>
      <c r="AB71" s="542"/>
      <c r="AC71" s="3" t="str">
        <f>IF(AC70="","",IF(AC70=1,1.5,IF(AC70=2,3)))</f>
        <v/>
      </c>
      <c r="AD71" s="4"/>
      <c r="AE71" s="546" t="str">
        <f>IF(AC71="","",AC71*67)</f>
        <v/>
      </c>
      <c r="AF71" s="546"/>
      <c r="AG71" s="4"/>
      <c r="AH71" s="4"/>
      <c r="AI71" s="30"/>
      <c r="AJ71" s="525"/>
      <c r="AK71" s="4"/>
      <c r="AL71" s="4"/>
      <c r="AM71" s="4"/>
      <c r="AN71" s="4"/>
      <c r="AO71" s="4"/>
      <c r="AP71" s="4"/>
      <c r="AQ71" s="4"/>
      <c r="AR71" s="4"/>
      <c r="AS71" s="300"/>
      <c r="AT71" s="300"/>
      <c r="AU71" s="540"/>
      <c r="AV71" s="542" t="s">
        <v>10</v>
      </c>
      <c r="AW71" s="542"/>
      <c r="AX71" s="3" t="str">
        <f>IF(AX70="","",IF(AX70=1,1.5,IF(AX70=2,3)))</f>
        <v/>
      </c>
      <c r="AY71" s="4"/>
      <c r="AZ71" s="546" t="str">
        <f>IF(AX71="","",AX71*67)</f>
        <v/>
      </c>
      <c r="BA71" s="546"/>
      <c r="BB71" s="4"/>
      <c r="BC71" s="4"/>
      <c r="BD71" s="30"/>
      <c r="BE71" s="525"/>
      <c r="BF71" s="4"/>
      <c r="BG71" s="4"/>
      <c r="BH71" s="4"/>
      <c r="BI71" s="4"/>
      <c r="BJ71" s="4"/>
      <c r="BK71" s="4"/>
      <c r="BL71" s="4"/>
      <c r="BM71" s="4"/>
      <c r="BN71" s="298"/>
      <c r="BP71" s="540"/>
      <c r="BQ71" s="542" t="s">
        <v>10</v>
      </c>
      <c r="BR71" s="542"/>
      <c r="BS71" s="3" t="str">
        <f>IF(BS70="","",IF(BS70=1,1.5,IF(BS70=2,3)))</f>
        <v/>
      </c>
      <c r="BT71" s="4"/>
      <c r="BU71" s="546" t="str">
        <f>IF(BS71="","",BS71*67)</f>
        <v/>
      </c>
      <c r="BV71" s="546"/>
      <c r="BW71" s="4"/>
      <c r="BX71" s="4"/>
      <c r="BY71" s="30"/>
      <c r="BZ71" s="525"/>
      <c r="CA71" s="4"/>
      <c r="CB71" s="4"/>
      <c r="CC71" s="4"/>
      <c r="CD71" s="4"/>
      <c r="CE71" s="4"/>
      <c r="CF71" s="4"/>
      <c r="CG71" s="4"/>
      <c r="CH71" s="4"/>
      <c r="CI71" s="4"/>
      <c r="CL71" s="540"/>
      <c r="CM71" s="542" t="s">
        <v>10</v>
      </c>
      <c r="CN71" s="542"/>
      <c r="CO71" s="3" t="str">
        <f>IF(CO70="","",IF(CO70=1,1.5,IF(CO70=2,3)))</f>
        <v/>
      </c>
      <c r="CP71" s="4"/>
      <c r="CQ71" s="546" t="str">
        <f>IF(CO71="","",CO71*67)</f>
        <v/>
      </c>
      <c r="CR71" s="546"/>
      <c r="CS71" s="4"/>
      <c r="CT71" s="4"/>
      <c r="CU71" s="30"/>
      <c r="CV71" s="525"/>
      <c r="CW71" s="4"/>
      <c r="CX71" s="4"/>
      <c r="CY71" s="4"/>
      <c r="CZ71" s="4"/>
      <c r="DA71" s="4"/>
      <c r="DB71" s="4"/>
      <c r="DC71" s="4"/>
      <c r="DD71" s="4"/>
      <c r="DE71" s="4"/>
      <c r="DH71" s="540"/>
      <c r="DI71" s="542" t="s">
        <v>10</v>
      </c>
      <c r="DJ71" s="542"/>
      <c r="DK71" s="3" t="str">
        <f>IF(DK70="","",IF(DK70=1,1.5,IF(DK70=2,3)))</f>
        <v/>
      </c>
      <c r="DL71" s="4"/>
      <c r="DM71" s="546" t="str">
        <f>IF(DK71="","",DK71*67)</f>
        <v/>
      </c>
      <c r="DN71" s="546"/>
      <c r="DO71" s="4"/>
      <c r="DP71" s="4"/>
      <c r="DQ71" s="30"/>
      <c r="DR71" s="525"/>
      <c r="DS71" s="4"/>
      <c r="DT71" s="4"/>
      <c r="DU71" s="4"/>
      <c r="DV71" s="4"/>
      <c r="DW71" s="4"/>
      <c r="DX71" s="4"/>
      <c r="DY71" s="4"/>
      <c r="DZ71" s="4"/>
      <c r="EA71" s="4"/>
    </row>
    <row r="72" spans="1:131" x14ac:dyDescent="0.2">
      <c r="A72" s="540"/>
      <c r="B72" s="542" t="s">
        <v>11</v>
      </c>
      <c r="C72" s="542"/>
      <c r="D72" s="3" t="str">
        <f>IF(D70="","",IF(D70=1,(H35/$U$12)/1000,IF(D70=2,(H35/$U$12)/1000)))</f>
        <v/>
      </c>
      <c r="E72" s="4"/>
      <c r="F72" s="546" t="str">
        <f>IF(D72="","",D72*67)</f>
        <v/>
      </c>
      <c r="G72" s="546"/>
      <c r="H72" s="4"/>
      <c r="I72" s="4"/>
      <c r="J72" s="30"/>
      <c r="K72" s="525"/>
      <c r="L72" s="531" t="s">
        <v>60</v>
      </c>
      <c r="M72" s="531"/>
      <c r="N72" s="531"/>
      <c r="O72" s="531"/>
      <c r="P72" s="531"/>
      <c r="Q72" s="542"/>
      <c r="R72" s="542"/>
      <c r="S72" s="542"/>
      <c r="T72" s="542"/>
      <c r="V72" s="300"/>
      <c r="W72" s="77"/>
      <c r="X72" s="300"/>
      <c r="Y72" s="300"/>
      <c r="Z72" s="540"/>
      <c r="AA72" s="542" t="s">
        <v>11</v>
      </c>
      <c r="AB72" s="542"/>
      <c r="AC72" s="3" t="str">
        <f>IF(AC70="","",IF(AC70=1,(AG35/$U$12)/1000,IF(AC70=2,(AG35/$U$12)/1000)))</f>
        <v/>
      </c>
      <c r="AD72" s="4"/>
      <c r="AE72" s="546" t="str">
        <f>IF(AC72="","",AC72*67)</f>
        <v/>
      </c>
      <c r="AF72" s="546"/>
      <c r="AG72" s="4"/>
      <c r="AH72" s="4"/>
      <c r="AI72" s="30"/>
      <c r="AJ72" s="525"/>
      <c r="AK72" s="531" t="s">
        <v>60</v>
      </c>
      <c r="AL72" s="531"/>
      <c r="AM72" s="531"/>
      <c r="AN72" s="531"/>
      <c r="AO72" s="542"/>
      <c r="AP72" s="542"/>
      <c r="AQ72" s="542"/>
      <c r="AR72" s="542"/>
      <c r="AS72" s="300"/>
      <c r="AT72" s="300"/>
      <c r="AU72" s="540"/>
      <c r="AV72" s="542" t="s">
        <v>11</v>
      </c>
      <c r="AW72" s="542"/>
      <c r="AX72" s="3" t="str">
        <f>IF(AX70="","",IF(AX70=1,(BB35/$U$12)/1000,IF(AX70=2,(BB35/$U$12)/1000)))</f>
        <v/>
      </c>
      <c r="AY72" s="4"/>
      <c r="AZ72" s="546" t="str">
        <f>IF(AX72="","",AX72*67)</f>
        <v/>
      </c>
      <c r="BA72" s="546"/>
      <c r="BB72" s="4"/>
      <c r="BC72" s="4"/>
      <c r="BD72" s="30"/>
      <c r="BE72" s="525"/>
      <c r="BF72" s="531" t="s">
        <v>60</v>
      </c>
      <c r="BG72" s="531"/>
      <c r="BH72" s="531"/>
      <c r="BI72" s="531"/>
      <c r="BJ72" s="542"/>
      <c r="BK72" s="542"/>
      <c r="BL72" s="542"/>
      <c r="BM72" s="542"/>
      <c r="BN72" s="298"/>
      <c r="BP72" s="540"/>
      <c r="BQ72" s="542" t="s">
        <v>11</v>
      </c>
      <c r="BR72" s="542"/>
      <c r="BS72" s="3" t="str">
        <f>IF(BS70="","",IF(BS70=1,(BW35/$U$12)/1000,IF(BS70=2,(BW35/$U$12)/1000)))</f>
        <v/>
      </c>
      <c r="BT72" s="4"/>
      <c r="BU72" s="546" t="str">
        <f>IF(BS72="","",BS72*67)</f>
        <v/>
      </c>
      <c r="BV72" s="546"/>
      <c r="BW72" s="4"/>
      <c r="BX72" s="4"/>
      <c r="BY72" s="30"/>
      <c r="BZ72" s="525"/>
      <c r="CA72" s="531" t="s">
        <v>60</v>
      </c>
      <c r="CB72" s="531"/>
      <c r="CC72" s="531"/>
      <c r="CD72" s="531"/>
      <c r="CE72" s="531"/>
      <c r="CF72" s="542"/>
      <c r="CG72" s="542"/>
      <c r="CH72" s="542"/>
      <c r="CI72" s="542"/>
      <c r="CL72" s="540"/>
      <c r="CM72" s="542" t="s">
        <v>11</v>
      </c>
      <c r="CN72" s="542"/>
      <c r="CO72" s="3" t="str">
        <f>IF(CO70="","",IF(CO70=1,(CS35/$U$12)/1000,IF(CO70=2,(CS35/$U$12)/1000)))</f>
        <v/>
      </c>
      <c r="CP72" s="4"/>
      <c r="CQ72" s="546" t="str">
        <f>IF(CO72="","",CO72*67)</f>
        <v/>
      </c>
      <c r="CR72" s="546"/>
      <c r="CS72" s="4"/>
      <c r="CT72" s="4"/>
      <c r="CU72" s="30"/>
      <c r="CV72" s="525"/>
      <c r="CW72" s="531" t="s">
        <v>60</v>
      </c>
      <c r="CX72" s="531"/>
      <c r="CY72" s="531"/>
      <c r="CZ72" s="531"/>
      <c r="DA72" s="531"/>
      <c r="DB72" s="542"/>
      <c r="DC72" s="542"/>
      <c r="DD72" s="542"/>
      <c r="DE72" s="542"/>
      <c r="DH72" s="540"/>
      <c r="DI72" s="542" t="s">
        <v>11</v>
      </c>
      <c r="DJ72" s="542"/>
      <c r="DK72" s="3" t="str">
        <f>IF(DK70="","",IF(DK70=1,(DO35/$U$12)/1000,IF(DK70=2,(DO35/$U$12)/1000)))</f>
        <v/>
      </c>
      <c r="DL72" s="4"/>
      <c r="DM72" s="546" t="str">
        <f>IF(DK72="","",DK72*67)</f>
        <v/>
      </c>
      <c r="DN72" s="546"/>
      <c r="DO72" s="4"/>
      <c r="DP72" s="4"/>
      <c r="DQ72" s="30"/>
      <c r="DR72" s="525"/>
      <c r="DS72" s="531" t="s">
        <v>60</v>
      </c>
      <c r="DT72" s="531"/>
      <c r="DU72" s="531"/>
      <c r="DV72" s="531"/>
      <c r="DW72" s="531"/>
      <c r="DX72" s="542"/>
      <c r="DY72" s="542"/>
      <c r="DZ72" s="542"/>
      <c r="EA72" s="542"/>
    </row>
    <row r="73" spans="1:131" ht="15" customHeight="1" x14ac:dyDescent="0.2">
      <c r="A73" s="540"/>
      <c r="B73" s="4"/>
      <c r="C73" s="4"/>
      <c r="D73" s="4"/>
      <c r="E73" s="4"/>
      <c r="F73" s="4"/>
      <c r="G73" s="4"/>
      <c r="H73" s="4"/>
      <c r="I73" s="4"/>
      <c r="J73" s="30"/>
      <c r="K73" s="525"/>
      <c r="L73" s="8"/>
      <c r="M73" s="8"/>
      <c r="N73" s="8"/>
      <c r="O73" s="89"/>
      <c r="P73" s="4"/>
      <c r="Q73" s="8"/>
      <c r="R73" s="121"/>
      <c r="S73" s="4"/>
      <c r="T73" s="4"/>
      <c r="V73" s="300"/>
      <c r="Z73" s="540"/>
      <c r="AA73" s="4"/>
      <c r="AB73" s="4"/>
      <c r="AC73" s="4"/>
      <c r="AD73" s="4"/>
      <c r="AE73" s="4"/>
      <c r="AF73" s="4"/>
      <c r="AG73" s="4"/>
      <c r="AH73" s="4"/>
      <c r="AI73" s="30"/>
      <c r="AJ73" s="525"/>
      <c r="AK73" s="8"/>
      <c r="AL73" s="8"/>
      <c r="AM73" s="67" t="str">
        <f>IF($O$73="","",$O$73)</f>
        <v/>
      </c>
      <c r="AN73" s="4"/>
      <c r="AO73" s="8"/>
      <c r="AP73" s="120" t="str">
        <f>IF($R$73="","",$R$73)</f>
        <v/>
      </c>
      <c r="AQ73" s="4"/>
      <c r="AR73" s="4"/>
      <c r="AS73" s="300"/>
      <c r="AT73" s="300"/>
      <c r="AU73" s="540"/>
      <c r="AV73" s="4"/>
      <c r="AW73" s="4"/>
      <c r="AX73" s="4"/>
      <c r="AY73" s="4"/>
      <c r="AZ73" s="4"/>
      <c r="BA73" s="4"/>
      <c r="BB73" s="4"/>
      <c r="BC73" s="4"/>
      <c r="BD73" s="30"/>
      <c r="BE73" s="525"/>
      <c r="BF73" s="8"/>
      <c r="BG73" s="8"/>
      <c r="BH73" s="67" t="str">
        <f>AM73</f>
        <v/>
      </c>
      <c r="BI73" s="4" t="str">
        <f>IF($P$73="","",$P$73)</f>
        <v/>
      </c>
      <c r="BJ73" s="8"/>
      <c r="BK73" s="120" t="str">
        <f>AP73</f>
        <v/>
      </c>
      <c r="BL73" s="4"/>
      <c r="BM73" s="4"/>
      <c r="BN73" s="298"/>
      <c r="BP73" s="540"/>
      <c r="BQ73" s="4"/>
      <c r="BR73" s="4"/>
      <c r="BS73" s="4"/>
      <c r="BT73" s="4"/>
      <c r="BU73" s="4"/>
      <c r="BV73" s="4"/>
      <c r="BW73" s="4"/>
      <c r="BX73" s="4"/>
      <c r="BY73" s="30"/>
      <c r="BZ73" s="525"/>
      <c r="CA73" s="8"/>
      <c r="CB73" s="8"/>
      <c r="CC73" s="8"/>
      <c r="CD73" s="67" t="str">
        <f>BH73</f>
        <v/>
      </c>
      <c r="CE73" s="4"/>
      <c r="CF73" s="8"/>
      <c r="CG73" s="120" t="str">
        <f>BK73</f>
        <v/>
      </c>
      <c r="CH73" s="4"/>
      <c r="CI73" s="4"/>
      <c r="CL73" s="540"/>
      <c r="CM73" s="4"/>
      <c r="CN73" s="4"/>
      <c r="CO73" s="4"/>
      <c r="CP73" s="4"/>
      <c r="CQ73" s="4"/>
      <c r="CR73" s="4"/>
      <c r="CS73" s="4"/>
      <c r="CT73" s="4"/>
      <c r="CU73" s="30"/>
      <c r="CV73" s="525"/>
      <c r="CW73" s="8"/>
      <c r="CX73" s="8"/>
      <c r="CY73" s="8"/>
      <c r="CZ73" s="67" t="str">
        <f>CD73</f>
        <v/>
      </c>
      <c r="DA73" s="4"/>
      <c r="DB73" s="8"/>
      <c r="DC73" s="120" t="str">
        <f>CG73</f>
        <v/>
      </c>
      <c r="DD73" s="4"/>
      <c r="DE73" s="4"/>
      <c r="DH73" s="540"/>
      <c r="DI73" s="4"/>
      <c r="DJ73" s="4"/>
      <c r="DK73" s="4"/>
      <c r="DL73" s="4"/>
      <c r="DM73" s="4"/>
      <c r="DN73" s="4"/>
      <c r="DO73" s="4"/>
      <c r="DP73" s="4"/>
      <c r="DQ73" s="30"/>
      <c r="DR73" s="525"/>
      <c r="DS73" s="8"/>
      <c r="DT73" s="8"/>
      <c r="DU73" s="8"/>
      <c r="DV73" s="67" t="str">
        <f>CZ73</f>
        <v/>
      </c>
      <c r="DW73" s="4"/>
      <c r="DX73" s="8"/>
      <c r="DY73" s="120" t="str">
        <f>DC73</f>
        <v/>
      </c>
      <c r="DZ73" s="4"/>
      <c r="EA73" s="4"/>
    </row>
    <row r="74" spans="1:131" x14ac:dyDescent="0.2">
      <c r="A74" s="541"/>
      <c r="B74" s="12"/>
      <c r="C74" s="12"/>
      <c r="D74" s="12"/>
      <c r="E74" s="12"/>
      <c r="F74" s="12"/>
      <c r="G74" s="12"/>
      <c r="H74" s="12"/>
      <c r="I74" s="12"/>
      <c r="J74" s="30"/>
      <c r="K74" s="525"/>
      <c r="L74" s="542" t="s">
        <v>83</v>
      </c>
      <c r="M74" s="542"/>
      <c r="N74" s="303"/>
      <c r="O74" s="3" t="str">
        <f>IF(O73="","",IF(O73=1,PLASTIKA!P23,IF(PONUDBA!O73=2,PLASTIKA!U23,IF(PONUDBA!O73=3,PLASTIKA!P33,IF(PONUDBA!O73=4,PLASTIKA!U33)))))</f>
        <v/>
      </c>
      <c r="P74" s="4"/>
      <c r="Q74" s="546" t="str">
        <f>O74</f>
        <v/>
      </c>
      <c r="R74" s="546"/>
      <c r="S74" s="8"/>
      <c r="T74" s="8"/>
      <c r="V74" s="300"/>
      <c r="Z74" s="541"/>
      <c r="AA74" s="12"/>
      <c r="AB74" s="12"/>
      <c r="AC74" s="12"/>
      <c r="AD74" s="12"/>
      <c r="AE74" s="12"/>
      <c r="AF74" s="12"/>
      <c r="AG74" s="12"/>
      <c r="AH74" s="12"/>
      <c r="AI74" s="30"/>
      <c r="AJ74" s="525"/>
      <c r="AK74" s="542" t="s">
        <v>83</v>
      </c>
      <c r="AL74" s="542"/>
      <c r="AM74" s="3" t="str">
        <f>IF(AM73="","",IF(AM73=1,PLASTIKA!Y23,IF(PONUDBA!AM73=2,PLASTIKA!AD23,IF(PONUDBA!AM73=3,PLASTIKA!Y33,IF(PONUDBA!AM73=4,PLASTIKA!AD33)))))</f>
        <v/>
      </c>
      <c r="AN74" s="4"/>
      <c r="AO74" s="546" t="str">
        <f>IF(AM74="","",AM74)</f>
        <v/>
      </c>
      <c r="AP74" s="546"/>
      <c r="AQ74" s="8"/>
      <c r="AR74" s="8"/>
      <c r="AS74" s="300"/>
      <c r="AT74" s="300"/>
      <c r="AU74" s="541"/>
      <c r="AV74" s="12"/>
      <c r="AW74" s="12"/>
      <c r="AX74" s="12"/>
      <c r="AY74" s="12"/>
      <c r="AZ74" s="12"/>
      <c r="BA74" s="12"/>
      <c r="BB74" s="12"/>
      <c r="BC74" s="12"/>
      <c r="BD74" s="30"/>
      <c r="BE74" s="525"/>
      <c r="BF74" s="542" t="s">
        <v>83</v>
      </c>
      <c r="BG74" s="542"/>
      <c r="BH74" s="3" t="str">
        <f>IF(BH73="","",IF(BH73=1,PLASTIKA!AH23,IF(PONUDBA!BH73=2,PLASTIKA!AM23,IF(PONUDBA!BH73=3,PLASTIKA!AH33,IF(PONUDBA!BH73=4,PLASTIKA!AM33)))))</f>
        <v/>
      </c>
      <c r="BI74" s="4"/>
      <c r="BJ74" s="546" t="str">
        <f>IF(BH74="","",BH74)</f>
        <v/>
      </c>
      <c r="BK74" s="546"/>
      <c r="BL74" s="8"/>
      <c r="BM74" s="8"/>
      <c r="BN74" s="298"/>
      <c r="BP74" s="541"/>
      <c r="BQ74" s="12"/>
      <c r="BR74" s="12"/>
      <c r="BS74" s="12"/>
      <c r="BT74" s="12"/>
      <c r="BU74" s="12"/>
      <c r="BV74" s="12"/>
      <c r="BW74" s="12"/>
      <c r="BX74" s="12"/>
      <c r="BY74" s="30"/>
      <c r="BZ74" s="525"/>
      <c r="CA74" s="542" t="s">
        <v>83</v>
      </c>
      <c r="CB74" s="542"/>
      <c r="CC74" s="303"/>
      <c r="CD74" s="3" t="str">
        <f>IF(CD73="","",IF(CD73=1,PLASTIKA!P43,IF(PONUDBA!CD73=2,PLASTIKA!U43,IF(PONUDBA!CD73=3,PLASTIKA!P53,IF(PONUDBA!CD73=4,PLASTIKA!U53)))))</f>
        <v/>
      </c>
      <c r="CE74" s="4"/>
      <c r="CF74" s="546" t="str">
        <f>CD74</f>
        <v/>
      </c>
      <c r="CG74" s="546"/>
      <c r="CH74" s="8"/>
      <c r="CI74" s="8"/>
      <c r="CL74" s="541"/>
      <c r="CM74" s="12"/>
      <c r="CN74" s="12"/>
      <c r="CO74" s="12"/>
      <c r="CP74" s="12"/>
      <c r="CQ74" s="12"/>
      <c r="CR74" s="12"/>
      <c r="CS74" s="12"/>
      <c r="CT74" s="12"/>
      <c r="CU74" s="30"/>
      <c r="CV74" s="525"/>
      <c r="CW74" s="542" t="s">
        <v>83</v>
      </c>
      <c r="CX74" s="542"/>
      <c r="CY74" s="303"/>
      <c r="CZ74" s="3" t="str">
        <f>IF(CZ73="","",IF(CZ73=1,PLASTIKA!Y43,IF(PONUDBA!CZ73=2,PLASTIKA!AD43,IF(PONUDBA!CZ73=3,PLASTIKA!Y53,IF(PONUDBA!CZ73=4,PLASTIKA!AD53)))))</f>
        <v/>
      </c>
      <c r="DA74" s="4"/>
      <c r="DB74" s="546" t="str">
        <f>CZ74</f>
        <v/>
      </c>
      <c r="DC74" s="546"/>
      <c r="DD74" s="8"/>
      <c r="DE74" s="8"/>
      <c r="DH74" s="541"/>
      <c r="DI74" s="12"/>
      <c r="DJ74" s="12"/>
      <c r="DK74" s="12"/>
      <c r="DL74" s="12"/>
      <c r="DM74" s="12"/>
      <c r="DN74" s="12"/>
      <c r="DO74" s="12"/>
      <c r="DP74" s="12"/>
      <c r="DQ74" s="30"/>
      <c r="DR74" s="525"/>
      <c r="DS74" s="542" t="s">
        <v>83</v>
      </c>
      <c r="DT74" s="542"/>
      <c r="DU74" s="303"/>
      <c r="DV74" s="3" t="str">
        <f>IF(DV73="","",IF(DV73=1,PLASTIKA!AH43,IF(PONUDBA!DV73=2,PLASTIKA!AM43,IF(PONUDBA!DV73=3,PLASTIKA!AH53,IF(PONUDBA!DV73=4,PLASTIKA!AM53)))))</f>
        <v/>
      </c>
      <c r="DW74" s="4"/>
      <c r="DX74" s="546" t="str">
        <f>DV74</f>
        <v/>
      </c>
      <c r="DY74" s="546"/>
      <c r="DZ74" s="8"/>
      <c r="EA74" s="8"/>
    </row>
    <row r="75" spans="1:131" ht="15.75" thickBot="1" x14ac:dyDescent="0.25">
      <c r="A75" s="11"/>
      <c r="B75" s="559" t="s">
        <v>8</v>
      </c>
      <c r="C75" s="559"/>
      <c r="D75" s="559"/>
      <c r="E75" s="559"/>
      <c r="F75" s="559"/>
      <c r="G75" s="560">
        <f>SUM(F72,F71,F67,F66,F62,F61,F57,F56)</f>
        <v>90.25</v>
      </c>
      <c r="H75" s="561"/>
      <c r="I75" s="561"/>
      <c r="J75" s="30"/>
      <c r="K75" s="525"/>
      <c r="L75" s="562"/>
      <c r="M75" s="538"/>
      <c r="N75" s="303"/>
      <c r="O75" s="66"/>
      <c r="P75" s="8"/>
      <c r="Q75" s="543" t="str">
        <f>IF(R73="","",Q74)</f>
        <v/>
      </c>
      <c r="R75" s="563"/>
      <c r="S75" s="8"/>
      <c r="T75" s="8"/>
      <c r="V75" s="300"/>
      <c r="Z75" s="11"/>
      <c r="AA75" s="559" t="s">
        <v>8</v>
      </c>
      <c r="AB75" s="559"/>
      <c r="AC75" s="559"/>
      <c r="AD75" s="559"/>
      <c r="AE75" s="559"/>
      <c r="AF75" s="560">
        <f>SUM(AE72,AE71,AE67,AE66,AE62,AE61,AE57,AE56)</f>
        <v>121.78571428571428</v>
      </c>
      <c r="AG75" s="561"/>
      <c r="AH75" s="561"/>
      <c r="AI75" s="30"/>
      <c r="AJ75" s="525"/>
      <c r="AK75" s="562"/>
      <c r="AL75" s="538"/>
      <c r="AM75" s="66"/>
      <c r="AN75" s="4"/>
      <c r="AO75" s="543" t="str">
        <f>IF(AP73="","",IF(AP73=1,PONUDBA!AM74))</f>
        <v/>
      </c>
      <c r="AP75" s="563"/>
      <c r="AQ75" s="8"/>
      <c r="AR75" s="8"/>
      <c r="AS75" s="300"/>
      <c r="AT75" s="300"/>
      <c r="AU75" s="11"/>
      <c r="AV75" s="559" t="s">
        <v>8</v>
      </c>
      <c r="AW75" s="559"/>
      <c r="AX75" s="559"/>
      <c r="AY75" s="559"/>
      <c r="AZ75" s="559"/>
      <c r="BA75" s="560">
        <f>SUM(AZ72,AZ71,AZ67,AZ66,AZ62,AZ61,AZ57,AZ56)</f>
        <v>150.92857142857142</v>
      </c>
      <c r="BB75" s="561"/>
      <c r="BC75" s="561"/>
      <c r="BD75" s="30"/>
      <c r="BE75" s="525"/>
      <c r="BF75" s="562"/>
      <c r="BG75" s="538"/>
      <c r="BH75" s="66"/>
      <c r="BI75" s="4"/>
      <c r="BJ75" s="543" t="str">
        <f>IF(BK73="","",IF(BK73=1,PONUDBA!BH74))</f>
        <v/>
      </c>
      <c r="BK75" s="563"/>
      <c r="BL75" s="8"/>
      <c r="BM75" s="8"/>
      <c r="BN75" s="298"/>
      <c r="BP75" s="11"/>
      <c r="BQ75" s="559" t="s">
        <v>8</v>
      </c>
      <c r="BR75" s="559"/>
      <c r="BS75" s="559"/>
      <c r="BT75" s="559"/>
      <c r="BU75" s="559"/>
      <c r="BV75" s="560" t="e">
        <f>SUM(BU72,BU71,BU67,BU66,BU62,BU61,BU57,BU56)</f>
        <v>#VALUE!</v>
      </c>
      <c r="BW75" s="561"/>
      <c r="BX75" s="561"/>
      <c r="BY75" s="30"/>
      <c r="BZ75" s="525"/>
      <c r="CA75" s="562"/>
      <c r="CB75" s="538"/>
      <c r="CC75" s="303"/>
      <c r="CD75" s="66"/>
      <c r="CE75" s="8"/>
      <c r="CF75" s="543" t="str">
        <f>IF(CG73="","",IF(CG73=1,PONUDBA!CD74))</f>
        <v/>
      </c>
      <c r="CG75" s="563"/>
      <c r="CH75" s="8"/>
      <c r="CI75" s="8"/>
      <c r="CL75" s="11"/>
      <c r="CM75" s="559" t="s">
        <v>8</v>
      </c>
      <c r="CN75" s="559"/>
      <c r="CO75" s="559"/>
      <c r="CP75" s="559"/>
      <c r="CQ75" s="559"/>
      <c r="CR75" s="560" t="e">
        <f>SUM(CQ72,CQ71,CQ67,CQ66,CQ62,CQ61,CQ57,CQ56)</f>
        <v>#VALUE!</v>
      </c>
      <c r="CS75" s="561"/>
      <c r="CT75" s="561"/>
      <c r="CU75" s="30"/>
      <c r="CV75" s="525"/>
      <c r="CW75" s="562"/>
      <c r="CX75" s="538"/>
      <c r="CY75" s="303"/>
      <c r="CZ75" s="66"/>
      <c r="DA75" s="8"/>
      <c r="DB75" s="543" t="str">
        <f>IF(DC73="","",IF(DC73=1,PONUDBA!CZ74))</f>
        <v/>
      </c>
      <c r="DC75" s="563"/>
      <c r="DD75" s="8"/>
      <c r="DE75" s="8"/>
      <c r="DH75" s="11"/>
      <c r="DI75" s="559" t="s">
        <v>8</v>
      </c>
      <c r="DJ75" s="559"/>
      <c r="DK75" s="559"/>
      <c r="DL75" s="559"/>
      <c r="DM75" s="559"/>
      <c r="DN75" s="560" t="e">
        <f>SUM(DM72,DM71,DM67,DM66,DM62,DM61,DM57,DM56)</f>
        <v>#VALUE!</v>
      </c>
      <c r="DO75" s="561"/>
      <c r="DP75" s="561"/>
      <c r="DQ75" s="30"/>
      <c r="DR75" s="525"/>
      <c r="DS75" s="562"/>
      <c r="DT75" s="538"/>
      <c r="DU75" s="303"/>
      <c r="DV75" s="66"/>
      <c r="DW75" s="8"/>
      <c r="DX75" s="543" t="str">
        <f>IF(DY73="","",IF(DY73=1,PONUDBA!DV74))</f>
        <v/>
      </c>
      <c r="DY75" s="563"/>
      <c r="DZ75" s="8"/>
      <c r="EA75" s="8"/>
    </row>
    <row r="76" spans="1:131" x14ac:dyDescent="0.2">
      <c r="J76" s="30"/>
      <c r="K76" s="525"/>
      <c r="L76" s="8"/>
      <c r="M76" s="8"/>
      <c r="N76" s="8"/>
      <c r="O76" s="8"/>
      <c r="P76" s="8"/>
      <c r="Q76" s="8"/>
      <c r="R76" s="8"/>
      <c r="S76" s="8"/>
      <c r="T76" s="8"/>
      <c r="V76" s="300"/>
      <c r="AI76" s="30"/>
      <c r="AJ76" s="525"/>
      <c r="AK76" s="8"/>
      <c r="AL76" s="8"/>
      <c r="AM76" s="8"/>
      <c r="AN76" s="8"/>
      <c r="AO76" s="8"/>
      <c r="AP76" s="8"/>
      <c r="AQ76" s="8"/>
      <c r="AR76" s="8"/>
      <c r="AS76" s="300"/>
      <c r="AT76" s="300"/>
      <c r="BD76" s="30"/>
      <c r="BE76" s="525"/>
      <c r="BF76" s="8"/>
      <c r="BG76" s="8"/>
      <c r="BH76" s="8"/>
      <c r="BI76" s="8"/>
      <c r="BJ76" s="8"/>
      <c r="BK76" s="8"/>
      <c r="BL76" s="8"/>
      <c r="BM76" s="8"/>
      <c r="BN76" s="298"/>
      <c r="BY76" s="30"/>
      <c r="BZ76" s="525"/>
      <c r="CA76" s="8"/>
      <c r="CB76" s="8"/>
      <c r="CC76" s="8"/>
      <c r="CD76" s="8"/>
      <c r="CE76" s="8"/>
      <c r="CF76" s="8"/>
      <c r="CG76" s="8"/>
      <c r="CH76" s="8"/>
      <c r="CI76" s="8"/>
      <c r="CU76" s="30"/>
      <c r="CV76" s="525"/>
      <c r="CW76" s="8"/>
      <c r="CX76" s="8"/>
      <c r="CY76" s="8"/>
      <c r="CZ76" s="8"/>
      <c r="DA76" s="8"/>
      <c r="DB76" s="8"/>
      <c r="DC76" s="8"/>
      <c r="DD76" s="8"/>
      <c r="DE76" s="8"/>
      <c r="DQ76" s="30"/>
      <c r="DR76" s="525"/>
      <c r="DS76" s="8"/>
      <c r="DT76" s="8"/>
      <c r="DU76" s="8"/>
      <c r="DV76" s="8"/>
      <c r="DW76" s="8"/>
      <c r="DX76" s="8"/>
      <c r="DY76" s="8"/>
      <c r="DZ76" s="8"/>
      <c r="EA76" s="8"/>
    </row>
    <row r="77" spans="1:131" x14ac:dyDescent="0.2">
      <c r="J77" s="30"/>
      <c r="K77" s="525"/>
      <c r="L77" s="8"/>
      <c r="M77" s="8"/>
      <c r="N77" s="8"/>
      <c r="O77" s="8"/>
      <c r="P77" s="8"/>
      <c r="Q77" s="8"/>
      <c r="R77" s="8"/>
      <c r="S77" s="8"/>
      <c r="T77" s="8"/>
      <c r="V77" s="300"/>
      <c r="W77" s="75"/>
      <c r="X77" s="300"/>
      <c r="Y77" s="300"/>
      <c r="AI77" s="30"/>
      <c r="AJ77" s="525"/>
      <c r="AK77" s="8"/>
      <c r="AL77" s="8"/>
      <c r="AM77" s="8"/>
      <c r="AN77" s="8"/>
      <c r="AO77" s="8"/>
      <c r="AP77" s="8"/>
      <c r="AQ77" s="8"/>
      <c r="AR77" s="8"/>
      <c r="AS77" s="300"/>
      <c r="AT77" s="300"/>
      <c r="BD77" s="30"/>
      <c r="BE77" s="525"/>
      <c r="BF77" s="8"/>
      <c r="BG77" s="8"/>
      <c r="BH77" s="8"/>
      <c r="BI77" s="8"/>
      <c r="BJ77" s="8"/>
      <c r="BK77" s="8"/>
      <c r="BL77" s="8"/>
      <c r="BM77" s="8"/>
      <c r="BN77" s="298"/>
      <c r="BY77" s="30"/>
      <c r="BZ77" s="525"/>
      <c r="CA77" s="8"/>
      <c r="CB77" s="8"/>
      <c r="CC77" s="8"/>
      <c r="CD77" s="8"/>
      <c r="CE77" s="8"/>
      <c r="CF77" s="8"/>
      <c r="CG77" s="8"/>
      <c r="CH77" s="8"/>
      <c r="CI77" s="8"/>
      <c r="CU77" s="30"/>
      <c r="CV77" s="525"/>
      <c r="CW77" s="8"/>
      <c r="CX77" s="8"/>
      <c r="CY77" s="8"/>
      <c r="CZ77" s="8"/>
      <c r="DA77" s="8"/>
      <c r="DB77" s="8"/>
      <c r="DC77" s="8"/>
      <c r="DD77" s="8"/>
      <c r="DE77" s="8"/>
      <c r="DQ77" s="30"/>
      <c r="DR77" s="525"/>
      <c r="DS77" s="8"/>
      <c r="DT77" s="8"/>
      <c r="DU77" s="8"/>
      <c r="DV77" s="8"/>
      <c r="DW77" s="8"/>
      <c r="DX77" s="8"/>
      <c r="DY77" s="8"/>
      <c r="DZ77" s="8"/>
      <c r="EA77" s="8"/>
    </row>
    <row r="78" spans="1:131" ht="21.75" customHeight="1" x14ac:dyDescent="0.2">
      <c r="J78" s="30"/>
      <c r="K78" s="525"/>
      <c r="L78" s="531" t="s">
        <v>240</v>
      </c>
      <c r="M78" s="531"/>
      <c r="N78" s="531"/>
      <c r="O78" s="531"/>
      <c r="P78" s="527"/>
      <c r="Q78" s="527"/>
      <c r="R78" s="527"/>
      <c r="S78" s="8"/>
      <c r="T78" s="8"/>
      <c r="V78" s="300"/>
      <c r="W78" s="300"/>
      <c r="X78" s="305"/>
      <c r="Y78" s="305"/>
      <c r="AI78" s="30"/>
      <c r="AJ78" s="525"/>
      <c r="AK78" s="531" t="s">
        <v>240</v>
      </c>
      <c r="AL78" s="531"/>
      <c r="AM78" s="531"/>
      <c r="AN78" s="527"/>
      <c r="AO78" s="527"/>
      <c r="AP78" s="527"/>
      <c r="AQ78" s="8"/>
      <c r="AR78" s="8"/>
      <c r="AS78" s="300"/>
      <c r="AT78" s="300"/>
      <c r="BD78" s="30"/>
      <c r="BE78" s="525"/>
      <c r="BF78" s="531" t="s">
        <v>240</v>
      </c>
      <c r="BG78" s="531"/>
      <c r="BH78" s="531"/>
      <c r="BI78" s="527"/>
      <c r="BJ78" s="527"/>
      <c r="BK78" s="527"/>
      <c r="BL78" s="8"/>
      <c r="BM78" s="8"/>
      <c r="BN78" s="298"/>
      <c r="BY78" s="30"/>
      <c r="BZ78" s="525"/>
      <c r="CA78" s="531" t="s">
        <v>240</v>
      </c>
      <c r="CB78" s="531"/>
      <c r="CC78" s="531"/>
      <c r="CD78" s="531"/>
      <c r="CE78" s="527"/>
      <c r="CF78" s="527"/>
      <c r="CG78" s="527"/>
      <c r="CH78" s="8"/>
      <c r="CI78" s="8"/>
      <c r="CU78" s="30"/>
      <c r="CV78" s="525"/>
      <c r="CW78" s="531" t="s">
        <v>240</v>
      </c>
      <c r="CX78" s="531"/>
      <c r="CY78" s="531"/>
      <c r="CZ78" s="531"/>
      <c r="DA78" s="527"/>
      <c r="DB78" s="527"/>
      <c r="DC78" s="527"/>
      <c r="DD78" s="8"/>
      <c r="DE78" s="8"/>
      <c r="DQ78" s="30"/>
      <c r="DR78" s="525"/>
      <c r="DS78" s="531" t="s">
        <v>240</v>
      </c>
      <c r="DT78" s="531"/>
      <c r="DU78" s="531"/>
      <c r="DV78" s="531"/>
      <c r="DW78" s="527"/>
      <c r="DX78" s="527"/>
      <c r="DY78" s="527"/>
      <c r="DZ78" s="8"/>
      <c r="EA78" s="8"/>
    </row>
    <row r="79" spans="1:131" x14ac:dyDescent="0.2">
      <c r="J79" s="30"/>
      <c r="K79" s="525"/>
      <c r="L79" s="303" t="s">
        <v>39</v>
      </c>
      <c r="M79" s="303"/>
      <c r="N79" s="303"/>
      <c r="O79" s="89"/>
      <c r="P79" s="8"/>
      <c r="Q79" s="546" t="str">
        <f>IF(O80="","",O80*1.3)</f>
        <v/>
      </c>
      <c r="R79" s="564"/>
      <c r="S79" s="8"/>
      <c r="T79" s="8"/>
      <c r="V79" s="300"/>
      <c r="W79" s="300"/>
      <c r="X79" s="300"/>
      <c r="Y79" s="300"/>
      <c r="AI79" s="30"/>
      <c r="AJ79" s="525"/>
      <c r="AK79" s="303" t="s">
        <v>39</v>
      </c>
      <c r="AL79" s="303"/>
      <c r="AM79" s="67" t="str">
        <f>IF(O79="","",O79)</f>
        <v/>
      </c>
      <c r="AN79" s="8"/>
      <c r="AO79" s="546" t="str">
        <f>IF(AM80="","",AM80*1.3)</f>
        <v/>
      </c>
      <c r="AP79" s="564"/>
      <c r="AQ79" s="8"/>
      <c r="AR79" s="8"/>
      <c r="AS79" s="300"/>
      <c r="AT79" s="300"/>
      <c r="BD79" s="30"/>
      <c r="BE79" s="525"/>
      <c r="BF79" s="303" t="s">
        <v>39</v>
      </c>
      <c r="BG79" s="303"/>
      <c r="BH79" s="67" t="str">
        <f>AM79</f>
        <v/>
      </c>
      <c r="BI79" s="8"/>
      <c r="BJ79" s="546" t="str">
        <f>IF(BH80="","",BH80*1.3)</f>
        <v/>
      </c>
      <c r="BK79" s="564"/>
      <c r="BL79" s="8"/>
      <c r="BM79" s="8"/>
      <c r="BN79" s="298"/>
      <c r="BY79" s="30"/>
      <c r="BZ79" s="525"/>
      <c r="CA79" s="303" t="s">
        <v>39</v>
      </c>
      <c r="CB79" s="303"/>
      <c r="CC79" s="303"/>
      <c r="CD79" s="67" t="str">
        <f>BH79</f>
        <v/>
      </c>
      <c r="CE79" s="8"/>
      <c r="CF79" s="546" t="str">
        <f>IF(CD80="","",CD80*1.3)</f>
        <v/>
      </c>
      <c r="CG79" s="564"/>
      <c r="CH79" s="8"/>
      <c r="CI79" s="8"/>
      <c r="CU79" s="30"/>
      <c r="CV79" s="525"/>
      <c r="CW79" s="303" t="s">
        <v>39</v>
      </c>
      <c r="CX79" s="303"/>
      <c r="CY79" s="303"/>
      <c r="CZ79" s="67" t="str">
        <f>CD79</f>
        <v/>
      </c>
      <c r="DA79" s="8"/>
      <c r="DB79" s="546" t="str">
        <f>IF(CZ80="","",CZ80*1.3)</f>
        <v/>
      </c>
      <c r="DC79" s="564"/>
      <c r="DD79" s="8"/>
      <c r="DE79" s="8"/>
      <c r="DQ79" s="30"/>
      <c r="DR79" s="525"/>
      <c r="DS79" s="303" t="s">
        <v>39</v>
      </c>
      <c r="DT79" s="303"/>
      <c r="DU79" s="303"/>
      <c r="DV79" s="67" t="str">
        <f>CZ79</f>
        <v/>
      </c>
      <c r="DW79" s="8"/>
      <c r="DX79" s="546" t="str">
        <f>IF(DV80="","",DV80*1.3)</f>
        <v/>
      </c>
      <c r="DY79" s="564"/>
      <c r="DZ79" s="8"/>
      <c r="EA79" s="8"/>
    </row>
    <row r="80" spans="1:131" ht="15" x14ac:dyDescent="0.2">
      <c r="A80" s="520" t="s">
        <v>51</v>
      </c>
      <c r="B80" s="520"/>
      <c r="C80" s="520"/>
      <c r="D80" s="520"/>
      <c r="E80" s="520"/>
      <c r="F80" s="520"/>
      <c r="J80" s="30"/>
      <c r="K80" s="525"/>
      <c r="L80" s="304" t="s">
        <v>61</v>
      </c>
      <c r="M80" s="303"/>
      <c r="N80" s="68"/>
      <c r="O80" s="10" t="str">
        <f>IF(O79="","",IF(O79&gt;0,(ROUNDUP(H35/O79,))))</f>
        <v/>
      </c>
      <c r="P80" s="8"/>
      <c r="Q80" s="8"/>
      <c r="R80" s="8"/>
      <c r="S80" s="8" t="s">
        <v>23</v>
      </c>
      <c r="T80" s="8"/>
      <c r="V80" s="300"/>
      <c r="W80" s="299"/>
      <c r="X80" s="299"/>
      <c r="Y80" s="299"/>
      <c r="Z80" s="520" t="s">
        <v>51</v>
      </c>
      <c r="AA80" s="520"/>
      <c r="AB80" s="520"/>
      <c r="AC80" s="520"/>
      <c r="AD80" s="520"/>
      <c r="AE80" s="520"/>
      <c r="AI80" s="30"/>
      <c r="AJ80" s="525"/>
      <c r="AK80" s="304" t="s">
        <v>61</v>
      </c>
      <c r="AL80" s="69"/>
      <c r="AM80" s="10" t="str">
        <f>IF(AM79="","",IF(AM79&gt;0,(ROUNDUP(AG35/AM79,))))</f>
        <v/>
      </c>
      <c r="AN80" s="8"/>
      <c r="AO80" s="8"/>
      <c r="AP80" s="8"/>
      <c r="AQ80" s="8" t="s">
        <v>23</v>
      </c>
      <c r="AR80" s="8"/>
      <c r="AS80" s="300"/>
      <c r="AT80" s="300"/>
      <c r="AU80" s="520" t="s">
        <v>51</v>
      </c>
      <c r="AV80" s="520"/>
      <c r="AW80" s="520"/>
      <c r="AX80" s="520"/>
      <c r="AY80" s="520"/>
      <c r="AZ80" s="520"/>
      <c r="BD80" s="30"/>
      <c r="BE80" s="525"/>
      <c r="BF80" s="304" t="s">
        <v>61</v>
      </c>
      <c r="BG80" s="68"/>
      <c r="BH80" s="10" t="str">
        <f>IF(BH79="","",IF(BH79&gt;0,(ROUNDUP(BB35/BH79,))))</f>
        <v/>
      </c>
      <c r="BI80" s="8"/>
      <c r="BJ80" s="8"/>
      <c r="BK80" s="8"/>
      <c r="BL80" s="8" t="s">
        <v>23</v>
      </c>
      <c r="BM80" s="8"/>
      <c r="BN80" s="298"/>
      <c r="BP80" s="520" t="s">
        <v>51</v>
      </c>
      <c r="BQ80" s="520"/>
      <c r="BR80" s="520"/>
      <c r="BS80" s="520"/>
      <c r="BT80" s="520"/>
      <c r="BU80" s="520"/>
      <c r="BY80" s="30"/>
      <c r="BZ80" s="525"/>
      <c r="CA80" s="304" t="s">
        <v>61</v>
      </c>
      <c r="CB80" s="303"/>
      <c r="CC80" s="68"/>
      <c r="CD80" s="10" t="str">
        <f>IF(CD79="","",IF(CD79&gt;0,(ROUNDUP(BW35/CD79,))))</f>
        <v/>
      </c>
      <c r="CE80" s="8"/>
      <c r="CF80" s="8"/>
      <c r="CG80" s="8"/>
      <c r="CH80" s="8" t="s">
        <v>23</v>
      </c>
      <c r="CI80" s="8"/>
      <c r="CL80" s="520" t="s">
        <v>51</v>
      </c>
      <c r="CM80" s="520"/>
      <c r="CN80" s="520"/>
      <c r="CO80" s="520"/>
      <c r="CP80" s="520"/>
      <c r="CQ80" s="520"/>
      <c r="CU80" s="30"/>
      <c r="CV80" s="525"/>
      <c r="CW80" s="304" t="s">
        <v>61</v>
      </c>
      <c r="CX80" s="303"/>
      <c r="CY80" s="68"/>
      <c r="CZ80" s="10" t="str">
        <f>IF(CZ79="","",IF(CZ79&gt;0,(ROUNDUP(CS35/CZ79,))))</f>
        <v/>
      </c>
      <c r="DA80" s="8"/>
      <c r="DB80" s="8"/>
      <c r="DC80" s="8"/>
      <c r="DD80" s="8" t="s">
        <v>23</v>
      </c>
      <c r="DE80" s="8"/>
      <c r="DH80" s="520" t="s">
        <v>51</v>
      </c>
      <c r="DI80" s="520"/>
      <c r="DJ80" s="520"/>
      <c r="DK80" s="520"/>
      <c r="DL80" s="520"/>
      <c r="DM80" s="520"/>
      <c r="DQ80" s="30"/>
      <c r="DR80" s="525"/>
      <c r="DS80" s="304" t="s">
        <v>61</v>
      </c>
      <c r="DT80" s="303"/>
      <c r="DU80" s="68"/>
      <c r="DV80" s="10" t="str">
        <f>IF(DV79="","",IF(DV79&gt;0,(ROUNDUP(DO35/DV79,))))</f>
        <v/>
      </c>
      <c r="DW80" s="8"/>
      <c r="DX80" s="8"/>
      <c r="DY80" s="8"/>
      <c r="DZ80" s="8" t="s">
        <v>23</v>
      </c>
      <c r="EA80" s="8"/>
    </row>
    <row r="81" spans="1:131" x14ac:dyDescent="0.2">
      <c r="A81" s="565" t="s">
        <v>59</v>
      </c>
      <c r="B81" s="527" t="s">
        <v>52</v>
      </c>
      <c r="C81" s="527"/>
      <c r="D81" s="527"/>
      <c r="E81" s="193"/>
      <c r="F81" s="147"/>
      <c r="G81" s="79"/>
      <c r="H81" s="8"/>
      <c r="I81" s="8"/>
      <c r="J81" s="80"/>
      <c r="K81" s="525"/>
      <c r="L81" s="81"/>
      <c r="M81" s="12"/>
      <c r="N81" s="12"/>
      <c r="O81" s="12"/>
      <c r="P81" s="12"/>
      <c r="Q81" s="12"/>
      <c r="R81" s="12"/>
      <c r="S81" s="12"/>
      <c r="T81" s="12"/>
      <c r="V81" s="300"/>
      <c r="W81" s="82"/>
      <c r="X81" s="300"/>
      <c r="Y81" s="300"/>
      <c r="Z81" s="565" t="s">
        <v>59</v>
      </c>
      <c r="AA81" s="527" t="s">
        <v>52</v>
      </c>
      <c r="AB81" s="527"/>
      <c r="AC81" s="527"/>
      <c r="AD81" s="193" t="str">
        <f>IF($E$81="","",$E$81)</f>
        <v/>
      </c>
      <c r="AE81" s="118"/>
      <c r="AF81" s="79"/>
      <c r="AG81" s="8"/>
      <c r="AH81" s="8"/>
      <c r="AI81" s="80"/>
      <c r="AJ81" s="525"/>
      <c r="AK81" s="81"/>
      <c r="AL81" s="12"/>
      <c r="AM81" s="12"/>
      <c r="AN81" s="12"/>
      <c r="AO81" s="12"/>
      <c r="AP81" s="12"/>
      <c r="AQ81" s="12"/>
      <c r="AR81" s="12"/>
      <c r="AS81" s="300"/>
      <c r="AT81" s="300"/>
      <c r="AU81" s="565" t="s">
        <v>59</v>
      </c>
      <c r="AV81" s="527" t="s">
        <v>52</v>
      </c>
      <c r="AW81" s="527"/>
      <c r="AX81" s="527"/>
      <c r="AY81" s="193" t="str">
        <f>IF($E$81="","",$E$81)</f>
        <v/>
      </c>
      <c r="AZ81" s="118" t="str">
        <f>IF($F$81="","",($F$81/$G$14)*M14)</f>
        <v/>
      </c>
      <c r="BA81" s="8"/>
      <c r="BB81" s="8"/>
      <c r="BC81" s="8"/>
      <c r="BD81" s="80"/>
      <c r="BE81" s="525"/>
      <c r="BF81" s="81"/>
      <c r="BG81" s="12"/>
      <c r="BH81" s="12"/>
      <c r="BI81" s="12"/>
      <c r="BJ81" s="12"/>
      <c r="BK81" s="12"/>
      <c r="BL81" s="12"/>
      <c r="BM81" s="12"/>
      <c r="BN81" s="298"/>
      <c r="BP81" s="565" t="s">
        <v>59</v>
      </c>
      <c r="BQ81" s="527" t="s">
        <v>52</v>
      </c>
      <c r="BR81" s="527"/>
      <c r="BS81" s="527"/>
      <c r="BT81" s="193"/>
      <c r="BU81" s="118" t="str">
        <f>IF($F$81="","",($F$81/$G$14)*G24)</f>
        <v/>
      </c>
      <c r="BV81" s="79"/>
      <c r="BW81" s="8"/>
      <c r="BX81" s="8"/>
      <c r="BY81" s="80"/>
      <c r="BZ81" s="525"/>
      <c r="CA81" s="81"/>
      <c r="CB81" s="12"/>
      <c r="CC81" s="12"/>
      <c r="CD81" s="12"/>
      <c r="CE81" s="12"/>
      <c r="CF81" s="12"/>
      <c r="CG81" s="12"/>
      <c r="CH81" s="12"/>
      <c r="CI81" s="12"/>
      <c r="CL81" s="565" t="s">
        <v>59</v>
      </c>
      <c r="CM81" s="527" t="s">
        <v>52</v>
      </c>
      <c r="CN81" s="527"/>
      <c r="CO81" s="527"/>
      <c r="CP81" s="193"/>
      <c r="CQ81" s="118" t="str">
        <f>IF($F$81="","",($F$81/$G$14)*J24)</f>
        <v/>
      </c>
      <c r="CR81" s="79"/>
      <c r="CS81" s="8"/>
      <c r="CT81" s="8"/>
      <c r="CU81" s="80"/>
      <c r="CV81" s="525"/>
      <c r="CW81" s="81"/>
      <c r="CX81" s="12"/>
      <c r="CY81" s="12"/>
      <c r="CZ81" s="12"/>
      <c r="DA81" s="12"/>
      <c r="DB81" s="12"/>
      <c r="DC81" s="12"/>
      <c r="DD81" s="12"/>
      <c r="DE81" s="12"/>
      <c r="DH81" s="565" t="s">
        <v>59</v>
      </c>
      <c r="DI81" s="527" t="s">
        <v>52</v>
      </c>
      <c r="DJ81" s="527"/>
      <c r="DK81" s="527"/>
      <c r="DL81" s="193"/>
      <c r="DM81" s="118" t="str">
        <f>IF($F$81="","",($F$81/$G$14)*M24)</f>
        <v/>
      </c>
      <c r="DN81" s="79"/>
      <c r="DO81" s="8"/>
      <c r="DP81" s="8"/>
      <c r="DQ81" s="80"/>
      <c r="DR81" s="525"/>
      <c r="DS81" s="81"/>
      <c r="DT81" s="12"/>
      <c r="DU81" s="12"/>
      <c r="DV81" s="12"/>
      <c r="DW81" s="12"/>
      <c r="DX81" s="12"/>
      <c r="DY81" s="12"/>
      <c r="DZ81" s="12"/>
      <c r="EA81" s="12"/>
    </row>
    <row r="82" spans="1:131" ht="15.75" thickBot="1" x14ac:dyDescent="0.25">
      <c r="A82" s="566"/>
      <c r="B82" s="527" t="s">
        <v>53</v>
      </c>
      <c r="C82" s="527"/>
      <c r="D82" s="527"/>
      <c r="E82" s="193"/>
      <c r="F82" s="197"/>
      <c r="G82" s="79"/>
      <c r="H82" s="8"/>
      <c r="I82" s="8"/>
      <c r="J82" s="80"/>
      <c r="K82" s="526"/>
      <c r="L82" s="567" t="s">
        <v>8</v>
      </c>
      <c r="M82" s="568"/>
      <c r="N82" s="568"/>
      <c r="O82" s="568"/>
      <c r="P82" s="568"/>
      <c r="Q82" s="568"/>
      <c r="R82" s="569">
        <f>SUM(Q47,Q48,Q49,Q50,S49,Q53,Q54,Q58,Q59,Q63,Q64,Q65,Q69,Q74,Q75,Q79)</f>
        <v>17</v>
      </c>
      <c r="S82" s="570"/>
      <c r="T82" s="570"/>
      <c r="V82" s="300"/>
      <c r="W82" s="82"/>
      <c r="X82" s="300"/>
      <c r="Y82" s="300"/>
      <c r="Z82" s="566"/>
      <c r="AA82" s="527" t="s">
        <v>53</v>
      </c>
      <c r="AB82" s="527"/>
      <c r="AC82" s="527"/>
      <c r="AD82" s="193"/>
      <c r="AE82" s="8"/>
      <c r="AF82" s="79"/>
      <c r="AG82" s="8"/>
      <c r="AH82" s="8"/>
      <c r="AI82" s="80"/>
      <c r="AJ82" s="526"/>
      <c r="AK82" s="567" t="s">
        <v>8</v>
      </c>
      <c r="AL82" s="568"/>
      <c r="AM82" s="568"/>
      <c r="AN82" s="568"/>
      <c r="AO82" s="568"/>
      <c r="AP82" s="569">
        <f>SUM(AO74,AO69,AO65,AO64,AO63,AO59,AO58,AO54,AO53,AO49,AO48,AO47,AO75,AQ49,AO50,AO79)</f>
        <v>25.5</v>
      </c>
      <c r="AQ82" s="570"/>
      <c r="AR82" s="570"/>
      <c r="AS82" s="70"/>
      <c r="AT82" s="300"/>
      <c r="AU82" s="566"/>
      <c r="AV82" s="527" t="s">
        <v>53</v>
      </c>
      <c r="AW82" s="527"/>
      <c r="AX82" s="527"/>
      <c r="AY82" s="193"/>
      <c r="AZ82" s="8"/>
      <c r="BA82" s="79"/>
      <c r="BB82" s="8"/>
      <c r="BC82" s="8"/>
      <c r="BD82" s="80"/>
      <c r="BE82" s="526"/>
      <c r="BF82" s="567" t="s">
        <v>8</v>
      </c>
      <c r="BG82" s="568"/>
      <c r="BH82" s="568"/>
      <c r="BI82" s="568"/>
      <c r="BJ82" s="568"/>
      <c r="BK82" s="569">
        <f>SUM(BJ79,BJ74,BJ69,BJ65,BJ64,BJ63,BJ59,BJ58,BJ54,BJ53,BJ49,BJ48,BJ47,BJ75,BL49,BJ50)</f>
        <v>34</v>
      </c>
      <c r="BL82" s="570"/>
      <c r="BM82" s="570"/>
      <c r="BN82" s="298"/>
      <c r="BP82" s="566"/>
      <c r="BQ82" s="527" t="s">
        <v>53</v>
      </c>
      <c r="BR82" s="527"/>
      <c r="BS82" s="527"/>
      <c r="BT82" s="193"/>
      <c r="BU82" s="8"/>
      <c r="BV82" s="79"/>
      <c r="BW82" s="8"/>
      <c r="BX82" s="8"/>
      <c r="BY82" s="80"/>
      <c r="BZ82" s="526"/>
      <c r="CA82" s="567" t="s">
        <v>8</v>
      </c>
      <c r="CB82" s="568"/>
      <c r="CC82" s="568"/>
      <c r="CD82" s="568"/>
      <c r="CE82" s="568"/>
      <c r="CF82" s="568"/>
      <c r="CG82" s="569" t="e">
        <f>SUM(CF79,CF75,CF74,CF69,CF65,CF64,CF63,CF59,CF58,CF54,CF53,CF49,CH49,CF48,CF47,CF50)</f>
        <v>#VALUE!</v>
      </c>
      <c r="CH82" s="570"/>
      <c r="CI82" s="570"/>
      <c r="CL82" s="566"/>
      <c r="CM82" s="527" t="s">
        <v>53</v>
      </c>
      <c r="CN82" s="527"/>
      <c r="CO82" s="527"/>
      <c r="CP82" s="193"/>
      <c r="CQ82" s="8"/>
      <c r="CR82" s="79"/>
      <c r="CS82" s="8"/>
      <c r="CT82" s="8"/>
      <c r="CU82" s="80"/>
      <c r="CV82" s="526"/>
      <c r="CW82" s="567" t="s">
        <v>8</v>
      </c>
      <c r="CX82" s="568"/>
      <c r="CY82" s="568"/>
      <c r="CZ82" s="568"/>
      <c r="DA82" s="568"/>
      <c r="DB82" s="568"/>
      <c r="DC82" s="569" t="e">
        <f>SUM(DB79,DB75,DB74,DB69,DB65,DB64,DB63,DB59,DB58,DB54,DB53,DB49,DD49,DB48,DB47,DB50)</f>
        <v>#VALUE!</v>
      </c>
      <c r="DD82" s="570"/>
      <c r="DE82" s="570"/>
      <c r="DH82" s="566"/>
      <c r="DI82" s="527" t="s">
        <v>53</v>
      </c>
      <c r="DJ82" s="527"/>
      <c r="DK82" s="527"/>
      <c r="DL82" s="193"/>
      <c r="DM82" s="8"/>
      <c r="DN82" s="79"/>
      <c r="DO82" s="8"/>
      <c r="DP82" s="8"/>
      <c r="DQ82" s="80"/>
      <c r="DR82" s="526"/>
      <c r="DS82" s="567" t="s">
        <v>8</v>
      </c>
      <c r="DT82" s="568"/>
      <c r="DU82" s="568"/>
      <c r="DV82" s="568"/>
      <c r="DW82" s="568"/>
      <c r="DX82" s="568"/>
      <c r="DY82" s="569" t="e">
        <f>SUM(DX79,DX75,DX74,DX69,DX65,DX64,DX63,DX59,DX58,DX54,DX53,DX49,DZ49,DX48,DX47,DX50)</f>
        <v>#VALUE!</v>
      </c>
      <c r="DZ82" s="570"/>
      <c r="EA82" s="570"/>
    </row>
    <row r="83" spans="1:131" x14ac:dyDescent="0.2">
      <c r="A83" s="566"/>
      <c r="B83" s="527" t="s">
        <v>54</v>
      </c>
      <c r="C83" s="527"/>
      <c r="D83" s="527"/>
      <c r="E83" s="193"/>
      <c r="F83" s="197"/>
      <c r="G83" s="79"/>
      <c r="H83" s="8"/>
      <c r="I83" s="8"/>
      <c r="J83" s="80"/>
      <c r="V83" s="300"/>
      <c r="W83" s="82"/>
      <c r="X83" s="300"/>
      <c r="Y83" s="300"/>
      <c r="Z83" s="566"/>
      <c r="AA83" s="527" t="s">
        <v>54</v>
      </c>
      <c r="AB83" s="527"/>
      <c r="AC83" s="527"/>
      <c r="AD83" s="193"/>
      <c r="AE83" s="8"/>
      <c r="AF83" s="79"/>
      <c r="AG83" s="8"/>
      <c r="AH83" s="8"/>
      <c r="AI83" s="80"/>
      <c r="AS83" s="300"/>
      <c r="AT83" s="300"/>
      <c r="AU83" s="566"/>
      <c r="AV83" s="527" t="s">
        <v>54</v>
      </c>
      <c r="AW83" s="527"/>
      <c r="AX83" s="527"/>
      <c r="AY83" s="193"/>
      <c r="AZ83" s="8"/>
      <c r="BA83" s="79"/>
      <c r="BB83" s="8"/>
      <c r="BC83" s="8"/>
      <c r="BD83" s="80"/>
      <c r="BN83" s="298"/>
      <c r="BP83" s="566"/>
      <c r="BQ83" s="527" t="s">
        <v>54</v>
      </c>
      <c r="BR83" s="527"/>
      <c r="BS83" s="527"/>
      <c r="BT83" s="193"/>
      <c r="BU83" s="8"/>
      <c r="BV83" s="79"/>
      <c r="BW83" s="8"/>
      <c r="BX83" s="8"/>
      <c r="BY83" s="80"/>
      <c r="CL83" s="566"/>
      <c r="CM83" s="527" t="s">
        <v>54</v>
      </c>
      <c r="CN83" s="527"/>
      <c r="CO83" s="527"/>
      <c r="CP83" s="193"/>
      <c r="CQ83" s="8"/>
      <c r="CR83" s="79"/>
      <c r="CS83" s="8"/>
      <c r="CT83" s="8"/>
      <c r="CU83" s="80"/>
      <c r="DH83" s="566"/>
      <c r="DI83" s="527" t="s">
        <v>54</v>
      </c>
      <c r="DJ83" s="527"/>
      <c r="DK83" s="527"/>
      <c r="DL83" s="193"/>
      <c r="DM83" s="8"/>
      <c r="DN83" s="79"/>
      <c r="DO83" s="8"/>
      <c r="DP83" s="8"/>
      <c r="DQ83" s="80"/>
    </row>
    <row r="84" spans="1:131" x14ac:dyDescent="0.2">
      <c r="A84" s="566"/>
      <c r="B84" s="527" t="s">
        <v>55</v>
      </c>
      <c r="C84" s="527"/>
      <c r="D84" s="527"/>
      <c r="E84" s="193"/>
      <c r="F84" s="197"/>
      <c r="G84" s="79"/>
      <c r="H84" s="8"/>
      <c r="I84" s="8"/>
      <c r="J84" s="80"/>
      <c r="V84" s="300"/>
      <c r="W84" s="82"/>
      <c r="X84" s="300"/>
      <c r="Y84" s="300"/>
      <c r="Z84" s="566"/>
      <c r="AA84" s="527" t="s">
        <v>55</v>
      </c>
      <c r="AB84" s="527"/>
      <c r="AC84" s="527"/>
      <c r="AD84" s="193"/>
      <c r="AE84" s="8"/>
      <c r="AF84" s="79"/>
      <c r="AG84" s="8"/>
      <c r="AH84" s="8"/>
      <c r="AI84" s="80"/>
      <c r="AS84" s="300"/>
      <c r="AT84" s="300"/>
      <c r="AU84" s="566"/>
      <c r="AV84" s="527" t="s">
        <v>55</v>
      </c>
      <c r="AW84" s="527"/>
      <c r="AX84" s="527"/>
      <c r="AY84" s="193"/>
      <c r="AZ84" s="8"/>
      <c r="BA84" s="79"/>
      <c r="BB84" s="8"/>
      <c r="BC84" s="8"/>
      <c r="BD84" s="80"/>
      <c r="BN84" s="298"/>
      <c r="BP84" s="566"/>
      <c r="BQ84" s="527" t="s">
        <v>55</v>
      </c>
      <c r="BR84" s="527"/>
      <c r="BS84" s="527"/>
      <c r="BT84" s="193"/>
      <c r="BU84" s="8"/>
      <c r="BV84" s="79"/>
      <c r="BW84" s="8"/>
      <c r="BX84" s="8"/>
      <c r="BY84" s="80"/>
      <c r="CL84" s="566"/>
      <c r="CM84" s="527" t="s">
        <v>55</v>
      </c>
      <c r="CN84" s="527"/>
      <c r="CO84" s="527"/>
      <c r="CP84" s="193"/>
      <c r="CQ84" s="8"/>
      <c r="CR84" s="79"/>
      <c r="CS84" s="8"/>
      <c r="CT84" s="8"/>
      <c r="CU84" s="80"/>
      <c r="DH84" s="566"/>
      <c r="DI84" s="527" t="s">
        <v>55</v>
      </c>
      <c r="DJ84" s="527"/>
      <c r="DK84" s="527"/>
      <c r="DL84" s="193"/>
      <c r="DM84" s="8"/>
      <c r="DN84" s="79"/>
      <c r="DO84" s="8"/>
      <c r="DP84" s="8"/>
      <c r="DQ84" s="80"/>
    </row>
    <row r="85" spans="1:131" x14ac:dyDescent="0.2">
      <c r="A85" s="566"/>
      <c r="B85" s="527" t="s">
        <v>20</v>
      </c>
      <c r="C85" s="527"/>
      <c r="D85" s="527"/>
      <c r="E85" s="193"/>
      <c r="F85" s="197"/>
      <c r="G85" s="79"/>
      <c r="H85" s="8"/>
      <c r="I85" s="8"/>
      <c r="J85" s="80"/>
      <c r="V85" s="300"/>
      <c r="W85" s="82"/>
      <c r="X85" s="300"/>
      <c r="Y85" s="300"/>
      <c r="Z85" s="566"/>
      <c r="AA85" s="527" t="s">
        <v>20</v>
      </c>
      <c r="AB85" s="527"/>
      <c r="AC85" s="527"/>
      <c r="AD85" s="193"/>
      <c r="AE85" s="8"/>
      <c r="AF85" s="79"/>
      <c r="AG85" s="8"/>
      <c r="AH85" s="8"/>
      <c r="AI85" s="80"/>
      <c r="AS85" s="300"/>
      <c r="AT85" s="300"/>
      <c r="AU85" s="566"/>
      <c r="AV85" s="527" t="s">
        <v>20</v>
      </c>
      <c r="AW85" s="527"/>
      <c r="AX85" s="527"/>
      <c r="AY85" s="193"/>
      <c r="AZ85" s="8"/>
      <c r="BA85" s="79"/>
      <c r="BB85" s="8"/>
      <c r="BC85" s="8"/>
      <c r="BD85" s="80"/>
      <c r="BN85" s="298"/>
      <c r="BP85" s="566"/>
      <c r="BQ85" s="527" t="s">
        <v>20</v>
      </c>
      <c r="BR85" s="527"/>
      <c r="BS85" s="527"/>
      <c r="BT85" s="193"/>
      <c r="BU85" s="8"/>
      <c r="BV85" s="79"/>
      <c r="BW85" s="8"/>
      <c r="BX85" s="8"/>
      <c r="BY85" s="80"/>
      <c r="CL85" s="566"/>
      <c r="CM85" s="527" t="s">
        <v>20</v>
      </c>
      <c r="CN85" s="527"/>
      <c r="CO85" s="527"/>
      <c r="CP85" s="193"/>
      <c r="CQ85" s="8"/>
      <c r="CR85" s="79"/>
      <c r="CS85" s="8"/>
      <c r="CT85" s="8"/>
      <c r="CU85" s="80"/>
      <c r="DH85" s="566"/>
      <c r="DI85" s="527" t="s">
        <v>20</v>
      </c>
      <c r="DJ85" s="527"/>
      <c r="DK85" s="527"/>
      <c r="DL85" s="193"/>
      <c r="DM85" s="8"/>
      <c r="DN85" s="79"/>
      <c r="DO85" s="8"/>
      <c r="DP85" s="8"/>
      <c r="DQ85" s="80"/>
    </row>
    <row r="86" spans="1:131" ht="21" thickBot="1" x14ac:dyDescent="0.35">
      <c r="A86" s="566"/>
      <c r="B86" s="527" t="s">
        <v>56</v>
      </c>
      <c r="C86" s="527"/>
      <c r="D86" s="527"/>
      <c r="E86" s="193"/>
      <c r="F86" s="197"/>
      <c r="G86" s="79"/>
      <c r="H86" s="8"/>
      <c r="I86" s="8"/>
      <c r="J86" s="300"/>
      <c r="K86" s="11"/>
      <c r="L86" s="571" t="s">
        <v>50</v>
      </c>
      <c r="M86" s="571"/>
      <c r="N86" s="571"/>
      <c r="O86" s="572"/>
      <c r="P86" s="572"/>
      <c r="Q86" s="572"/>
      <c r="R86" s="573">
        <f>SUM(R82,G75,S40,H42,H50,E88)</f>
        <v>278.58977500000003</v>
      </c>
      <c r="S86" s="573"/>
      <c r="T86" s="573"/>
      <c r="V86" s="300"/>
      <c r="W86" s="82"/>
      <c r="X86" s="300"/>
      <c r="Y86" s="300"/>
      <c r="Z86" s="566"/>
      <c r="AA86" s="527" t="s">
        <v>56</v>
      </c>
      <c r="AB86" s="527"/>
      <c r="AC86" s="527"/>
      <c r="AD86" s="193"/>
      <c r="AE86" s="8"/>
      <c r="AF86" s="79"/>
      <c r="AG86" s="8"/>
      <c r="AH86" s="8"/>
      <c r="AI86" s="300"/>
      <c r="AJ86" s="11"/>
      <c r="AK86" s="571" t="s">
        <v>50</v>
      </c>
      <c r="AL86" s="571"/>
      <c r="AM86" s="572"/>
      <c r="AN86" s="572"/>
      <c r="AO86" s="572"/>
      <c r="AP86" s="573">
        <f>SUM(AG42,AG50,AF75,AD88,AQ40,AP82)</f>
        <v>304.32073928571424</v>
      </c>
      <c r="AQ86" s="573"/>
      <c r="AR86" s="573"/>
      <c r="AS86" s="71"/>
      <c r="AT86" s="300"/>
      <c r="AU86" s="566"/>
      <c r="AV86" s="527" t="s">
        <v>56</v>
      </c>
      <c r="AW86" s="527"/>
      <c r="AX86" s="527"/>
      <c r="AY86" s="193"/>
      <c r="AZ86" s="8"/>
      <c r="BA86" s="79"/>
      <c r="BB86" s="8"/>
      <c r="BC86" s="8"/>
      <c r="BD86" s="300"/>
      <c r="BE86" s="11"/>
      <c r="BF86" s="571" t="s">
        <v>50</v>
      </c>
      <c r="BG86" s="571"/>
      <c r="BH86" s="572"/>
      <c r="BI86" s="572"/>
      <c r="BJ86" s="572"/>
      <c r="BK86" s="573">
        <f>SUM(BK82,BA75,BL40,BB42,BB50,AY88)</f>
        <v>359.90884642857145</v>
      </c>
      <c r="BL86" s="573"/>
      <c r="BM86" s="573"/>
      <c r="BN86" s="298"/>
      <c r="BP86" s="566"/>
      <c r="BQ86" s="527" t="s">
        <v>56</v>
      </c>
      <c r="BR86" s="527"/>
      <c r="BS86" s="527"/>
      <c r="BT86" s="193"/>
      <c r="BU86" s="8"/>
      <c r="BV86" s="79"/>
      <c r="BW86" s="8"/>
      <c r="BX86" s="8"/>
      <c r="BY86" s="300"/>
      <c r="BZ86" s="11"/>
      <c r="CA86" s="571" t="s">
        <v>50</v>
      </c>
      <c r="CB86" s="571"/>
      <c r="CC86" s="571"/>
      <c r="CD86" s="572"/>
      <c r="CE86" s="572"/>
      <c r="CF86" s="572"/>
      <c r="CG86" s="573" t="e">
        <f>SUM(CG82,BV75,CH40,BW42,BW50,BT88)</f>
        <v>#VALUE!</v>
      </c>
      <c r="CH86" s="573"/>
      <c r="CI86" s="573"/>
      <c r="CL86" s="566"/>
      <c r="CM86" s="527" t="s">
        <v>56</v>
      </c>
      <c r="CN86" s="527"/>
      <c r="CO86" s="527"/>
      <c r="CP86" s="193"/>
      <c r="CQ86" s="8"/>
      <c r="CR86" s="79"/>
      <c r="CS86" s="8"/>
      <c r="CT86" s="8"/>
      <c r="CU86" s="300"/>
      <c r="CV86" s="11"/>
      <c r="CW86" s="571" t="s">
        <v>50</v>
      </c>
      <c r="CX86" s="571"/>
      <c r="CY86" s="571"/>
      <c r="CZ86" s="572"/>
      <c r="DA86" s="572"/>
      <c r="DB86" s="572"/>
      <c r="DC86" s="573" t="e">
        <f>SUM(DC82,CR75,DD40,CS42,CS50,CP88)</f>
        <v>#VALUE!</v>
      </c>
      <c r="DD86" s="573"/>
      <c r="DE86" s="573"/>
      <c r="DH86" s="566"/>
      <c r="DI86" s="527" t="s">
        <v>56</v>
      </c>
      <c r="DJ86" s="527"/>
      <c r="DK86" s="527"/>
      <c r="DL86" s="193"/>
      <c r="DM86" s="8"/>
      <c r="DN86" s="79"/>
      <c r="DO86" s="8"/>
      <c r="DP86" s="8"/>
      <c r="DQ86" s="300"/>
      <c r="DR86" s="11"/>
      <c r="DS86" s="571" t="s">
        <v>50</v>
      </c>
      <c r="DT86" s="571"/>
      <c r="DU86" s="571"/>
      <c r="DV86" s="572"/>
      <c r="DW86" s="572"/>
      <c r="DX86" s="572"/>
      <c r="DY86" s="573" t="e">
        <f>SUM(DY82,DN75,DZ40,DO42,DO50,DL88)</f>
        <v>#VALUE!</v>
      </c>
      <c r="DZ86" s="573"/>
      <c r="EA86" s="573"/>
    </row>
    <row r="87" spans="1:131" x14ac:dyDescent="0.2">
      <c r="V87" s="300"/>
      <c r="W87" s="300"/>
      <c r="X87" s="300"/>
      <c r="Y87" s="300"/>
      <c r="AS87" s="300"/>
      <c r="AT87" s="300"/>
      <c r="BN87" s="298"/>
    </row>
    <row r="88" spans="1:131" ht="15.75" thickBot="1" x14ac:dyDescent="0.25">
      <c r="A88" s="11"/>
      <c r="B88" s="578" t="s">
        <v>8</v>
      </c>
      <c r="C88" s="578"/>
      <c r="D88" s="578"/>
      <c r="E88" s="579">
        <f>SUM(F81:F86)</f>
        <v>0</v>
      </c>
      <c r="F88" s="580"/>
      <c r="G88" s="11"/>
      <c r="H88" s="11"/>
      <c r="I88" s="11"/>
      <c r="V88" s="300"/>
      <c r="W88" s="300"/>
      <c r="X88" s="299"/>
      <c r="Y88" s="299"/>
      <c r="Z88" s="11"/>
      <c r="AA88" s="578" t="s">
        <v>8</v>
      </c>
      <c r="AB88" s="578"/>
      <c r="AC88" s="578"/>
      <c r="AD88" s="579">
        <f>SUM(AE81:AE86)</f>
        <v>0</v>
      </c>
      <c r="AE88" s="580"/>
      <c r="AF88" s="11"/>
      <c r="AG88" s="11"/>
      <c r="AH88" s="11"/>
      <c r="AS88" s="300"/>
      <c r="AT88" s="300"/>
      <c r="AU88" s="11"/>
      <c r="AV88" s="578" t="s">
        <v>8</v>
      </c>
      <c r="AW88" s="578"/>
      <c r="AX88" s="578"/>
      <c r="AY88" s="579">
        <f>SUM(AZ81:AZ86)</f>
        <v>0</v>
      </c>
      <c r="AZ88" s="580"/>
      <c r="BA88" s="11"/>
      <c r="BB88" s="11"/>
      <c r="BC88" s="11"/>
      <c r="BN88" s="298"/>
      <c r="BP88" s="11"/>
      <c r="BQ88" s="578" t="s">
        <v>8</v>
      </c>
      <c r="BR88" s="578"/>
      <c r="BS88" s="578"/>
      <c r="BT88" s="579">
        <f>SUM(BU81:BU86)</f>
        <v>0</v>
      </c>
      <c r="BU88" s="580"/>
      <c r="BV88" s="11"/>
      <c r="BW88" s="11"/>
      <c r="BX88" s="11"/>
      <c r="CL88" s="11"/>
      <c r="CM88" s="578" t="s">
        <v>8</v>
      </c>
      <c r="CN88" s="578"/>
      <c r="CO88" s="578"/>
      <c r="CP88" s="579">
        <f>SUM(CQ81:CQ86)</f>
        <v>0</v>
      </c>
      <c r="CQ88" s="580"/>
      <c r="CR88" s="11"/>
      <c r="CS88" s="11"/>
      <c r="CT88" s="11"/>
      <c r="DH88" s="11"/>
      <c r="DI88" s="578" t="s">
        <v>8</v>
      </c>
      <c r="DJ88" s="578"/>
      <c r="DK88" s="578"/>
      <c r="DL88" s="579">
        <f>SUM(DM81:DM86)</f>
        <v>0</v>
      </c>
      <c r="DM88" s="580"/>
      <c r="DN88" s="11"/>
      <c r="DO88" s="11"/>
      <c r="DP88" s="11"/>
    </row>
    <row r="89" spans="1:131" ht="20.25" x14ac:dyDescent="0.3">
      <c r="V89" s="300"/>
      <c r="W89" s="300"/>
      <c r="X89" s="83"/>
      <c r="Y89" s="83"/>
      <c r="AS89" s="300"/>
      <c r="AT89" s="300"/>
      <c r="BN89" s="298"/>
    </row>
    <row r="90" spans="1:131" x14ac:dyDescent="0.2">
      <c r="V90" s="300"/>
      <c r="W90" s="300"/>
      <c r="X90" s="300"/>
      <c r="Y90" s="300"/>
      <c r="AS90" s="300"/>
      <c r="AT90" s="300"/>
      <c r="BN90" s="298"/>
    </row>
    <row r="91" spans="1:131" ht="23.25" x14ac:dyDescent="0.35">
      <c r="A91" s="574" t="s">
        <v>45</v>
      </c>
      <c r="B91" s="574"/>
      <c r="C91" s="574"/>
      <c r="D91" s="574"/>
      <c r="E91" s="574"/>
      <c r="F91" s="575">
        <f>H35</f>
        <v>1000</v>
      </c>
      <c r="G91" s="576"/>
      <c r="H91" s="577"/>
      <c r="I91" s="577"/>
      <c r="J91" s="577"/>
      <c r="K91" s="168"/>
      <c r="L91" s="574" t="s">
        <v>45</v>
      </c>
      <c r="M91" s="574"/>
      <c r="N91" s="574"/>
      <c r="O91" s="574"/>
      <c r="P91" s="575">
        <f>AG35</f>
        <v>2000</v>
      </c>
      <c r="Q91" s="576"/>
      <c r="R91" s="577"/>
      <c r="S91" s="577"/>
      <c r="T91" s="577"/>
      <c r="U91" s="169"/>
      <c r="V91" s="169"/>
      <c r="W91" s="169"/>
      <c r="X91" s="169"/>
      <c r="Y91" s="169"/>
      <c r="AI91" s="300"/>
      <c r="AS91" s="300"/>
      <c r="AT91" s="300"/>
      <c r="BD91" s="300"/>
      <c r="BN91" s="298"/>
    </row>
    <row r="92" spans="1:131" ht="24" thickBot="1" x14ac:dyDescent="0.4">
      <c r="A92" s="581" t="s">
        <v>29</v>
      </c>
      <c r="B92" s="582"/>
      <c r="C92" s="582"/>
      <c r="D92" s="582"/>
      <c r="E92" s="583"/>
      <c r="F92" s="584">
        <f>R86</f>
        <v>278.58977500000003</v>
      </c>
      <c r="G92" s="585"/>
      <c r="H92" s="586"/>
      <c r="I92" s="587">
        <f>100%</f>
        <v>1</v>
      </c>
      <c r="J92" s="583"/>
      <c r="K92" s="168"/>
      <c r="L92" s="581" t="s">
        <v>29</v>
      </c>
      <c r="M92" s="582"/>
      <c r="N92" s="582"/>
      <c r="O92" s="583"/>
      <c r="P92" s="584">
        <f>AP86</f>
        <v>304.32073928571424</v>
      </c>
      <c r="Q92" s="585"/>
      <c r="R92" s="586"/>
      <c r="S92" s="587">
        <f>100%</f>
        <v>1</v>
      </c>
      <c r="T92" s="583"/>
      <c r="U92" s="169"/>
      <c r="V92" s="169"/>
      <c r="W92" s="169"/>
      <c r="X92" s="170"/>
      <c r="Y92" s="169"/>
      <c r="AI92" s="300"/>
      <c r="AS92" s="300"/>
      <c r="AT92" s="300"/>
      <c r="BD92" s="300"/>
      <c r="BN92" s="298"/>
    </row>
    <row r="93" spans="1:131" ht="23.25" x14ac:dyDescent="0.35">
      <c r="A93" s="591" t="s">
        <v>42</v>
      </c>
      <c r="B93" s="594"/>
      <c r="C93" s="594"/>
      <c r="D93" s="594"/>
      <c r="E93" s="595"/>
      <c r="F93" s="611">
        <f>H48</f>
        <v>21</v>
      </c>
      <c r="G93" s="612"/>
      <c r="H93" s="613"/>
      <c r="I93" s="598">
        <f>F93/F92</f>
        <v>7.5379650958115732E-2</v>
      </c>
      <c r="J93" s="614"/>
      <c r="K93" s="168"/>
      <c r="L93" s="591" t="s">
        <v>42</v>
      </c>
      <c r="M93" s="594"/>
      <c r="N93" s="594"/>
      <c r="O93" s="595"/>
      <c r="P93" s="611">
        <f>AG48</f>
        <v>21</v>
      </c>
      <c r="Q93" s="615"/>
      <c r="R93" s="616"/>
      <c r="S93" s="598">
        <f>P93/P92</f>
        <v>6.9006141511387314E-2</v>
      </c>
      <c r="T93" s="595"/>
      <c r="U93" s="169"/>
      <c r="V93" s="169"/>
      <c r="W93" s="169"/>
      <c r="X93" s="170"/>
      <c r="Y93" s="169"/>
      <c r="AI93" s="300"/>
      <c r="BD93" s="300"/>
      <c r="BN93" s="298"/>
    </row>
    <row r="94" spans="1:131" ht="23.25" x14ac:dyDescent="0.35">
      <c r="A94" s="591" t="s">
        <v>46</v>
      </c>
      <c r="B94" s="594"/>
      <c r="C94" s="594"/>
      <c r="D94" s="594"/>
      <c r="E94" s="595"/>
      <c r="F94" s="588">
        <f>G75</f>
        <v>90.25</v>
      </c>
      <c r="G94" s="617"/>
      <c r="H94" s="618"/>
      <c r="I94" s="598">
        <f>F94/F92</f>
        <v>0.32395302376047358</v>
      </c>
      <c r="J94" s="614"/>
      <c r="K94" s="168"/>
      <c r="L94" s="591" t="s">
        <v>46</v>
      </c>
      <c r="M94" s="594"/>
      <c r="N94" s="594"/>
      <c r="O94" s="595"/>
      <c r="P94" s="588">
        <f>AF75</f>
        <v>121.78571428571428</v>
      </c>
      <c r="Q94" s="596"/>
      <c r="R94" s="597"/>
      <c r="S94" s="598">
        <f>P94/P92</f>
        <v>0.40018867781263728</v>
      </c>
      <c r="T94" s="595"/>
      <c r="U94" s="169"/>
      <c r="V94" s="169"/>
      <c r="W94" s="169"/>
      <c r="X94" s="170"/>
      <c r="Y94" s="169"/>
      <c r="AI94" s="300"/>
      <c r="BD94" s="300"/>
      <c r="BN94" s="298"/>
    </row>
    <row r="95" spans="1:131" ht="23.25" x14ac:dyDescent="0.35">
      <c r="A95" s="591" t="s">
        <v>47</v>
      </c>
      <c r="B95" s="594"/>
      <c r="C95" s="594"/>
      <c r="D95" s="594"/>
      <c r="E95" s="595"/>
      <c r="F95" s="588">
        <f>SUM(S40,Q47,Q48,Q49,Q50,Q53,Q54,R57,Q58,Q59,Q63,Q64,Q65,Q69,E88)</f>
        <v>21.25</v>
      </c>
      <c r="G95" s="617"/>
      <c r="H95" s="618"/>
      <c r="I95" s="598">
        <f>F95/F92</f>
        <v>7.6277027755236163E-2</v>
      </c>
      <c r="J95" s="614"/>
      <c r="K95" s="168"/>
      <c r="L95" s="591" t="s">
        <v>47</v>
      </c>
      <c r="M95" s="594"/>
      <c r="N95" s="594"/>
      <c r="O95" s="595"/>
      <c r="P95" s="588">
        <f>SUM(AQ40,AO47,AO48,AO49,AO50,AO53,AO54,AO58,AO59,AO63,AO64,AO65,AO69,AD88)</f>
        <v>34</v>
      </c>
      <c r="Q95" s="596"/>
      <c r="R95" s="597"/>
      <c r="S95" s="598">
        <f>P95/P92</f>
        <v>0.11172422911367469</v>
      </c>
      <c r="T95" s="595"/>
      <c r="U95" s="169"/>
      <c r="V95" s="169"/>
      <c r="W95" s="169"/>
      <c r="X95" s="170"/>
      <c r="Y95" s="169"/>
      <c r="AI95" s="300"/>
      <c r="BD95" s="300"/>
      <c r="BN95" s="298"/>
    </row>
    <row r="96" spans="1:131" ht="23.25" x14ac:dyDescent="0.35">
      <c r="A96" s="591" t="s">
        <v>48</v>
      </c>
      <c r="B96" s="594"/>
      <c r="C96" s="594"/>
      <c r="D96" s="594"/>
      <c r="E96" s="595"/>
      <c r="F96" s="588">
        <f>SUM(H42,H47,S49,Q74,Q75,Q79)</f>
        <v>146.089775</v>
      </c>
      <c r="G96" s="617"/>
      <c r="H96" s="618"/>
      <c r="I96" s="598">
        <f>F96/F92</f>
        <v>0.52439029752617439</v>
      </c>
      <c r="J96" s="614"/>
      <c r="K96" s="168"/>
      <c r="L96" s="591" t="s">
        <v>48</v>
      </c>
      <c r="M96" s="594"/>
      <c r="N96" s="594"/>
      <c r="O96" s="595"/>
      <c r="P96" s="588">
        <f>SUM(AG47,AG42,AQ49,AO74,AO75,AO79)</f>
        <v>127.53502499999999</v>
      </c>
      <c r="Q96" s="596"/>
      <c r="R96" s="597"/>
      <c r="S96" s="598">
        <f>P96/P92</f>
        <v>0.41908095156230085</v>
      </c>
      <c r="T96" s="595"/>
      <c r="U96" s="169"/>
      <c r="V96" s="169"/>
      <c r="W96" s="169"/>
      <c r="X96" s="170"/>
      <c r="Y96" s="169"/>
      <c r="AI96" s="300"/>
      <c r="AY96" s="300"/>
      <c r="AZ96" s="300"/>
      <c r="BA96" s="298"/>
      <c r="BB96" s="298"/>
      <c r="BC96" s="298"/>
      <c r="BD96" s="298"/>
    </row>
    <row r="97" spans="1:65" ht="23.25" x14ac:dyDescent="0.35">
      <c r="A97" s="631" t="s">
        <v>49</v>
      </c>
      <c r="B97" s="474"/>
      <c r="C97" s="474"/>
      <c r="D97" s="474"/>
      <c r="E97" s="593"/>
      <c r="F97" s="599"/>
      <c r="G97" s="600"/>
      <c r="H97" s="601"/>
      <c r="I97" s="592"/>
      <c r="J97" s="593"/>
      <c r="K97" s="168"/>
      <c r="L97" s="631" t="s">
        <v>49</v>
      </c>
      <c r="M97" s="474"/>
      <c r="N97" s="474"/>
      <c r="O97" s="593"/>
      <c r="P97" s="599"/>
      <c r="Q97" s="600"/>
      <c r="R97" s="601"/>
      <c r="S97" s="592"/>
      <c r="T97" s="593"/>
      <c r="U97" s="169"/>
      <c r="V97" s="169"/>
      <c r="W97" s="169"/>
      <c r="X97" s="169"/>
      <c r="Y97" s="169"/>
      <c r="AI97" s="300"/>
      <c r="AY97" s="300"/>
      <c r="AZ97" s="300"/>
      <c r="BA97" s="298"/>
      <c r="BB97" s="298"/>
      <c r="BC97" s="298"/>
      <c r="BD97" s="298"/>
    </row>
    <row r="98" spans="1:65" ht="23.25" hidden="1" x14ac:dyDescent="0.35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8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AI98" s="300"/>
      <c r="AY98" s="300"/>
      <c r="AZ98" s="300"/>
      <c r="BA98" s="298"/>
      <c r="BB98" s="298"/>
      <c r="BC98" s="298"/>
      <c r="BD98" s="298"/>
    </row>
    <row r="99" spans="1:65" ht="30" x14ac:dyDescent="0.4">
      <c r="A99" s="169"/>
      <c r="B99" s="169"/>
      <c r="C99" s="168"/>
      <c r="D99" s="172">
        <v>0.05</v>
      </c>
      <c r="E99" s="183">
        <f>F92*1.05</f>
        <v>292.51926375000005</v>
      </c>
      <c r="F99" s="169"/>
      <c r="G99" s="287">
        <f>IF(E99="","",E99/G19)</f>
        <v>0.29251926375000004</v>
      </c>
      <c r="H99" s="169"/>
      <c r="I99" s="169"/>
      <c r="J99" s="169"/>
      <c r="K99" s="168"/>
      <c r="L99" s="169"/>
      <c r="M99" s="169"/>
      <c r="O99" s="172">
        <v>0.05</v>
      </c>
      <c r="P99" s="183">
        <f>P92*1.05</f>
        <v>319.53677624999995</v>
      </c>
      <c r="Q99" s="169"/>
      <c r="R99" s="287">
        <f>IF(P99="","",P99/I19)</f>
        <v>0.15976838812499997</v>
      </c>
      <c r="S99" s="169"/>
      <c r="T99" s="169"/>
      <c r="U99" s="168"/>
      <c r="V99" s="169"/>
      <c r="W99" s="169"/>
      <c r="X99" s="169"/>
      <c r="Y99" s="169"/>
      <c r="AI99" s="300"/>
      <c r="AY99" s="300"/>
      <c r="AZ99" s="300"/>
      <c r="BA99" s="298"/>
      <c r="BB99" s="298"/>
      <c r="BC99" s="298"/>
      <c r="BD99" s="298"/>
      <c r="BE99" s="298"/>
      <c r="BF99" s="298"/>
      <c r="BI99" s="298"/>
      <c r="BL99" s="298"/>
      <c r="BM99" s="298"/>
    </row>
    <row r="100" spans="1:65" ht="30" x14ac:dyDescent="0.4">
      <c r="A100" s="169"/>
      <c r="B100" s="169"/>
      <c r="C100" s="168"/>
      <c r="D100" s="172">
        <v>0.1</v>
      </c>
      <c r="E100" s="183">
        <f>F92*1.1</f>
        <v>306.44875250000007</v>
      </c>
      <c r="F100" s="169"/>
      <c r="G100" s="288">
        <f>IF(E100="","",E100/G19)</f>
        <v>0.30644875250000009</v>
      </c>
      <c r="H100" s="169"/>
      <c r="I100" s="169"/>
      <c r="J100" s="169"/>
      <c r="K100" s="168"/>
      <c r="L100" s="169"/>
      <c r="M100" s="169"/>
      <c r="O100" s="172">
        <v>0.1</v>
      </c>
      <c r="P100" s="183">
        <f>P92*1.1</f>
        <v>334.75281321428571</v>
      </c>
      <c r="Q100" s="169"/>
      <c r="R100" s="288">
        <f>IF(P100="","",P100/I19)</f>
        <v>0.16737640660714284</v>
      </c>
      <c r="S100" s="169"/>
      <c r="T100" s="169"/>
      <c r="U100" s="168"/>
      <c r="V100" s="169"/>
      <c r="W100" s="169"/>
      <c r="X100" s="169"/>
      <c r="Y100" s="169"/>
      <c r="AI100" s="300"/>
      <c r="AJ100" s="300"/>
      <c r="AK100" s="300"/>
      <c r="AY100" s="300"/>
      <c r="AZ100" s="300"/>
      <c r="BA100" s="298"/>
      <c r="BB100" s="298"/>
      <c r="BC100" s="298"/>
      <c r="BD100" s="298"/>
      <c r="BE100" s="298"/>
      <c r="BF100" s="298"/>
      <c r="BG100" s="298"/>
      <c r="BH100" s="298"/>
      <c r="BI100" s="298"/>
      <c r="BJ100" s="298"/>
      <c r="BK100" s="298"/>
      <c r="BL100" s="298"/>
      <c r="BM100" s="298"/>
    </row>
    <row r="103" spans="1:65" ht="23.25" x14ac:dyDescent="0.35">
      <c r="A103" s="609" t="s">
        <v>45</v>
      </c>
      <c r="B103" s="609"/>
      <c r="C103" s="609"/>
      <c r="D103" s="609"/>
      <c r="E103" s="610"/>
      <c r="F103" s="607">
        <f>BB35</f>
        <v>3000</v>
      </c>
      <c r="G103" s="608"/>
      <c r="H103" s="289"/>
      <c r="I103" s="289"/>
      <c r="J103" s="290"/>
      <c r="L103" s="295" t="s">
        <v>45</v>
      </c>
      <c r="M103" s="295"/>
      <c r="N103" s="295"/>
      <c r="O103" s="295"/>
      <c r="P103" s="575">
        <f>G29</f>
        <v>0</v>
      </c>
      <c r="Q103" s="577"/>
      <c r="R103" s="577"/>
      <c r="S103" s="577"/>
      <c r="T103" s="577"/>
      <c r="U103" s="168"/>
    </row>
    <row r="104" spans="1:65" ht="24" thickBot="1" x14ac:dyDescent="0.4">
      <c r="A104" s="581" t="s">
        <v>29</v>
      </c>
      <c r="B104" s="582"/>
      <c r="C104" s="582"/>
      <c r="D104" s="582"/>
      <c r="E104" s="603"/>
      <c r="F104" s="604">
        <f>BK86</f>
        <v>359.90884642857145</v>
      </c>
      <c r="G104" s="605"/>
      <c r="H104" s="606"/>
      <c r="I104" s="632">
        <f>100%</f>
        <v>1</v>
      </c>
      <c r="J104" s="633"/>
      <c r="L104" s="581" t="s">
        <v>29</v>
      </c>
      <c r="M104" s="602"/>
      <c r="N104" s="602"/>
      <c r="O104" s="603"/>
      <c r="P104" s="584" t="e">
        <f>CG86</f>
        <v>#VALUE!</v>
      </c>
      <c r="Q104" s="602"/>
      <c r="R104" s="603"/>
      <c r="S104" s="587">
        <f>100%</f>
        <v>1</v>
      </c>
      <c r="T104" s="583"/>
    </row>
    <row r="105" spans="1:65" ht="23.25" x14ac:dyDescent="0.35">
      <c r="A105" s="591" t="s">
        <v>42</v>
      </c>
      <c r="B105" s="594"/>
      <c r="C105" s="594"/>
      <c r="D105" s="594"/>
      <c r="E105" s="590"/>
      <c r="F105" s="596">
        <f>BB48</f>
        <v>21</v>
      </c>
      <c r="G105" s="636"/>
      <c r="H105" s="635"/>
      <c r="I105" s="598">
        <f>F105/F104</f>
        <v>5.8348107328803099E-2</v>
      </c>
      <c r="J105" s="595"/>
      <c r="L105" s="591" t="s">
        <v>42</v>
      </c>
      <c r="M105" s="589"/>
      <c r="N105" s="589"/>
      <c r="O105" s="590"/>
      <c r="P105" s="588">
        <f>BW48</f>
        <v>21</v>
      </c>
      <c r="Q105" s="589"/>
      <c r="R105" s="590"/>
      <c r="S105" s="598" t="e">
        <f>P105/P104</f>
        <v>#VALUE!</v>
      </c>
      <c r="T105" s="595"/>
    </row>
    <row r="106" spans="1:65" ht="23.25" x14ac:dyDescent="0.35">
      <c r="A106" s="591" t="s">
        <v>46</v>
      </c>
      <c r="B106" s="594"/>
      <c r="C106" s="594"/>
      <c r="D106" s="594"/>
      <c r="E106" s="590"/>
      <c r="F106" s="596">
        <f>BA75</f>
        <v>150.92857142857142</v>
      </c>
      <c r="G106" s="636"/>
      <c r="H106" s="635"/>
      <c r="I106" s="598">
        <f>F106/F104</f>
        <v>0.41935221355701002</v>
      </c>
      <c r="J106" s="595"/>
      <c r="L106" s="591" t="s">
        <v>46</v>
      </c>
      <c r="M106" s="635"/>
      <c r="N106" s="635"/>
      <c r="O106" s="590"/>
      <c r="P106" s="588" t="e">
        <f>BV75</f>
        <v>#VALUE!</v>
      </c>
      <c r="Q106" s="589"/>
      <c r="R106" s="590"/>
      <c r="S106" s="598" t="e">
        <f>P106/P104</f>
        <v>#VALUE!</v>
      </c>
      <c r="T106" s="595"/>
    </row>
    <row r="107" spans="1:65" ht="23.25" x14ac:dyDescent="0.35">
      <c r="A107" s="591" t="s">
        <v>47</v>
      </c>
      <c r="B107" s="594"/>
      <c r="C107" s="594"/>
      <c r="D107" s="594"/>
      <c r="E107" s="590"/>
      <c r="F107" s="596">
        <f>SUM(BL40,BJ47,BJ48,BJ49,BJ50,BJ53,BJ54,BJ58,BJ59,BJ63,BJ64,BJ65,BJ69)</f>
        <v>34</v>
      </c>
      <c r="G107" s="636"/>
      <c r="H107" s="635"/>
      <c r="I107" s="598">
        <f>F107/F104</f>
        <v>9.4468364246633588E-2</v>
      </c>
      <c r="J107" s="595"/>
      <c r="L107" s="591" t="s">
        <v>47</v>
      </c>
      <c r="M107" s="635"/>
      <c r="N107" s="635"/>
      <c r="O107" s="590"/>
      <c r="P107" s="588" t="e">
        <f>SUM(CH40,CF47,CF48,CF49,CF50,CF53,CF54,CF58,CF59,CF63,CF64,CF65,CF69)</f>
        <v>#VALUE!</v>
      </c>
      <c r="Q107" s="589"/>
      <c r="R107" s="590"/>
      <c r="S107" s="598" t="e">
        <f>P107/P104</f>
        <v>#VALUE!</v>
      </c>
      <c r="T107" s="595"/>
    </row>
    <row r="108" spans="1:65" ht="23.25" x14ac:dyDescent="0.35">
      <c r="A108" s="591" t="s">
        <v>48</v>
      </c>
      <c r="B108" s="594"/>
      <c r="C108" s="594"/>
      <c r="D108" s="594"/>
      <c r="E108" s="590"/>
      <c r="F108" s="596">
        <f>SUM(BB42,BL49,BJ79,BJ75,BJ74,BB47)</f>
        <v>153.98027500000001</v>
      </c>
      <c r="G108" s="636"/>
      <c r="H108" s="635"/>
      <c r="I108" s="598">
        <f>F108/F104</f>
        <v>0.42783131486755321</v>
      </c>
      <c r="J108" s="595"/>
      <c r="L108" s="591" t="s">
        <v>48</v>
      </c>
      <c r="M108" s="635"/>
      <c r="N108" s="635"/>
      <c r="O108" s="590"/>
      <c r="P108" s="588">
        <f>SUM(BW42,CF79,CF75,CF74,CH49,BW47)</f>
        <v>74.644525000000002</v>
      </c>
      <c r="Q108" s="589"/>
      <c r="R108" s="590"/>
      <c r="S108" s="598" t="e">
        <f>P108/P104</f>
        <v>#VALUE!</v>
      </c>
      <c r="T108" s="595"/>
    </row>
    <row r="109" spans="1:65" ht="23.25" x14ac:dyDescent="0.35">
      <c r="A109" s="631" t="s">
        <v>49</v>
      </c>
      <c r="B109" s="474"/>
      <c r="C109" s="474"/>
      <c r="D109" s="474"/>
      <c r="E109" s="610"/>
      <c r="F109" s="599"/>
      <c r="G109" s="577"/>
      <c r="H109" s="610"/>
      <c r="I109" s="592"/>
      <c r="J109" s="593"/>
      <c r="L109" s="631" t="s">
        <v>49</v>
      </c>
      <c r="M109" s="634"/>
      <c r="N109" s="634"/>
      <c r="O109" s="610"/>
      <c r="P109" s="599"/>
      <c r="Q109" s="634"/>
      <c r="R109" s="610"/>
      <c r="S109" s="592"/>
      <c r="T109" s="593"/>
    </row>
    <row r="110" spans="1:65" ht="23.25" hidden="1" x14ac:dyDescent="0.35">
      <c r="A110" s="171"/>
      <c r="B110" s="171"/>
      <c r="C110" s="171"/>
      <c r="D110" s="171"/>
      <c r="E110" s="171"/>
      <c r="F110" s="171"/>
      <c r="G110" s="171"/>
      <c r="H110" s="171"/>
      <c r="I110" s="171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</row>
    <row r="111" spans="1:65" ht="30" x14ac:dyDescent="0.4">
      <c r="A111" s="171"/>
      <c r="B111" s="171"/>
      <c r="D111" s="172">
        <v>0.05</v>
      </c>
      <c r="E111" s="184">
        <f>F104*1.05</f>
        <v>377.90428875000003</v>
      </c>
      <c r="F111" s="171"/>
      <c r="G111" s="287">
        <f>IF(E111="","",E111/M19)</f>
        <v>0.12596809625000002</v>
      </c>
      <c r="H111" s="171"/>
      <c r="I111" s="171"/>
      <c r="L111" s="169"/>
      <c r="M111" s="169"/>
      <c r="N111" s="168"/>
      <c r="O111" s="172">
        <v>0.05</v>
      </c>
      <c r="P111" s="183" t="e">
        <f>P104*1.05</f>
        <v>#VALUE!</v>
      </c>
      <c r="Q111" s="169"/>
      <c r="R111" s="287" t="e">
        <f>IF(P111="","",P111/G29)</f>
        <v>#VALUE!</v>
      </c>
      <c r="S111" s="169"/>
      <c r="T111" s="169"/>
      <c r="U111" s="169"/>
    </row>
    <row r="112" spans="1:65" ht="30" x14ac:dyDescent="0.4">
      <c r="A112" s="171"/>
      <c r="B112" s="171"/>
      <c r="D112" s="172">
        <v>0.1</v>
      </c>
      <c r="E112" s="184">
        <f>F104*1.1</f>
        <v>395.89973107142862</v>
      </c>
      <c r="F112" s="171"/>
      <c r="G112" s="288">
        <f>IF(E112="","",E112/M19)</f>
        <v>0.13196657702380954</v>
      </c>
      <c r="H112" s="171"/>
      <c r="I112" s="171"/>
      <c r="L112" s="169"/>
      <c r="M112" s="169"/>
      <c r="N112" s="168"/>
      <c r="O112" s="172">
        <v>0.1</v>
      </c>
      <c r="P112" s="183" t="e">
        <f>P104*1.1</f>
        <v>#VALUE!</v>
      </c>
      <c r="Q112" s="169"/>
      <c r="R112" s="288" t="e">
        <f>IF(P112="","",P112/G29)</f>
        <v>#VALUE!</v>
      </c>
      <c r="S112" s="169"/>
      <c r="T112" s="169"/>
      <c r="U112" s="169"/>
    </row>
    <row r="115" spans="1:20" ht="23.25" x14ac:dyDescent="0.35">
      <c r="A115" s="609" t="s">
        <v>45</v>
      </c>
      <c r="B115" s="609"/>
      <c r="C115" s="609"/>
      <c r="D115" s="609"/>
      <c r="E115" s="610"/>
      <c r="F115" s="575" t="str">
        <f>CS35</f>
        <v/>
      </c>
      <c r="G115" s="576"/>
      <c r="H115" s="577"/>
      <c r="I115" s="577"/>
      <c r="J115" s="577"/>
      <c r="K115" s="169"/>
      <c r="L115" s="574" t="s">
        <v>45</v>
      </c>
      <c r="M115" s="574"/>
      <c r="N115" s="574"/>
      <c r="O115" s="574"/>
      <c r="P115" s="575" t="str">
        <f>DO35</f>
        <v/>
      </c>
      <c r="Q115" s="576"/>
      <c r="R115" s="577"/>
      <c r="S115" s="577"/>
      <c r="T115" s="577"/>
    </row>
    <row r="116" spans="1:20" ht="24" thickBot="1" x14ac:dyDescent="0.4">
      <c r="A116" s="581" t="s">
        <v>29</v>
      </c>
      <c r="B116" s="582"/>
      <c r="C116" s="582"/>
      <c r="D116" s="582"/>
      <c r="E116" s="603"/>
      <c r="F116" s="584" t="e">
        <f>DC86</f>
        <v>#VALUE!</v>
      </c>
      <c r="G116" s="602"/>
      <c r="H116" s="603"/>
      <c r="I116" s="587">
        <f>100%</f>
        <v>1</v>
      </c>
      <c r="J116" s="583"/>
      <c r="K116" s="169"/>
      <c r="L116" s="581" t="s">
        <v>29</v>
      </c>
      <c r="M116" s="582"/>
      <c r="N116" s="582"/>
      <c r="O116" s="583"/>
      <c r="P116" s="584" t="e">
        <f>DY86</f>
        <v>#VALUE!</v>
      </c>
      <c r="Q116" s="585"/>
      <c r="R116" s="586"/>
      <c r="S116" s="587">
        <f>100%</f>
        <v>1</v>
      </c>
      <c r="T116" s="583"/>
    </row>
    <row r="117" spans="1:20" ht="23.25" x14ac:dyDescent="0.35">
      <c r="A117" s="591" t="s">
        <v>42</v>
      </c>
      <c r="B117" s="594"/>
      <c r="C117" s="594"/>
      <c r="D117" s="594"/>
      <c r="E117" s="590"/>
      <c r="F117" s="588">
        <f>P105</f>
        <v>21</v>
      </c>
      <c r="G117" s="636"/>
      <c r="H117" s="590"/>
      <c r="I117" s="598" t="e">
        <f>F117/F116</f>
        <v>#VALUE!</v>
      </c>
      <c r="J117" s="595"/>
      <c r="K117" s="169"/>
      <c r="L117" s="591" t="s">
        <v>42</v>
      </c>
      <c r="M117" s="594"/>
      <c r="N117" s="594"/>
      <c r="O117" s="595"/>
      <c r="P117" s="611">
        <f>F117</f>
        <v>21</v>
      </c>
      <c r="Q117" s="612"/>
      <c r="R117" s="613"/>
      <c r="S117" s="598" t="e">
        <f>P117/P116</f>
        <v>#VALUE!</v>
      </c>
      <c r="T117" s="595"/>
    </row>
    <row r="118" spans="1:20" ht="23.25" x14ac:dyDescent="0.35">
      <c r="A118" s="591" t="s">
        <v>46</v>
      </c>
      <c r="B118" s="594"/>
      <c r="C118" s="594"/>
      <c r="D118" s="594"/>
      <c r="E118" s="590"/>
      <c r="F118" s="588" t="e">
        <f>CR75</f>
        <v>#VALUE!</v>
      </c>
      <c r="G118" s="636"/>
      <c r="H118" s="590"/>
      <c r="I118" s="598" t="e">
        <f>F118/F116</f>
        <v>#VALUE!</v>
      </c>
      <c r="J118" s="595"/>
      <c r="K118" s="169"/>
      <c r="L118" s="591" t="s">
        <v>46</v>
      </c>
      <c r="M118" s="594"/>
      <c r="N118" s="594"/>
      <c r="O118" s="595"/>
      <c r="P118" s="588" t="e">
        <f>DN75</f>
        <v>#VALUE!</v>
      </c>
      <c r="Q118" s="617"/>
      <c r="R118" s="618"/>
      <c r="S118" s="598" t="e">
        <f>P118/P116</f>
        <v>#VALUE!</v>
      </c>
      <c r="T118" s="595"/>
    </row>
    <row r="119" spans="1:20" ht="23.25" x14ac:dyDescent="0.35">
      <c r="A119" s="591" t="s">
        <v>47</v>
      </c>
      <c r="B119" s="594"/>
      <c r="C119" s="594"/>
      <c r="D119" s="594"/>
      <c r="E119" s="590"/>
      <c r="F119" s="588" t="e">
        <f>SUM(DD40,DB47,DB48,DB49,DB50,DB53,DB54,DB58,DB59,DB63,DB64,DB65,DB69,CP88)</f>
        <v>#VALUE!</v>
      </c>
      <c r="G119" s="636"/>
      <c r="H119" s="590"/>
      <c r="I119" s="598" t="e">
        <f>F119/F116</f>
        <v>#VALUE!</v>
      </c>
      <c r="J119" s="595"/>
      <c r="K119" s="169"/>
      <c r="L119" s="591" t="s">
        <v>47</v>
      </c>
      <c r="M119" s="594"/>
      <c r="N119" s="594"/>
      <c r="O119" s="595"/>
      <c r="P119" s="588" t="e">
        <f>SUM(DZ40,DL88,DX47,DX48,DX49,DX50,DX53,DX54,DX58,DX59,DX63,DX64,DX65,DX69)</f>
        <v>#VALUE!</v>
      </c>
      <c r="Q119" s="617"/>
      <c r="R119" s="618"/>
      <c r="S119" s="598" t="e">
        <f>P119/P116</f>
        <v>#VALUE!</v>
      </c>
      <c r="T119" s="595"/>
    </row>
    <row r="120" spans="1:20" ht="23.25" x14ac:dyDescent="0.35">
      <c r="A120" s="591" t="s">
        <v>48</v>
      </c>
      <c r="B120" s="594"/>
      <c r="C120" s="594"/>
      <c r="D120" s="594"/>
      <c r="E120" s="590"/>
      <c r="F120" s="588">
        <f>SUM(DD49,DB74,DB75,DB79,CS42,CS47)</f>
        <v>74.644525000000002</v>
      </c>
      <c r="G120" s="636"/>
      <c r="H120" s="590"/>
      <c r="I120" s="598" t="e">
        <f>F120/F116</f>
        <v>#VALUE!</v>
      </c>
      <c r="J120" s="595"/>
      <c r="K120" s="169"/>
      <c r="L120" s="591" t="s">
        <v>48</v>
      </c>
      <c r="M120" s="594"/>
      <c r="N120" s="594"/>
      <c r="O120" s="595"/>
      <c r="P120" s="588">
        <f>SUM(DO42,DO47,DZ49,DX74,DX75,DX79)</f>
        <v>74.644525000000002</v>
      </c>
      <c r="Q120" s="617"/>
      <c r="R120" s="618"/>
      <c r="S120" s="598" t="e">
        <f>P120/P116</f>
        <v>#VALUE!</v>
      </c>
      <c r="T120" s="595"/>
    </row>
    <row r="121" spans="1:20" ht="23.25" x14ac:dyDescent="0.35">
      <c r="A121" s="631" t="s">
        <v>49</v>
      </c>
      <c r="B121" s="474"/>
      <c r="C121" s="474"/>
      <c r="D121" s="474"/>
      <c r="E121" s="610"/>
      <c r="F121" s="599"/>
      <c r="G121" s="577"/>
      <c r="H121" s="610"/>
      <c r="I121" s="592"/>
      <c r="J121" s="593"/>
      <c r="K121" s="169"/>
      <c r="L121" s="631" t="s">
        <v>49</v>
      </c>
      <c r="M121" s="474"/>
      <c r="N121" s="474"/>
      <c r="O121" s="593"/>
      <c r="P121" s="599"/>
      <c r="Q121" s="600"/>
      <c r="R121" s="601"/>
      <c r="S121" s="592"/>
      <c r="T121" s="593"/>
    </row>
    <row r="122" spans="1:20" ht="23.25" hidden="1" x14ac:dyDescent="0.35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71"/>
      <c r="M122" s="171"/>
      <c r="N122" s="171"/>
      <c r="O122" s="171"/>
      <c r="P122" s="171"/>
      <c r="Q122" s="171"/>
      <c r="R122" s="171"/>
      <c r="S122" s="171"/>
      <c r="T122" s="171"/>
    </row>
    <row r="123" spans="1:20" ht="30" x14ac:dyDescent="0.4">
      <c r="A123" s="169"/>
      <c r="B123" s="169"/>
      <c r="D123" s="172">
        <v>0.05</v>
      </c>
      <c r="E123" s="183" t="e">
        <f>F116*1.05</f>
        <v>#VALUE!</v>
      </c>
      <c r="F123" s="169"/>
      <c r="G123" s="287" t="e">
        <f>IF(E123="","",E123/I29)</f>
        <v>#VALUE!</v>
      </c>
      <c r="H123" s="169"/>
      <c r="I123" s="169"/>
      <c r="J123" s="168"/>
      <c r="K123" s="169"/>
      <c r="O123" s="172">
        <v>0.05</v>
      </c>
      <c r="P123" s="184" t="e">
        <f>P116*1.05</f>
        <v>#VALUE!</v>
      </c>
      <c r="Q123" s="171"/>
      <c r="R123" s="287" t="e">
        <f>IF(P123="","",P123/M29)</f>
        <v>#VALUE!</v>
      </c>
      <c r="S123" s="171"/>
      <c r="T123" s="171"/>
    </row>
    <row r="124" spans="1:20" ht="30" x14ac:dyDescent="0.4">
      <c r="A124" s="169"/>
      <c r="B124" s="169"/>
      <c r="D124" s="172">
        <v>0.1</v>
      </c>
      <c r="E124" s="183" t="e">
        <f>F116*1.1</f>
        <v>#VALUE!</v>
      </c>
      <c r="F124" s="169"/>
      <c r="G124" s="288" t="e">
        <f>IF(E124="","",E124/I29)</f>
        <v>#VALUE!</v>
      </c>
      <c r="H124" s="169"/>
      <c r="I124" s="169"/>
      <c r="J124" s="168"/>
      <c r="K124" s="169"/>
      <c r="O124" s="172">
        <v>0.1</v>
      </c>
      <c r="P124" s="184" t="e">
        <f>P116*1.1</f>
        <v>#VALUE!</v>
      </c>
      <c r="Q124" s="171"/>
      <c r="R124" s="288" t="e">
        <f>IF(P124="","",P124/M29)</f>
        <v>#VALUE!</v>
      </c>
      <c r="S124" s="171"/>
      <c r="T124" s="171"/>
    </row>
    <row r="145" spans="11:11" ht="23.25" x14ac:dyDescent="0.35">
      <c r="K145" s="168"/>
    </row>
    <row r="146" spans="11:11" ht="23.25" x14ac:dyDescent="0.35">
      <c r="K146" s="168"/>
    </row>
    <row r="147" spans="11:11" ht="23.25" x14ac:dyDescent="0.35">
      <c r="K147" s="168"/>
    </row>
    <row r="148" spans="11:11" ht="23.25" x14ac:dyDescent="0.35">
      <c r="K148" s="168"/>
    </row>
    <row r="149" spans="11:11" ht="23.25" x14ac:dyDescent="0.35">
      <c r="K149" s="168"/>
    </row>
    <row r="150" spans="11:11" ht="23.25" x14ac:dyDescent="0.35">
      <c r="K150" s="168"/>
    </row>
    <row r="151" spans="11:11" ht="23.25" x14ac:dyDescent="0.35">
      <c r="K151" s="168"/>
    </row>
    <row r="173" spans="1:27" x14ac:dyDescent="0.2">
      <c r="A173" s="300"/>
      <c r="B173" s="300"/>
      <c r="C173" s="300"/>
      <c r="D173" s="300"/>
      <c r="E173" s="300"/>
      <c r="F173" s="300"/>
      <c r="G173" s="300"/>
      <c r="H173" s="115"/>
      <c r="I173" s="115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0"/>
      <c r="U173" s="300"/>
      <c r="V173" s="300"/>
      <c r="W173" s="300"/>
      <c r="X173" s="300"/>
      <c r="Y173" s="300"/>
      <c r="Z173" s="300"/>
      <c r="AA173" s="300"/>
    </row>
    <row r="174" spans="1:27" x14ac:dyDescent="0.2">
      <c r="A174" s="300"/>
      <c r="B174" s="300"/>
      <c r="C174" s="300"/>
      <c r="D174" s="300"/>
      <c r="E174" s="300"/>
      <c r="F174" s="300"/>
      <c r="G174" s="300"/>
      <c r="H174" s="115"/>
      <c r="I174" s="115"/>
      <c r="J174" s="300"/>
      <c r="K174" s="300"/>
      <c r="L174" s="300"/>
      <c r="M174" s="300"/>
      <c r="N174" s="300"/>
      <c r="O174" s="300"/>
      <c r="P174" s="300"/>
      <c r="Q174" s="300"/>
      <c r="R174" s="300"/>
      <c r="S174" s="300"/>
      <c r="T174" s="300"/>
      <c r="U174" s="300"/>
      <c r="V174" s="300"/>
      <c r="W174" s="300"/>
      <c r="X174" s="300"/>
      <c r="Y174" s="300"/>
      <c r="Z174" s="300"/>
      <c r="AA174" s="300"/>
    </row>
    <row r="175" spans="1:27" x14ac:dyDescent="0.2">
      <c r="A175" s="300"/>
      <c r="B175" s="300"/>
      <c r="C175" s="300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0"/>
      <c r="U175" s="300"/>
      <c r="V175" s="300"/>
      <c r="W175" s="300"/>
      <c r="X175" s="300"/>
      <c r="Y175" s="300"/>
      <c r="Z175" s="300"/>
      <c r="AA175" s="300"/>
    </row>
    <row r="176" spans="1:27" x14ac:dyDescent="0.2">
      <c r="A176" s="300"/>
      <c r="B176" s="300"/>
      <c r="C176" s="300"/>
      <c r="D176" s="300"/>
      <c r="E176" s="300"/>
      <c r="F176" s="300"/>
      <c r="G176" s="300"/>
      <c r="H176" s="300"/>
      <c r="I176" s="300"/>
      <c r="J176" s="300"/>
      <c r="K176" s="300"/>
      <c r="L176" s="300"/>
      <c r="M176" s="300"/>
      <c r="N176" s="300"/>
      <c r="O176" s="300"/>
      <c r="P176" s="300"/>
      <c r="Q176" s="300"/>
      <c r="R176" s="300"/>
      <c r="S176" s="300"/>
      <c r="T176" s="300"/>
      <c r="U176" s="300"/>
      <c r="V176" s="300"/>
      <c r="W176" s="300"/>
      <c r="X176" s="300"/>
      <c r="Y176" s="300"/>
      <c r="Z176" s="300"/>
      <c r="AA176" s="300"/>
    </row>
  </sheetData>
  <mergeCells count="814">
    <mergeCell ref="Z14:AA14"/>
    <mergeCell ref="R14:U14"/>
    <mergeCell ref="R16:U16"/>
    <mergeCell ref="Z16:AA16"/>
    <mergeCell ref="E1:G1"/>
    <mergeCell ref="DI88:DK88"/>
    <mergeCell ref="DL88:DM88"/>
    <mergeCell ref="DS78:DY78"/>
    <mergeCell ref="DX79:DY79"/>
    <mergeCell ref="DH80:DM80"/>
    <mergeCell ref="DH81:DH86"/>
    <mergeCell ref="DI81:DK81"/>
    <mergeCell ref="DI82:DK82"/>
    <mergeCell ref="DS82:DX82"/>
    <mergeCell ref="DY82:EA82"/>
    <mergeCell ref="DI83:DK83"/>
    <mergeCell ref="DI84:DK84"/>
    <mergeCell ref="DI85:DK85"/>
    <mergeCell ref="DI86:DK86"/>
    <mergeCell ref="DS86:DX86"/>
    <mergeCell ref="DY86:EA86"/>
    <mergeCell ref="DX65:DY65"/>
    <mergeCell ref="DS63:DT63"/>
    <mergeCell ref="DI70:DJ70"/>
    <mergeCell ref="DI71:DJ71"/>
    <mergeCell ref="DM71:DN71"/>
    <mergeCell ref="DS74:DT74"/>
    <mergeCell ref="DX74:DY74"/>
    <mergeCell ref="DI72:DJ72"/>
    <mergeCell ref="DX75:DY75"/>
    <mergeCell ref="DS68:DW68"/>
    <mergeCell ref="DX69:DY69"/>
    <mergeCell ref="DX64:DY64"/>
    <mergeCell ref="DI65:DJ65"/>
    <mergeCell ref="DI66:DJ66"/>
    <mergeCell ref="DM66:DN66"/>
    <mergeCell ref="DN75:DP75"/>
    <mergeCell ref="DZ49:EA49"/>
    <mergeCell ref="DI50:DK50"/>
    <mergeCell ref="DO50:DP50"/>
    <mergeCell ref="DI67:DJ67"/>
    <mergeCell ref="DS50:DT50"/>
    <mergeCell ref="DX50:DY50"/>
    <mergeCell ref="DH52:DK52"/>
    <mergeCell ref="DS52:DT52"/>
    <mergeCell ref="DM62:DN62"/>
    <mergeCell ref="DS62:DT62"/>
    <mergeCell ref="DI57:DJ57"/>
    <mergeCell ref="DX59:DY59"/>
    <mergeCell ref="DS53:DT53"/>
    <mergeCell ref="DX53:DY53"/>
    <mergeCell ref="DS54:DT54"/>
    <mergeCell ref="DX54:DY54"/>
    <mergeCell ref="DH53:DH74"/>
    <mergeCell ref="DX58:DY58"/>
    <mergeCell ref="DI59:DM59"/>
    <mergeCell ref="DS59:DT59"/>
    <mergeCell ref="DM67:DN67"/>
    <mergeCell ref="DM72:DN72"/>
    <mergeCell ref="DS72:EA72"/>
    <mergeCell ref="DS65:DT65"/>
    <mergeCell ref="DO47:DP47"/>
    <mergeCell ref="DS47:DT47"/>
    <mergeCell ref="DX47:DY47"/>
    <mergeCell ref="DI48:DL48"/>
    <mergeCell ref="DO48:DP48"/>
    <mergeCell ref="DS48:DT48"/>
    <mergeCell ref="DX48:DY48"/>
    <mergeCell ref="DX63:DY63"/>
    <mergeCell ref="DS64:DT64"/>
    <mergeCell ref="DI56:DJ56"/>
    <mergeCell ref="DM56:DN56"/>
    <mergeCell ref="DM61:DN61"/>
    <mergeCell ref="DI62:DJ62"/>
    <mergeCell ref="DI39:DJ39"/>
    <mergeCell ref="DI40:DM40"/>
    <mergeCell ref="DO40:DP40"/>
    <mergeCell ref="DS40:DV40"/>
    <mergeCell ref="DZ40:EA40"/>
    <mergeCell ref="DI42:DK42"/>
    <mergeCell ref="DO42:DP42"/>
    <mergeCell ref="DM57:DN57"/>
    <mergeCell ref="DS58:DT58"/>
    <mergeCell ref="DH45:DN45"/>
    <mergeCell ref="DR45:DY45"/>
    <mergeCell ref="DH46:DH50"/>
    <mergeCell ref="DI46:DL46"/>
    <mergeCell ref="DO46:DP46"/>
    <mergeCell ref="DR46:DR82"/>
    <mergeCell ref="DS46:DT46"/>
    <mergeCell ref="DS49:DT49"/>
    <mergeCell ref="DX49:DY49"/>
    <mergeCell ref="DI75:DM75"/>
    <mergeCell ref="DS56:DY56"/>
    <mergeCell ref="DI61:DJ61"/>
    <mergeCell ref="DS75:DT75"/>
    <mergeCell ref="DZ46:EA46"/>
    <mergeCell ref="DI47:DL47"/>
    <mergeCell ref="DI37:DM37"/>
    <mergeCell ref="DO37:DP37"/>
    <mergeCell ref="DS37:DT37"/>
    <mergeCell ref="DY37:DZ37"/>
    <mergeCell ref="DS38:DT38"/>
    <mergeCell ref="DY38:DZ38"/>
    <mergeCell ref="DH35:DJ35"/>
    <mergeCell ref="DO35:DP35"/>
    <mergeCell ref="DR35:DW35"/>
    <mergeCell ref="DI36:DJ36"/>
    <mergeCell ref="DS36:DT36"/>
    <mergeCell ref="DY36:DZ36"/>
    <mergeCell ref="DB69:DC69"/>
    <mergeCell ref="CM85:CO85"/>
    <mergeCell ref="CM86:CO86"/>
    <mergeCell ref="CW86:DB86"/>
    <mergeCell ref="DC86:DE86"/>
    <mergeCell ref="CW74:CX74"/>
    <mergeCell ref="DB74:DC74"/>
    <mergeCell ref="CM75:CQ75"/>
    <mergeCell ref="CR75:CT75"/>
    <mergeCell ref="CW75:CX75"/>
    <mergeCell ref="DB75:DC75"/>
    <mergeCell ref="DB63:DC63"/>
    <mergeCell ref="CW64:CX64"/>
    <mergeCell ref="DB64:DC64"/>
    <mergeCell ref="CM65:CN65"/>
    <mergeCell ref="CW65:CX65"/>
    <mergeCell ref="DB65:DC65"/>
    <mergeCell ref="CM88:CO88"/>
    <mergeCell ref="CP88:CQ88"/>
    <mergeCell ref="CW78:DC78"/>
    <mergeCell ref="DB79:DC79"/>
    <mergeCell ref="CL80:CQ80"/>
    <mergeCell ref="CL81:CL86"/>
    <mergeCell ref="CM81:CO81"/>
    <mergeCell ref="CM82:CO82"/>
    <mergeCell ref="CW82:DB82"/>
    <mergeCell ref="DC82:DE82"/>
    <mergeCell ref="CM83:CO83"/>
    <mergeCell ref="CM84:CO84"/>
    <mergeCell ref="CM70:CN70"/>
    <mergeCell ref="CM71:CN71"/>
    <mergeCell ref="CQ71:CR71"/>
    <mergeCell ref="CM72:CN72"/>
    <mergeCell ref="CQ72:CR72"/>
    <mergeCell ref="CW72:DE72"/>
    <mergeCell ref="CQ62:CR62"/>
    <mergeCell ref="CW62:CX62"/>
    <mergeCell ref="CW63:CX63"/>
    <mergeCell ref="CM57:CN57"/>
    <mergeCell ref="CQ57:CR57"/>
    <mergeCell ref="CW58:CX58"/>
    <mergeCell ref="CM67:CN67"/>
    <mergeCell ref="CQ67:CR67"/>
    <mergeCell ref="CW68:DA68"/>
    <mergeCell ref="CM66:CN66"/>
    <mergeCell ref="CQ66:CR66"/>
    <mergeCell ref="DD49:DE49"/>
    <mergeCell ref="CM50:CO50"/>
    <mergeCell ref="CS50:CT50"/>
    <mergeCell ref="CW50:CX50"/>
    <mergeCell ref="DB50:DC50"/>
    <mergeCell ref="CL52:CO52"/>
    <mergeCell ref="CW52:CX52"/>
    <mergeCell ref="DD46:DE46"/>
    <mergeCell ref="CM47:CP47"/>
    <mergeCell ref="CS47:CT47"/>
    <mergeCell ref="CW47:CX47"/>
    <mergeCell ref="DB47:DC47"/>
    <mergeCell ref="CM48:CP48"/>
    <mergeCell ref="CS48:CT48"/>
    <mergeCell ref="CW48:CX48"/>
    <mergeCell ref="DB48:DC48"/>
    <mergeCell ref="CL45:CR45"/>
    <mergeCell ref="CV45:DC45"/>
    <mergeCell ref="CL46:CL50"/>
    <mergeCell ref="CM46:CP46"/>
    <mergeCell ref="CS46:CT46"/>
    <mergeCell ref="CV46:CV82"/>
    <mergeCell ref="CW46:CX46"/>
    <mergeCell ref="CW49:CX49"/>
    <mergeCell ref="DB49:DC49"/>
    <mergeCell ref="CL53:CL74"/>
    <mergeCell ref="DB58:DC58"/>
    <mergeCell ref="CM59:CQ59"/>
    <mergeCell ref="CW59:CX59"/>
    <mergeCell ref="DB59:DC59"/>
    <mergeCell ref="CW53:CX53"/>
    <mergeCell ref="DB53:DC53"/>
    <mergeCell ref="CW54:CX54"/>
    <mergeCell ref="DB54:DC54"/>
    <mergeCell ref="CM56:CN56"/>
    <mergeCell ref="CQ56:CR56"/>
    <mergeCell ref="CW56:DC56"/>
    <mergeCell ref="CM61:CN61"/>
    <mergeCell ref="CQ61:CR61"/>
    <mergeCell ref="CM62:CN62"/>
    <mergeCell ref="CM39:CN39"/>
    <mergeCell ref="CM40:CQ40"/>
    <mergeCell ref="CS40:CT40"/>
    <mergeCell ref="CW40:CZ40"/>
    <mergeCell ref="DD40:DE40"/>
    <mergeCell ref="CM42:CO42"/>
    <mergeCell ref="CS42:CT42"/>
    <mergeCell ref="CM37:CQ37"/>
    <mergeCell ref="CS37:CT37"/>
    <mergeCell ref="CW37:CX37"/>
    <mergeCell ref="DC37:DD37"/>
    <mergeCell ref="CW38:CX38"/>
    <mergeCell ref="DC38:DD38"/>
    <mergeCell ref="CL35:CN35"/>
    <mergeCell ref="CS35:CT35"/>
    <mergeCell ref="CV35:DA35"/>
    <mergeCell ref="CM36:CN36"/>
    <mergeCell ref="CW36:CX36"/>
    <mergeCell ref="DC36:DD36"/>
    <mergeCell ref="BQ85:BS85"/>
    <mergeCell ref="BQ86:BS86"/>
    <mergeCell ref="CA86:CF86"/>
    <mergeCell ref="CG86:CI86"/>
    <mergeCell ref="CA74:CB74"/>
    <mergeCell ref="CF74:CG74"/>
    <mergeCell ref="BQ75:BU75"/>
    <mergeCell ref="BV75:BX75"/>
    <mergeCell ref="CA75:CB75"/>
    <mergeCell ref="CF75:CG75"/>
    <mergeCell ref="BQ70:BR70"/>
    <mergeCell ref="BQ71:BR71"/>
    <mergeCell ref="BU71:BV71"/>
    <mergeCell ref="BQ72:BR72"/>
    <mergeCell ref="BU72:BV72"/>
    <mergeCell ref="CA72:CI72"/>
    <mergeCell ref="BQ66:BR66"/>
    <mergeCell ref="BU66:BV66"/>
    <mergeCell ref="BQ88:BS88"/>
    <mergeCell ref="BT88:BU88"/>
    <mergeCell ref="CA78:CG78"/>
    <mergeCell ref="CF79:CG79"/>
    <mergeCell ref="BP80:BU80"/>
    <mergeCell ref="BP81:BP86"/>
    <mergeCell ref="BQ81:BS81"/>
    <mergeCell ref="BQ82:BS82"/>
    <mergeCell ref="CA82:CF82"/>
    <mergeCell ref="CG82:CI82"/>
    <mergeCell ref="BQ83:BS83"/>
    <mergeCell ref="BQ84:BS84"/>
    <mergeCell ref="CA64:CB64"/>
    <mergeCell ref="CF64:CG64"/>
    <mergeCell ref="BQ65:BR65"/>
    <mergeCell ref="CA65:CB65"/>
    <mergeCell ref="CF65:CG65"/>
    <mergeCell ref="CF58:CG58"/>
    <mergeCell ref="BQ59:BU59"/>
    <mergeCell ref="CA59:CB59"/>
    <mergeCell ref="CF59:CG59"/>
    <mergeCell ref="CH49:CI49"/>
    <mergeCell ref="BQ50:BS50"/>
    <mergeCell ref="BW50:BX50"/>
    <mergeCell ref="CA50:CB50"/>
    <mergeCell ref="CF50:CG50"/>
    <mergeCell ref="CH46:CI46"/>
    <mergeCell ref="BQ47:BT47"/>
    <mergeCell ref="BW47:BX47"/>
    <mergeCell ref="CA47:CB47"/>
    <mergeCell ref="CF47:CG47"/>
    <mergeCell ref="BQ48:BT48"/>
    <mergeCell ref="BW48:BX48"/>
    <mergeCell ref="CA48:CB48"/>
    <mergeCell ref="CF48:CG48"/>
    <mergeCell ref="CA46:CB46"/>
    <mergeCell ref="CA49:CB49"/>
    <mergeCell ref="CF49:CG49"/>
    <mergeCell ref="BP52:BS52"/>
    <mergeCell ref="CA52:CB52"/>
    <mergeCell ref="BP53:BP74"/>
    <mergeCell ref="CA53:CB53"/>
    <mergeCell ref="CF53:CG53"/>
    <mergeCell ref="CA54:CB54"/>
    <mergeCell ref="CF54:CG54"/>
    <mergeCell ref="BQ56:BR56"/>
    <mergeCell ref="BU56:BV56"/>
    <mergeCell ref="CA56:CG56"/>
    <mergeCell ref="BQ61:BR61"/>
    <mergeCell ref="BU61:BV61"/>
    <mergeCell ref="BQ62:BR62"/>
    <mergeCell ref="BU62:BV62"/>
    <mergeCell ref="CA62:CB62"/>
    <mergeCell ref="CA63:CB63"/>
    <mergeCell ref="BQ57:BR57"/>
    <mergeCell ref="BU57:BV57"/>
    <mergeCell ref="CA58:CB58"/>
    <mergeCell ref="BQ67:BR67"/>
    <mergeCell ref="BU67:BV67"/>
    <mergeCell ref="CA68:CE68"/>
    <mergeCell ref="CF69:CG69"/>
    <mergeCell ref="CF63:CG63"/>
    <mergeCell ref="BP35:BR35"/>
    <mergeCell ref="BW35:BX35"/>
    <mergeCell ref="BZ35:CE35"/>
    <mergeCell ref="BQ36:BR36"/>
    <mergeCell ref="CA36:CB36"/>
    <mergeCell ref="BQ39:BR39"/>
    <mergeCell ref="BQ40:BU40"/>
    <mergeCell ref="BW40:BX40"/>
    <mergeCell ref="CA40:CD40"/>
    <mergeCell ref="CG36:CH36"/>
    <mergeCell ref="BQ37:BU37"/>
    <mergeCell ref="BW37:BX37"/>
    <mergeCell ref="CA37:CB37"/>
    <mergeCell ref="CG37:CH37"/>
    <mergeCell ref="CA38:CB38"/>
    <mergeCell ref="CG38:CH38"/>
    <mergeCell ref="S121:T121"/>
    <mergeCell ref="S117:T117"/>
    <mergeCell ref="BF82:BJ82"/>
    <mergeCell ref="BK82:BM82"/>
    <mergeCell ref="AZ71:BA71"/>
    <mergeCell ref="BF68:BI68"/>
    <mergeCell ref="BJ69:BK69"/>
    <mergeCell ref="BJ63:BK63"/>
    <mergeCell ref="CH40:CI40"/>
    <mergeCell ref="BQ42:BS42"/>
    <mergeCell ref="BW42:BX42"/>
    <mergeCell ref="BP45:BV45"/>
    <mergeCell ref="BZ45:CG45"/>
    <mergeCell ref="BP46:BP50"/>
    <mergeCell ref="BQ46:BT46"/>
    <mergeCell ref="BW46:BX46"/>
    <mergeCell ref="BZ46:BZ82"/>
    <mergeCell ref="A121:E121"/>
    <mergeCell ref="A115:E115"/>
    <mergeCell ref="L119:O119"/>
    <mergeCell ref="P119:R119"/>
    <mergeCell ref="S119:T119"/>
    <mergeCell ref="S108:T108"/>
    <mergeCell ref="I120:J120"/>
    <mergeCell ref="L120:O120"/>
    <mergeCell ref="I119:J119"/>
    <mergeCell ref="P120:R120"/>
    <mergeCell ref="S120:T120"/>
    <mergeCell ref="S109:T109"/>
    <mergeCell ref="I121:J121"/>
    <mergeCell ref="L121:O121"/>
    <mergeCell ref="P121:R121"/>
    <mergeCell ref="A116:E116"/>
    <mergeCell ref="A117:E117"/>
    <mergeCell ref="A118:E118"/>
    <mergeCell ref="A119:E119"/>
    <mergeCell ref="F116:H116"/>
    <mergeCell ref="F117:H117"/>
    <mergeCell ref="F118:H118"/>
    <mergeCell ref="F119:H119"/>
    <mergeCell ref="I118:J118"/>
    <mergeCell ref="S107:T107"/>
    <mergeCell ref="I117:J117"/>
    <mergeCell ref="L117:O117"/>
    <mergeCell ref="P117:R117"/>
    <mergeCell ref="A120:E120"/>
    <mergeCell ref="F120:H120"/>
    <mergeCell ref="A107:E107"/>
    <mergeCell ref="A108:E108"/>
    <mergeCell ref="A109:E109"/>
    <mergeCell ref="F115:J115"/>
    <mergeCell ref="P115:T115"/>
    <mergeCell ref="I109:J109"/>
    <mergeCell ref="F121:H121"/>
    <mergeCell ref="L115:O115"/>
    <mergeCell ref="S104:T104"/>
    <mergeCell ref="I116:J116"/>
    <mergeCell ref="L116:O116"/>
    <mergeCell ref="P116:R116"/>
    <mergeCell ref="P107:R107"/>
    <mergeCell ref="P108:R108"/>
    <mergeCell ref="P109:R109"/>
    <mergeCell ref="L106:O106"/>
    <mergeCell ref="L107:O107"/>
    <mergeCell ref="L108:O108"/>
    <mergeCell ref="L109:O109"/>
    <mergeCell ref="F105:H105"/>
    <mergeCell ref="F106:H106"/>
    <mergeCell ref="F107:H107"/>
    <mergeCell ref="F108:H108"/>
    <mergeCell ref="F109:H109"/>
    <mergeCell ref="S116:T116"/>
    <mergeCell ref="S105:T105"/>
    <mergeCell ref="I107:J107"/>
    <mergeCell ref="L118:O118"/>
    <mergeCell ref="P118:R118"/>
    <mergeCell ref="S118:T118"/>
    <mergeCell ref="J14:K14"/>
    <mergeCell ref="M14:N14"/>
    <mergeCell ref="A19:D19"/>
    <mergeCell ref="I19:K19"/>
    <mergeCell ref="M19:N19"/>
    <mergeCell ref="A20:D20"/>
    <mergeCell ref="I20:K20"/>
    <mergeCell ref="M20:N20"/>
    <mergeCell ref="I108:J108"/>
    <mergeCell ref="A97:E97"/>
    <mergeCell ref="F97:H97"/>
    <mergeCell ref="I97:J97"/>
    <mergeCell ref="L97:O97"/>
    <mergeCell ref="A106:E106"/>
    <mergeCell ref="A94:E94"/>
    <mergeCell ref="F94:H94"/>
    <mergeCell ref="I94:J94"/>
    <mergeCell ref="A96:E96"/>
    <mergeCell ref="F96:H96"/>
    <mergeCell ref="I96:J96"/>
    <mergeCell ref="A105:E105"/>
    <mergeCell ref="I104:J104"/>
    <mergeCell ref="A80:F80"/>
    <mergeCell ref="L78:R78"/>
    <mergeCell ref="F104:H104"/>
    <mergeCell ref="A104:E104"/>
    <mergeCell ref="F103:G103"/>
    <mergeCell ref="A103:E103"/>
    <mergeCell ref="P103:T103"/>
    <mergeCell ref="F93:H93"/>
    <mergeCell ref="I93:J93"/>
    <mergeCell ref="L93:O93"/>
    <mergeCell ref="P93:R93"/>
    <mergeCell ref="S93:T93"/>
    <mergeCell ref="A95:E95"/>
    <mergeCell ref="F95:H95"/>
    <mergeCell ref="I95:J95"/>
    <mergeCell ref="L95:O95"/>
    <mergeCell ref="P95:R95"/>
    <mergeCell ref="S95:T95"/>
    <mergeCell ref="L94:O94"/>
    <mergeCell ref="P94:R94"/>
    <mergeCell ref="S94:T94"/>
    <mergeCell ref="A93:E93"/>
    <mergeCell ref="P105:R105"/>
    <mergeCell ref="P106:R106"/>
    <mergeCell ref="L105:O105"/>
    <mergeCell ref="S97:T97"/>
    <mergeCell ref="L96:O96"/>
    <mergeCell ref="P96:R96"/>
    <mergeCell ref="S96:T96"/>
    <mergeCell ref="I106:J106"/>
    <mergeCell ref="P97:R97"/>
    <mergeCell ref="I105:J105"/>
    <mergeCell ref="S106:T106"/>
    <mergeCell ref="P104:R104"/>
    <mergeCell ref="L104:O104"/>
    <mergeCell ref="BF86:BJ86"/>
    <mergeCell ref="BK86:BM86"/>
    <mergeCell ref="B88:D88"/>
    <mergeCell ref="E88:F88"/>
    <mergeCell ref="AA88:AC88"/>
    <mergeCell ref="AD88:AE88"/>
    <mergeCell ref="AV88:AX88"/>
    <mergeCell ref="AY88:AZ88"/>
    <mergeCell ref="A92:E92"/>
    <mergeCell ref="F92:H92"/>
    <mergeCell ref="I92:J92"/>
    <mergeCell ref="L92:O92"/>
    <mergeCell ref="P92:R92"/>
    <mergeCell ref="S92:T92"/>
    <mergeCell ref="B86:D86"/>
    <mergeCell ref="L86:Q86"/>
    <mergeCell ref="R86:T86"/>
    <mergeCell ref="AA86:AC86"/>
    <mergeCell ref="AK86:AO86"/>
    <mergeCell ref="AP86:AR86"/>
    <mergeCell ref="AV86:AX86"/>
    <mergeCell ref="A91:E91"/>
    <mergeCell ref="L91:O91"/>
    <mergeCell ref="F91:J91"/>
    <mergeCell ref="P91:T91"/>
    <mergeCell ref="Z80:AE80"/>
    <mergeCell ref="AU80:AZ80"/>
    <mergeCell ref="A81:A86"/>
    <mergeCell ref="B81:D81"/>
    <mergeCell ref="Z81:Z86"/>
    <mergeCell ref="AA81:AC81"/>
    <mergeCell ref="AU81:AU86"/>
    <mergeCell ref="AV81:AX81"/>
    <mergeCell ref="B82:D82"/>
    <mergeCell ref="B83:D83"/>
    <mergeCell ref="AA83:AC83"/>
    <mergeCell ref="AV83:AX83"/>
    <mergeCell ref="B84:D84"/>
    <mergeCell ref="AA84:AC84"/>
    <mergeCell ref="AV84:AX84"/>
    <mergeCell ref="L82:Q82"/>
    <mergeCell ref="R82:T82"/>
    <mergeCell ref="AA82:AC82"/>
    <mergeCell ref="AK82:AO82"/>
    <mergeCell ref="AP82:AR82"/>
    <mergeCell ref="AV82:AX82"/>
    <mergeCell ref="B85:D85"/>
    <mergeCell ref="AA85:AC85"/>
    <mergeCell ref="AV85:AX85"/>
    <mergeCell ref="AK78:AP78"/>
    <mergeCell ref="BF78:BK78"/>
    <mergeCell ref="Q79:R79"/>
    <mergeCell ref="AO79:AP79"/>
    <mergeCell ref="BJ79:BK79"/>
    <mergeCell ref="AK75:AL75"/>
    <mergeCell ref="AO75:AP75"/>
    <mergeCell ref="AV75:AZ75"/>
    <mergeCell ref="BA75:BC75"/>
    <mergeCell ref="BF75:BG75"/>
    <mergeCell ref="BJ75:BK75"/>
    <mergeCell ref="B75:F75"/>
    <mergeCell ref="G75:I75"/>
    <mergeCell ref="L75:M75"/>
    <mergeCell ref="Q75:R75"/>
    <mergeCell ref="AA75:AE75"/>
    <mergeCell ref="AF75:AH75"/>
    <mergeCell ref="BF72:BM72"/>
    <mergeCell ref="L74:M74"/>
    <mergeCell ref="Q74:R74"/>
    <mergeCell ref="AK74:AL74"/>
    <mergeCell ref="AO74:AP74"/>
    <mergeCell ref="BF74:BG74"/>
    <mergeCell ref="BJ74:BK74"/>
    <mergeCell ref="B72:C72"/>
    <mergeCell ref="F72:G72"/>
    <mergeCell ref="L72:T72"/>
    <mergeCell ref="AA72:AB72"/>
    <mergeCell ref="AE72:AF72"/>
    <mergeCell ref="AK72:AR72"/>
    <mergeCell ref="AV72:AW72"/>
    <mergeCell ref="AZ72:BA72"/>
    <mergeCell ref="AV70:AW70"/>
    <mergeCell ref="B71:C71"/>
    <mergeCell ref="F71:G71"/>
    <mergeCell ref="AA71:AB71"/>
    <mergeCell ref="AE71:AF71"/>
    <mergeCell ref="AV71:AW71"/>
    <mergeCell ref="L68:P68"/>
    <mergeCell ref="AK68:AN68"/>
    <mergeCell ref="Q69:R69"/>
    <mergeCell ref="AO69:AP69"/>
    <mergeCell ref="AV67:AW67"/>
    <mergeCell ref="AZ67:BA67"/>
    <mergeCell ref="AV65:AW65"/>
    <mergeCell ref="BF65:BG65"/>
    <mergeCell ref="BJ65:BK65"/>
    <mergeCell ref="B66:C66"/>
    <mergeCell ref="F66:G66"/>
    <mergeCell ref="AA66:AB66"/>
    <mergeCell ref="AE66:AF66"/>
    <mergeCell ref="AV66:AW66"/>
    <mergeCell ref="AZ66:BA66"/>
    <mergeCell ref="B65:C65"/>
    <mergeCell ref="L65:M65"/>
    <mergeCell ref="Q65:R65"/>
    <mergeCell ref="AA65:AB65"/>
    <mergeCell ref="AK65:AL65"/>
    <mergeCell ref="AO65:AP65"/>
    <mergeCell ref="AK64:AL64"/>
    <mergeCell ref="AO64:AP64"/>
    <mergeCell ref="BF64:BG64"/>
    <mergeCell ref="BJ64:BK64"/>
    <mergeCell ref="AV62:AW62"/>
    <mergeCell ref="AZ62:BA62"/>
    <mergeCell ref="BF62:BG62"/>
    <mergeCell ref="L63:M63"/>
    <mergeCell ref="Q63:R63"/>
    <mergeCell ref="AK63:AL63"/>
    <mergeCell ref="AO63:AP63"/>
    <mergeCell ref="BF63:BG63"/>
    <mergeCell ref="AK62:AL62"/>
    <mergeCell ref="AV59:AZ59"/>
    <mergeCell ref="BF59:BG59"/>
    <mergeCell ref="BJ59:BK59"/>
    <mergeCell ref="B61:C61"/>
    <mergeCell ref="F61:G61"/>
    <mergeCell ref="AA61:AB61"/>
    <mergeCell ref="AE61:AF61"/>
    <mergeCell ref="AV61:AW61"/>
    <mergeCell ref="AZ61:BA61"/>
    <mergeCell ref="B59:F59"/>
    <mergeCell ref="L59:M59"/>
    <mergeCell ref="Q59:R59"/>
    <mergeCell ref="AA59:AE59"/>
    <mergeCell ref="AK59:AL59"/>
    <mergeCell ref="AO59:AP59"/>
    <mergeCell ref="AV57:AW57"/>
    <mergeCell ref="AZ57:BA57"/>
    <mergeCell ref="AU53:AU74"/>
    <mergeCell ref="BF53:BG53"/>
    <mergeCell ref="BJ53:BK53"/>
    <mergeCell ref="L54:M54"/>
    <mergeCell ref="Q54:R54"/>
    <mergeCell ref="AK54:AL54"/>
    <mergeCell ref="AO54:AP54"/>
    <mergeCell ref="BF54:BG54"/>
    <mergeCell ref="BJ54:BK54"/>
    <mergeCell ref="L56:R56"/>
    <mergeCell ref="L58:M58"/>
    <mergeCell ref="Q58:R58"/>
    <mergeCell ref="AK58:AL58"/>
    <mergeCell ref="AO58:AP58"/>
    <mergeCell ref="BF58:BG58"/>
    <mergeCell ref="BJ58:BK58"/>
    <mergeCell ref="AK56:AP56"/>
    <mergeCell ref="AV56:AW56"/>
    <mergeCell ref="AZ56:BA56"/>
    <mergeCell ref="BF56:BK56"/>
    <mergeCell ref="L62:M62"/>
    <mergeCell ref="AA62:AB62"/>
    <mergeCell ref="AO53:AP53"/>
    <mergeCell ref="B56:C56"/>
    <mergeCell ref="F56:G56"/>
    <mergeCell ref="AA56:AB56"/>
    <mergeCell ref="AE56:AF56"/>
    <mergeCell ref="B57:C57"/>
    <mergeCell ref="F57:G57"/>
    <mergeCell ref="AA57:AB57"/>
    <mergeCell ref="AE57:AF57"/>
    <mergeCell ref="BL49:BM49"/>
    <mergeCell ref="B50:D50"/>
    <mergeCell ref="H50:I50"/>
    <mergeCell ref="L50:M50"/>
    <mergeCell ref="Q50:R50"/>
    <mergeCell ref="AA50:AC50"/>
    <mergeCell ref="AG50:AH50"/>
    <mergeCell ref="AO50:AP50"/>
    <mergeCell ref="AV50:AX50"/>
    <mergeCell ref="BB50:BC50"/>
    <mergeCell ref="BJ50:BK50"/>
    <mergeCell ref="BL50:BM50"/>
    <mergeCell ref="AK48:AL48"/>
    <mergeCell ref="AO48:AP48"/>
    <mergeCell ref="BE46:BE82"/>
    <mergeCell ref="BF46:BG46"/>
    <mergeCell ref="BB48:BC48"/>
    <mergeCell ref="BF48:BG48"/>
    <mergeCell ref="BJ48:BK48"/>
    <mergeCell ref="L49:M49"/>
    <mergeCell ref="Q49:R49"/>
    <mergeCell ref="S49:T49"/>
    <mergeCell ref="AK49:AL49"/>
    <mergeCell ref="AO49:AP49"/>
    <mergeCell ref="AQ49:AR49"/>
    <mergeCell ref="BF49:BG49"/>
    <mergeCell ref="BJ49:BK49"/>
    <mergeCell ref="L52:M52"/>
    <mergeCell ref="Z52:AC52"/>
    <mergeCell ref="AK52:AL52"/>
    <mergeCell ref="AU52:AX52"/>
    <mergeCell ref="BF52:BG52"/>
    <mergeCell ref="L53:M53"/>
    <mergeCell ref="Q53:R53"/>
    <mergeCell ref="Z53:Z74"/>
    <mergeCell ref="AK53:AL53"/>
    <mergeCell ref="BL46:BM46"/>
    <mergeCell ref="B47:E47"/>
    <mergeCell ref="H47:I47"/>
    <mergeCell ref="L47:M47"/>
    <mergeCell ref="Q47:R47"/>
    <mergeCell ref="AA47:AD47"/>
    <mergeCell ref="AG47:AH47"/>
    <mergeCell ref="AK47:AL47"/>
    <mergeCell ref="AJ46:AJ82"/>
    <mergeCell ref="AK46:AL46"/>
    <mergeCell ref="AQ46:AR46"/>
    <mergeCell ref="AU46:AU50"/>
    <mergeCell ref="AV46:AY46"/>
    <mergeCell ref="BB46:BC46"/>
    <mergeCell ref="AO47:AP47"/>
    <mergeCell ref="AV47:AY47"/>
    <mergeCell ref="BB47:BC47"/>
    <mergeCell ref="AV48:AY48"/>
    <mergeCell ref="BF47:BG47"/>
    <mergeCell ref="BJ47:BK47"/>
    <mergeCell ref="B48:E48"/>
    <mergeCell ref="H48:I48"/>
    <mergeCell ref="L48:M48"/>
    <mergeCell ref="Q48:R48"/>
    <mergeCell ref="A46:A50"/>
    <mergeCell ref="B46:E46"/>
    <mergeCell ref="H46:I46"/>
    <mergeCell ref="K46:K82"/>
    <mergeCell ref="L46:M46"/>
    <mergeCell ref="S46:T46"/>
    <mergeCell ref="Z46:Z50"/>
    <mergeCell ref="AA46:AD46"/>
    <mergeCell ref="AG46:AH46"/>
    <mergeCell ref="AA48:AD48"/>
    <mergeCell ref="AG48:AH48"/>
    <mergeCell ref="A52:D52"/>
    <mergeCell ref="A53:A74"/>
    <mergeCell ref="B62:C62"/>
    <mergeCell ref="F62:G62"/>
    <mergeCell ref="AE62:AF62"/>
    <mergeCell ref="L64:M64"/>
    <mergeCell ref="Q64:R64"/>
    <mergeCell ref="B67:C67"/>
    <mergeCell ref="F67:G67"/>
    <mergeCell ref="AA67:AB67"/>
    <mergeCell ref="AE67:AF67"/>
    <mergeCell ref="B70:C70"/>
    <mergeCell ref="AA70:AB70"/>
    <mergeCell ref="A45:G45"/>
    <mergeCell ref="K45:R45"/>
    <mergeCell ref="Z45:AF45"/>
    <mergeCell ref="AJ45:AP45"/>
    <mergeCell ref="AU45:BA45"/>
    <mergeCell ref="AQ40:AR40"/>
    <mergeCell ref="AV40:AZ40"/>
    <mergeCell ref="BB40:BC40"/>
    <mergeCell ref="BE45:BK45"/>
    <mergeCell ref="L38:M38"/>
    <mergeCell ref="R38:S38"/>
    <mergeCell ref="AK38:AL38"/>
    <mergeCell ref="AP38:AQ38"/>
    <mergeCell ref="BF38:BG38"/>
    <mergeCell ref="BK38:BL38"/>
    <mergeCell ref="BF40:BH40"/>
    <mergeCell ref="BL40:BM40"/>
    <mergeCell ref="B42:D42"/>
    <mergeCell ref="H42:I42"/>
    <mergeCell ref="AA42:AC42"/>
    <mergeCell ref="AG42:AH42"/>
    <mergeCell ref="AV42:AX42"/>
    <mergeCell ref="B39:C39"/>
    <mergeCell ref="AA39:AB39"/>
    <mergeCell ref="AV39:AW39"/>
    <mergeCell ref="B40:F40"/>
    <mergeCell ref="H40:I40"/>
    <mergeCell ref="L40:O40"/>
    <mergeCell ref="S40:T40"/>
    <mergeCell ref="AA40:AE40"/>
    <mergeCell ref="AG40:AH40"/>
    <mergeCell ref="AK40:AM40"/>
    <mergeCell ref="BB42:BC42"/>
    <mergeCell ref="BK36:BL36"/>
    <mergeCell ref="B37:F37"/>
    <mergeCell ref="H37:I37"/>
    <mergeCell ref="L37:M37"/>
    <mergeCell ref="R37:S37"/>
    <mergeCell ref="AA37:AE37"/>
    <mergeCell ref="AG37:AH37"/>
    <mergeCell ref="AK37:AL37"/>
    <mergeCell ref="AP37:AQ37"/>
    <mergeCell ref="AV37:AZ37"/>
    <mergeCell ref="BB37:BC37"/>
    <mergeCell ref="BF37:BG37"/>
    <mergeCell ref="BK37:BL37"/>
    <mergeCell ref="AU35:AW35"/>
    <mergeCell ref="BB35:BC35"/>
    <mergeCell ref="BE35:BI35"/>
    <mergeCell ref="B36:C36"/>
    <mergeCell ref="L36:M36"/>
    <mergeCell ref="R36:S36"/>
    <mergeCell ref="AA36:AB36"/>
    <mergeCell ref="AK36:AL36"/>
    <mergeCell ref="AP36:AQ36"/>
    <mergeCell ref="AV36:AW36"/>
    <mergeCell ref="A35:C35"/>
    <mergeCell ref="H35:I35"/>
    <mergeCell ref="K35:P35"/>
    <mergeCell ref="Z35:AB35"/>
    <mergeCell ref="AG35:AH35"/>
    <mergeCell ref="AJ35:AN35"/>
    <mergeCell ref="BF36:BG36"/>
    <mergeCell ref="R29:S29"/>
    <mergeCell ref="A30:D30"/>
    <mergeCell ref="I30:K30"/>
    <mergeCell ref="M30:N30"/>
    <mergeCell ref="A31:D31"/>
    <mergeCell ref="I31:K31"/>
    <mergeCell ref="M31:N31"/>
    <mergeCell ref="P32:U32"/>
    <mergeCell ref="J24:K24"/>
    <mergeCell ref="M24:N24"/>
    <mergeCell ref="P24:Q24"/>
    <mergeCell ref="A29:D29"/>
    <mergeCell ref="I29:K29"/>
    <mergeCell ref="M29:N29"/>
    <mergeCell ref="P29:Q29"/>
    <mergeCell ref="P31:U31"/>
    <mergeCell ref="R2:V2"/>
    <mergeCell ref="P13:R13"/>
    <mergeCell ref="A7:D7"/>
    <mergeCell ref="F7:O7"/>
    <mergeCell ref="F8:O8"/>
    <mergeCell ref="J12:L12"/>
    <mergeCell ref="Q12:T12"/>
    <mergeCell ref="A3:D3"/>
    <mergeCell ref="E3:K3"/>
    <mergeCell ref="L3:P3"/>
    <mergeCell ref="Q3:X3"/>
    <mergeCell ref="A4:D4"/>
    <mergeCell ref="E4:O4"/>
    <mergeCell ref="F12:G12"/>
    <mergeCell ref="A22:D22"/>
    <mergeCell ref="A32:D32"/>
    <mergeCell ref="I32:K32"/>
    <mergeCell ref="M32:N32"/>
    <mergeCell ref="I22:K22"/>
    <mergeCell ref="M22:N22"/>
    <mergeCell ref="J18:K18"/>
    <mergeCell ref="M18:N18"/>
    <mergeCell ref="J27:K27"/>
    <mergeCell ref="M27:N27"/>
    <mergeCell ref="A21:D21"/>
    <mergeCell ref="I21:K21"/>
    <mergeCell ref="M21:N21"/>
    <mergeCell ref="J15:K15"/>
    <mergeCell ref="M15:N15"/>
    <mergeCell ref="J25:K25"/>
    <mergeCell ref="M25:N25"/>
    <mergeCell ref="J16:K16"/>
    <mergeCell ref="M16:N16"/>
    <mergeCell ref="J26:K26"/>
    <mergeCell ref="M26:N26"/>
    <mergeCell ref="J17:K17"/>
    <mergeCell ref="M17:N17"/>
  </mergeCells>
  <pageMargins left="0.25" right="0.25" top="0.75" bottom="0.75" header="0.3" footer="0.3"/>
  <pageSetup paperSize="9" scale="3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7:BI73"/>
  <sheetViews>
    <sheetView topLeftCell="A4" zoomScale="80" zoomScaleNormal="80" workbookViewId="0">
      <selection activeCell="J11" sqref="J11"/>
    </sheetView>
  </sheetViews>
  <sheetFormatPr defaultRowHeight="14.25" x14ac:dyDescent="0.2"/>
  <cols>
    <col min="1" max="1" width="2" style="1" customWidth="1"/>
    <col min="2" max="2" width="5.42578125" style="1" customWidth="1"/>
    <col min="3" max="3" width="7" style="1" customWidth="1"/>
    <col min="4" max="4" width="9.140625" style="1"/>
    <col min="5" max="5" width="9.42578125" style="1" customWidth="1"/>
    <col min="6" max="6" width="1.42578125" style="1" customWidth="1"/>
    <col min="7" max="7" width="13.5703125" style="1" customWidth="1"/>
    <col min="8" max="8" width="5.5703125" style="1" customWidth="1"/>
    <col min="9" max="9" width="11.42578125" style="1" customWidth="1"/>
    <col min="10" max="10" width="9.140625" style="1"/>
    <col min="11" max="11" width="3.5703125" style="1" customWidth="1"/>
    <col min="12" max="12" width="0.85546875" style="1" customWidth="1"/>
    <col min="13" max="13" width="11.42578125" style="1" customWidth="1"/>
    <col min="14" max="14" width="2.140625" style="1" customWidth="1"/>
    <col min="15" max="15" width="12.140625" style="1" customWidth="1"/>
    <col min="16" max="17" width="9.42578125" style="1" customWidth="1"/>
    <col min="18" max="19" width="1" style="1" customWidth="1"/>
    <col min="20" max="20" width="9" style="1" customWidth="1"/>
    <col min="21" max="21" width="8.85546875" style="1" customWidth="1"/>
    <col min="22" max="22" width="9.140625" style="1" customWidth="1"/>
    <col min="23" max="23" width="1.42578125" style="1" customWidth="1"/>
    <col min="24" max="26" width="9.140625" style="1"/>
    <col min="27" max="27" width="1" style="1" customWidth="1"/>
    <col min="28" max="28" width="1.140625" style="1" customWidth="1"/>
    <col min="29" max="31" width="9.140625" style="1"/>
    <col min="32" max="32" width="1.140625" style="1" customWidth="1"/>
    <col min="33" max="34" width="9.140625" style="1"/>
    <col min="35" max="35" width="10.28515625" style="1" customWidth="1"/>
    <col min="36" max="37" width="1.140625" style="1" customWidth="1"/>
    <col min="38" max="38" width="9.140625" style="1"/>
    <col min="39" max="39" width="11" style="1" customWidth="1"/>
    <col min="40" max="40" width="10.42578125" style="1" customWidth="1"/>
    <col min="41" max="57" width="4.7109375" style="1" hidden="1" customWidth="1"/>
    <col min="58" max="59" width="4.7109375" style="1" customWidth="1"/>
    <col min="60" max="60" width="11.28515625" style="1" customWidth="1"/>
    <col min="61" max="16384" width="9.140625" style="1"/>
  </cols>
  <sheetData>
    <row r="7" spans="1:40" x14ac:dyDescent="0.2">
      <c r="M7" s="57">
        <f>PONUDBA!M12</f>
        <v>500</v>
      </c>
      <c r="N7" s="119" t="s">
        <v>91</v>
      </c>
      <c r="O7" s="58">
        <f>PONUDBA!O12</f>
        <v>350</v>
      </c>
      <c r="U7" s="57">
        <f>PONUDBA!U12</f>
        <v>2</v>
      </c>
    </row>
    <row r="8" spans="1:40" x14ac:dyDescent="0.2"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40" ht="18.75" x14ac:dyDescent="0.3">
      <c r="D9" s="20"/>
      <c r="E9" s="223"/>
      <c r="F9" s="224"/>
      <c r="G9" s="226">
        <f>PONUDBA!G19</f>
        <v>1000</v>
      </c>
      <c r="H9" s="225"/>
      <c r="I9" s="226">
        <f>PONUDBA!I19:K19</f>
        <v>2000</v>
      </c>
      <c r="J9" s="227"/>
      <c r="K9" s="227"/>
      <c r="L9" s="225"/>
      <c r="M9" s="226">
        <f>PONUDBA!M19:N19</f>
        <v>3000</v>
      </c>
      <c r="N9" s="223"/>
      <c r="O9" s="224"/>
      <c r="P9" s="224"/>
    </row>
    <row r="10" spans="1:40" ht="18.75" x14ac:dyDescent="0.3">
      <c r="D10" s="20"/>
      <c r="E10" s="223"/>
      <c r="F10" s="224"/>
      <c r="G10" s="227"/>
      <c r="H10" s="225"/>
      <c r="I10" s="228"/>
      <c r="J10" s="227"/>
      <c r="K10" s="227"/>
      <c r="L10" s="225"/>
      <c r="M10" s="228"/>
      <c r="N10" s="223"/>
      <c r="O10" s="224"/>
      <c r="P10" s="224"/>
    </row>
    <row r="11" spans="1:40" ht="18.75" x14ac:dyDescent="0.3">
      <c r="D11" s="20"/>
      <c r="E11" s="223"/>
      <c r="F11" s="224"/>
      <c r="G11" s="226">
        <f>PONUDBA!G29</f>
        <v>0</v>
      </c>
      <c r="H11" s="225"/>
      <c r="I11" s="226">
        <f>PONUDBA!I29:K29</f>
        <v>0</v>
      </c>
      <c r="J11" s="227"/>
      <c r="K11" s="227"/>
      <c r="L11" s="225"/>
      <c r="M11" s="226">
        <f>PONUDBA!M29:N29</f>
        <v>0</v>
      </c>
      <c r="N11" s="223"/>
      <c r="O11" s="224"/>
      <c r="P11" s="224"/>
    </row>
    <row r="12" spans="1:40" ht="15" x14ac:dyDescent="0.25">
      <c r="D12" s="20"/>
      <c r="E12" s="223"/>
      <c r="F12" s="224"/>
      <c r="G12" s="224"/>
      <c r="H12" s="20"/>
      <c r="I12" s="223"/>
      <c r="J12" s="224"/>
      <c r="K12" s="224"/>
      <c r="L12" s="20"/>
      <c r="M12" s="223"/>
      <c r="N12" s="223"/>
      <c r="O12" s="224"/>
      <c r="P12" s="224"/>
    </row>
    <row r="13" spans="1:40" ht="15" x14ac:dyDescent="0.25">
      <c r="D13" s="20"/>
      <c r="E13" s="223"/>
      <c r="F13" s="224"/>
      <c r="G13" s="224"/>
      <c r="H13" s="20"/>
      <c r="I13" s="223"/>
      <c r="J13" s="224"/>
      <c r="K13" s="224"/>
      <c r="L13" s="20"/>
      <c r="M13" s="223"/>
      <c r="N13" s="223"/>
      <c r="O13" s="224"/>
      <c r="P13" s="224"/>
    </row>
    <row r="14" spans="1:40" x14ac:dyDescent="0.2"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1:40" ht="18.75" thickBot="1" x14ac:dyDescent="0.3">
      <c r="A15" s="666" t="s">
        <v>62</v>
      </c>
      <c r="B15" s="666"/>
      <c r="C15" s="666"/>
      <c r="D15" s="666"/>
      <c r="E15" s="666"/>
      <c r="F15" s="666"/>
    </row>
    <row r="16" spans="1:40" ht="15" x14ac:dyDescent="0.25">
      <c r="O16" s="658" t="s">
        <v>63</v>
      </c>
      <c r="P16" s="659"/>
      <c r="Q16" s="659"/>
      <c r="R16" s="28"/>
      <c r="S16" s="28"/>
      <c r="T16" s="28"/>
      <c r="U16" s="28"/>
      <c r="V16" s="29"/>
      <c r="X16" s="658" t="s">
        <v>63</v>
      </c>
      <c r="Y16" s="659"/>
      <c r="Z16" s="659"/>
      <c r="AA16" s="28"/>
      <c r="AB16" s="28"/>
      <c r="AC16" s="28"/>
      <c r="AD16" s="28"/>
      <c r="AE16" s="29"/>
      <c r="AG16" s="658" t="s">
        <v>63</v>
      </c>
      <c r="AH16" s="659"/>
      <c r="AI16" s="659"/>
      <c r="AJ16" s="28"/>
      <c r="AK16" s="28"/>
      <c r="AL16" s="28"/>
      <c r="AM16" s="28"/>
      <c r="AN16" s="29"/>
    </row>
    <row r="17" spans="1:40" ht="15" x14ac:dyDescent="0.25">
      <c r="A17" s="662" t="s">
        <v>80</v>
      </c>
      <c r="B17" s="663"/>
      <c r="C17" s="663"/>
      <c r="D17" s="14"/>
      <c r="E17" s="14"/>
      <c r="G17" s="664" t="s">
        <v>81</v>
      </c>
      <c r="H17" s="665"/>
      <c r="I17" s="15"/>
      <c r="J17" s="15"/>
      <c r="O17" s="660" t="s">
        <v>64</v>
      </c>
      <c r="P17" s="661"/>
      <c r="Q17" s="661"/>
      <c r="R17" s="30"/>
      <c r="S17" s="30"/>
      <c r="T17" s="647" t="s">
        <v>65</v>
      </c>
      <c r="U17" s="648"/>
      <c r="V17" s="649"/>
      <c r="X17" s="660" t="s">
        <v>64</v>
      </c>
      <c r="Y17" s="661"/>
      <c r="Z17" s="661"/>
      <c r="AA17" s="30"/>
      <c r="AB17" s="30"/>
      <c r="AC17" s="647" t="s">
        <v>65</v>
      </c>
      <c r="AD17" s="648"/>
      <c r="AE17" s="649"/>
      <c r="AG17" s="660" t="s">
        <v>64</v>
      </c>
      <c r="AH17" s="661"/>
      <c r="AI17" s="661"/>
      <c r="AJ17" s="30"/>
      <c r="AK17" s="30"/>
      <c r="AL17" s="647" t="s">
        <v>65</v>
      </c>
      <c r="AM17" s="648"/>
      <c r="AN17" s="649"/>
    </row>
    <row r="18" spans="1:40" ht="17.25" x14ac:dyDescent="0.25">
      <c r="A18" s="14"/>
      <c r="B18" s="14" t="s">
        <v>66</v>
      </c>
      <c r="C18" s="14"/>
      <c r="D18" s="662" t="s">
        <v>67</v>
      </c>
      <c r="E18" s="663"/>
      <c r="G18" s="15" t="s">
        <v>66</v>
      </c>
      <c r="H18" s="15"/>
      <c r="I18" s="664" t="s">
        <v>67</v>
      </c>
      <c r="J18" s="665"/>
      <c r="O18" s="59">
        <f>G9/U7</f>
        <v>500</v>
      </c>
      <c r="P18" s="60"/>
      <c r="Q18" s="60" t="s">
        <v>68</v>
      </c>
      <c r="R18" s="30"/>
      <c r="S18" s="30"/>
      <c r="T18" s="31">
        <f>O18</f>
        <v>500</v>
      </c>
      <c r="U18" s="33"/>
      <c r="V18" s="32" t="s">
        <v>68</v>
      </c>
      <c r="X18" s="59">
        <f>I9/U7</f>
        <v>1000</v>
      </c>
      <c r="Y18" s="60"/>
      <c r="Z18" s="60" t="s">
        <v>68</v>
      </c>
      <c r="AA18" s="30"/>
      <c r="AB18" s="30"/>
      <c r="AC18" s="31">
        <f>X18</f>
        <v>1000</v>
      </c>
      <c r="AD18" s="33"/>
      <c r="AE18" s="32" t="s">
        <v>68</v>
      </c>
      <c r="AG18" s="59">
        <f>M9/U7</f>
        <v>1500</v>
      </c>
      <c r="AH18" s="60"/>
      <c r="AI18" s="60" t="s">
        <v>68</v>
      </c>
      <c r="AJ18" s="30"/>
      <c r="AK18" s="30"/>
      <c r="AL18" s="31">
        <f>AG18</f>
        <v>1500</v>
      </c>
      <c r="AM18" s="33"/>
      <c r="AN18" s="32" t="s">
        <v>68</v>
      </c>
    </row>
    <row r="19" spans="1:40" x14ac:dyDescent="0.2">
      <c r="A19" s="14"/>
      <c r="B19" s="14"/>
      <c r="C19" s="14" t="s">
        <v>79</v>
      </c>
      <c r="D19" s="14"/>
      <c r="E19" s="14" t="s">
        <v>70</v>
      </c>
      <c r="G19" s="15"/>
      <c r="H19" s="15" t="s">
        <v>79</v>
      </c>
      <c r="I19" s="15"/>
      <c r="J19" s="15" t="s">
        <v>70</v>
      </c>
      <c r="O19" s="61">
        <f>IF($O$7=500,1,IF($O$7=330,2,IF($O$7=350,3)))</f>
        <v>3</v>
      </c>
      <c r="P19" s="60"/>
      <c r="Q19" s="60"/>
      <c r="R19" s="30"/>
      <c r="S19" s="30"/>
      <c r="T19" s="33">
        <f>O19</f>
        <v>3</v>
      </c>
      <c r="U19" s="33"/>
      <c r="V19" s="32"/>
      <c r="X19" s="61">
        <f>IF($O$7=500,1,IF($O$7=330,2,IF($O$7=350,3)))</f>
        <v>3</v>
      </c>
      <c r="Y19" s="60"/>
      <c r="Z19" s="60"/>
      <c r="AA19" s="30"/>
      <c r="AB19" s="30"/>
      <c r="AC19" s="33">
        <f>X19</f>
        <v>3</v>
      </c>
      <c r="AD19" s="33"/>
      <c r="AE19" s="32"/>
      <c r="AG19" s="61">
        <f>IF($O$7=500,1,IF($O$7=330,2,IF($O$7=350,3)))</f>
        <v>3</v>
      </c>
      <c r="AH19" s="60"/>
      <c r="AI19" s="60"/>
      <c r="AJ19" s="30"/>
      <c r="AK19" s="30"/>
      <c r="AL19" s="33">
        <f>AG19</f>
        <v>3</v>
      </c>
      <c r="AM19" s="33"/>
      <c r="AN19" s="32"/>
    </row>
    <row r="20" spans="1:40" ht="15" x14ac:dyDescent="0.25">
      <c r="A20" s="14"/>
      <c r="B20" s="14">
        <v>320</v>
      </c>
      <c r="C20" s="14">
        <v>0.32</v>
      </c>
      <c r="D20" s="14">
        <v>0.1116</v>
      </c>
      <c r="E20" s="16">
        <v>3.5700000000000003E-2</v>
      </c>
      <c r="G20" s="15">
        <v>320</v>
      </c>
      <c r="H20" s="15">
        <v>0.32</v>
      </c>
      <c r="I20" s="15">
        <v>0.1366</v>
      </c>
      <c r="J20" s="17">
        <v>4.3700000000000003E-2</v>
      </c>
      <c r="O20" s="34" t="s">
        <v>71</v>
      </c>
      <c r="P20" s="35" t="str">
        <f>IF($O$19="","",IF($O$19=1,($E$22*(O18*0.7)),""))</f>
        <v/>
      </c>
      <c r="Q20" s="36" t="str">
        <f>IF(P20="","",($O$18/600)*17)</f>
        <v/>
      </c>
      <c r="R20" s="30"/>
      <c r="S20" s="30"/>
      <c r="T20" s="37" t="s">
        <v>71</v>
      </c>
      <c r="U20" s="38" t="str">
        <f>IF($O$19="","",IF($O$19=1,($J$22*(T18*0.7)),""))</f>
        <v/>
      </c>
      <c r="V20" s="63" t="str">
        <f>IF(U20="","",($T$18/600)*17)</f>
        <v/>
      </c>
      <c r="X20" s="34" t="s">
        <v>71</v>
      </c>
      <c r="Y20" s="35" t="str">
        <f>IF($O$19="","",IF($O$19=1,($E$22*(X18*0.7)),""))</f>
        <v/>
      </c>
      <c r="Z20" s="36" t="str">
        <f>IF(Y20="","",($X$18/600)*17)</f>
        <v/>
      </c>
      <c r="AA20" s="30"/>
      <c r="AB20" s="30"/>
      <c r="AC20" s="37" t="s">
        <v>71</v>
      </c>
      <c r="AD20" s="38" t="str">
        <f>IF($O$19="","",IF($O$19=1,($J$22*(AC18*0.7)),""))</f>
        <v/>
      </c>
      <c r="AE20" s="63" t="str">
        <f>IF(AD20="","",($X$18/600)*17)</f>
        <v/>
      </c>
      <c r="AG20" s="34" t="s">
        <v>71</v>
      </c>
      <c r="AH20" s="35" t="str">
        <f>IF($O$19="","",IF($O$19=1,($E$22*(AG18*0.7)),""))</f>
        <v/>
      </c>
      <c r="AI20" s="36" t="str">
        <f>IF(AH20="","",($AG$18/600)*17)</f>
        <v/>
      </c>
      <c r="AJ20" s="30"/>
      <c r="AK20" s="30"/>
      <c r="AL20" s="37" t="s">
        <v>71</v>
      </c>
      <c r="AM20" s="38" t="str">
        <f>IF($O$19="","",IF($O$19=1,($J$22*(AL18*0.7)),""))</f>
        <v/>
      </c>
      <c r="AN20" s="63" t="str">
        <f>IF(AM20="","",($AG$18/600)*17)</f>
        <v/>
      </c>
    </row>
    <row r="21" spans="1:40" ht="15" x14ac:dyDescent="0.25">
      <c r="A21" s="14"/>
      <c r="B21" s="14">
        <v>345</v>
      </c>
      <c r="C21" s="14">
        <v>0.34499999999999997</v>
      </c>
      <c r="D21" s="14">
        <v>0.12239999999999999</v>
      </c>
      <c r="E21" s="16">
        <v>4.2200000000000001E-2</v>
      </c>
      <c r="G21" s="15">
        <v>345</v>
      </c>
      <c r="H21" s="15">
        <v>0.34499999999999997</v>
      </c>
      <c r="I21" s="15">
        <v>0.1321</v>
      </c>
      <c r="J21" s="17">
        <v>4.5499999999999999E-2</v>
      </c>
      <c r="K21" s="1" t="s">
        <v>78</v>
      </c>
      <c r="O21" s="39" t="s">
        <v>72</v>
      </c>
      <c r="P21" s="35" t="str">
        <f>IF($O$19="","",IF($O$19=1,"",IF($O$19=2,($E$20*(O18*0.7)),"")))</f>
        <v/>
      </c>
      <c r="Q21" s="36" t="str">
        <f>IF(P21="","",($O$18/600)*17)</f>
        <v/>
      </c>
      <c r="R21" s="30"/>
      <c r="S21" s="30"/>
      <c r="T21" s="40" t="s">
        <v>72</v>
      </c>
      <c r="U21" s="38" t="str">
        <f>IF($O$19="","",IF($O$19=1,"",IF($O$19=2,($J$20*(T18*0.7)),"")))</f>
        <v/>
      </c>
      <c r="V21" s="63" t="str">
        <f>IF(U21="","",($T$18/600)*17)</f>
        <v/>
      </c>
      <c r="X21" s="39" t="s">
        <v>72</v>
      </c>
      <c r="Y21" s="35" t="str">
        <f>IF($O$19="","",IF($O$19=1,"",IF($O$19=2,($E$20*(X18*0.7)),"")))</f>
        <v/>
      </c>
      <c r="Z21" s="36" t="str">
        <f>IF(Y21="","",($X$18/600)*17)</f>
        <v/>
      </c>
      <c r="AA21" s="30"/>
      <c r="AB21" s="30"/>
      <c r="AC21" s="40" t="s">
        <v>72</v>
      </c>
      <c r="AD21" s="38" t="str">
        <f>IF($O$19="","",IF($O$19=1,"",IF($O$19=2,($J$20*(AC18*0.7)),"")))</f>
        <v/>
      </c>
      <c r="AE21" s="63" t="str">
        <f>IF(AD21="","",($X$18/600)*17)</f>
        <v/>
      </c>
      <c r="AG21" s="39" t="s">
        <v>72</v>
      </c>
      <c r="AH21" s="35" t="str">
        <f>IF($O$19="","",IF($O$19=1,"",IF($O$19=2,($E$20*(AG18*0.7)),"")))</f>
        <v/>
      </c>
      <c r="AI21" s="36" t="str">
        <f>IF(AH21="","",($AG$18/600)*17)</f>
        <v/>
      </c>
      <c r="AJ21" s="30"/>
      <c r="AK21" s="30"/>
      <c r="AL21" s="40" t="s">
        <v>72</v>
      </c>
      <c r="AM21" s="38" t="str">
        <f>IF($O$19="","",IF($O$19=1,"",IF($O$19=2,($J$20*(AL18*0.7)),"")))</f>
        <v/>
      </c>
      <c r="AN21" s="63" t="str">
        <f>IF(AM21="","",($AG$18/600)*17)</f>
        <v/>
      </c>
    </row>
    <row r="22" spans="1:40" ht="15" x14ac:dyDescent="0.25">
      <c r="A22" s="14"/>
      <c r="B22" s="14">
        <v>495</v>
      </c>
      <c r="C22" s="14">
        <v>0.495</v>
      </c>
      <c r="D22" s="14">
        <v>0.11509999999999999</v>
      </c>
      <c r="E22" s="16">
        <v>5.6899999999999999E-2</v>
      </c>
      <c r="G22" s="15">
        <v>490</v>
      </c>
      <c r="H22" s="15">
        <v>0.49</v>
      </c>
      <c r="I22" s="15">
        <v>0.1265</v>
      </c>
      <c r="J22" s="17">
        <v>6.1899999999999997E-2</v>
      </c>
      <c r="O22" s="39" t="s">
        <v>73</v>
      </c>
      <c r="P22" s="35">
        <f>IF($O$19="","",IF($O$19=1,"",IF($O$19=2,"",IF($O$19=3,($E$21*(O18*0.5))))))</f>
        <v>10.55</v>
      </c>
      <c r="Q22" s="36">
        <f>IF(P22="","",($O$18/700)*17)</f>
        <v>12.142857142857142</v>
      </c>
      <c r="R22" s="30"/>
      <c r="S22" s="30"/>
      <c r="T22" s="40" t="s">
        <v>73</v>
      </c>
      <c r="U22" s="38">
        <f>IF($O$19="","",IF($O$19=1,"",IF($O$19=2,"",IF($O$19=3,($J$21*(T18*0.5)),""))))</f>
        <v>11.375</v>
      </c>
      <c r="V22" s="62">
        <f>IF(U22="","",($O$18/700)*17)</f>
        <v>12.142857142857142</v>
      </c>
      <c r="X22" s="39" t="s">
        <v>73</v>
      </c>
      <c r="Y22" s="35">
        <f>IF($O$19="","",IF($O$19=1,"",IF($O$19=2,"",IF($O$19=3,($E$21*(X18*0.5))))))</f>
        <v>21.1</v>
      </c>
      <c r="Z22" s="36">
        <f>IF(Y22="","",($X$18/600)*17)</f>
        <v>28.333333333333336</v>
      </c>
      <c r="AA22" s="30"/>
      <c r="AB22" s="30"/>
      <c r="AC22" s="40" t="s">
        <v>73</v>
      </c>
      <c r="AD22" s="38">
        <f>IF($O$19="","",IF($O$19=1,"",IF($O$19=2,"",IF($O$19=3,($J$21*(AC18*0.5)),""))))</f>
        <v>22.75</v>
      </c>
      <c r="AE22" s="63">
        <f>IF(AD22="","",($X$18/700)*17)</f>
        <v>24.285714285714285</v>
      </c>
      <c r="AG22" s="39" t="s">
        <v>73</v>
      </c>
      <c r="AH22" s="35">
        <f>IF($O$19="","",IF($O$19=1,"",IF($O$19=2,"",IF($O$19=3,($E$21*(AG18*0.5))))))</f>
        <v>31.650000000000002</v>
      </c>
      <c r="AI22" s="36">
        <f>IF(AH22="","",($AG$18/700)*17)</f>
        <v>36.428571428571431</v>
      </c>
      <c r="AJ22" s="30"/>
      <c r="AK22" s="30"/>
      <c r="AL22" s="40" t="s">
        <v>73</v>
      </c>
      <c r="AM22" s="38">
        <f>IF($O$19="","",IF($O$19=1,"",IF($O$19=2,"",IF($O$19=3,($J$21*(AL18*0.5)),""))))</f>
        <v>34.125</v>
      </c>
      <c r="AN22" s="63">
        <f>IF(AM22="","",($AG$18/700)*17)</f>
        <v>36.428571428571431</v>
      </c>
    </row>
    <row r="23" spans="1:40" ht="15.75" thickBot="1" x14ac:dyDescent="0.3">
      <c r="G23" s="15">
        <v>495</v>
      </c>
      <c r="H23" s="15">
        <v>0.495</v>
      </c>
      <c r="I23" s="15">
        <v>0.1116</v>
      </c>
      <c r="J23" s="17">
        <v>5.5199999999999999E-2</v>
      </c>
      <c r="O23" s="41" t="s">
        <v>74</v>
      </c>
      <c r="P23" s="643">
        <f>SUM(P20:Q22)</f>
        <v>22.692857142857143</v>
      </c>
      <c r="Q23" s="650"/>
      <c r="R23" s="30"/>
      <c r="S23" s="30"/>
      <c r="T23" s="30" t="s">
        <v>74</v>
      </c>
      <c r="U23" s="643">
        <f>SUM(U20:V22)</f>
        <v>23.517857142857142</v>
      </c>
      <c r="V23" s="644"/>
      <c r="X23" s="41" t="s">
        <v>74</v>
      </c>
      <c r="Y23" s="643">
        <f>SUM(Y20:Z22)</f>
        <v>49.433333333333337</v>
      </c>
      <c r="Z23" s="650"/>
      <c r="AA23" s="30"/>
      <c r="AB23" s="30"/>
      <c r="AC23" s="30" t="s">
        <v>74</v>
      </c>
      <c r="AD23" s="643">
        <f>SUM(AD20:AE22)</f>
        <v>47.035714285714285</v>
      </c>
      <c r="AE23" s="644"/>
      <c r="AG23" s="41" t="s">
        <v>74</v>
      </c>
      <c r="AH23" s="643">
        <f>SUM(AH20:AI22)</f>
        <v>68.078571428571436</v>
      </c>
      <c r="AI23" s="650"/>
      <c r="AJ23" s="30"/>
      <c r="AK23" s="30"/>
      <c r="AL23" s="30" t="s">
        <v>74</v>
      </c>
      <c r="AM23" s="643">
        <f>SUM(AM20:AN22)</f>
        <v>70.553571428571431</v>
      </c>
      <c r="AN23" s="644"/>
    </row>
    <row r="24" spans="1:40" x14ac:dyDescent="0.2">
      <c r="O24" s="41"/>
      <c r="P24" s="30"/>
      <c r="Q24" s="30"/>
      <c r="R24" s="30"/>
      <c r="S24" s="30"/>
      <c r="T24" s="30"/>
      <c r="U24" s="30"/>
      <c r="V24" s="42"/>
      <c r="X24" s="41"/>
      <c r="Y24" s="30"/>
      <c r="Z24" s="30"/>
      <c r="AA24" s="30"/>
      <c r="AB24" s="30"/>
      <c r="AC24" s="30"/>
      <c r="AD24" s="30"/>
      <c r="AE24" s="42"/>
      <c r="AG24" s="41"/>
      <c r="AH24" s="30"/>
      <c r="AI24" s="30"/>
      <c r="AJ24" s="30"/>
      <c r="AK24" s="30"/>
      <c r="AL24" s="30"/>
      <c r="AM24" s="30"/>
      <c r="AN24" s="42"/>
    </row>
    <row r="25" spans="1:40" x14ac:dyDescent="0.2">
      <c r="O25" s="41"/>
      <c r="P25" s="30"/>
      <c r="Q25" s="30"/>
      <c r="R25" s="30"/>
      <c r="S25" s="30"/>
      <c r="T25" s="30"/>
      <c r="U25" s="30"/>
      <c r="V25" s="42"/>
      <c r="X25" s="41"/>
      <c r="Y25" s="30"/>
      <c r="Z25" s="30"/>
      <c r="AA25" s="30"/>
      <c r="AB25" s="30"/>
      <c r="AC25" s="30"/>
      <c r="AD25" s="30"/>
      <c r="AE25" s="42"/>
      <c r="AG25" s="41"/>
      <c r="AH25" s="30"/>
      <c r="AI25" s="30"/>
      <c r="AJ25" s="30"/>
      <c r="AK25" s="30"/>
      <c r="AL25" s="30"/>
      <c r="AM25" s="30"/>
      <c r="AN25" s="42"/>
    </row>
    <row r="26" spans="1:40" x14ac:dyDescent="0.2">
      <c r="O26" s="41"/>
      <c r="P26" s="30"/>
      <c r="Q26" s="30"/>
      <c r="R26" s="30"/>
      <c r="S26" s="30"/>
      <c r="T26" s="30"/>
      <c r="U26" s="30"/>
      <c r="V26" s="42"/>
      <c r="X26" s="41"/>
      <c r="Y26" s="30"/>
      <c r="Z26" s="30"/>
      <c r="AA26" s="30"/>
      <c r="AB26" s="30"/>
      <c r="AC26" s="30"/>
      <c r="AD26" s="30"/>
      <c r="AE26" s="42"/>
      <c r="AG26" s="41"/>
      <c r="AH26" s="30"/>
      <c r="AI26" s="30"/>
      <c r="AJ26" s="30"/>
      <c r="AK26" s="30"/>
      <c r="AL26" s="30"/>
      <c r="AM26" s="30"/>
      <c r="AN26" s="42"/>
    </row>
    <row r="27" spans="1:40" ht="15" x14ac:dyDescent="0.25">
      <c r="A27" s="645" t="s">
        <v>82</v>
      </c>
      <c r="B27" s="646"/>
      <c r="C27" s="641"/>
      <c r="D27" s="18"/>
      <c r="E27" s="18"/>
      <c r="G27" s="656" t="s">
        <v>75</v>
      </c>
      <c r="H27" s="657"/>
      <c r="I27" s="26"/>
      <c r="J27" s="26"/>
      <c r="O27" s="651" t="s">
        <v>76</v>
      </c>
      <c r="P27" s="652"/>
      <c r="Q27" s="652"/>
      <c r="R27" s="30"/>
      <c r="S27" s="30"/>
      <c r="T27" s="653" t="s">
        <v>77</v>
      </c>
      <c r="U27" s="654"/>
      <c r="V27" s="655"/>
      <c r="X27" s="651" t="s">
        <v>76</v>
      </c>
      <c r="Y27" s="652"/>
      <c r="Z27" s="652"/>
      <c r="AA27" s="30"/>
      <c r="AB27" s="30"/>
      <c r="AC27" s="653" t="s">
        <v>77</v>
      </c>
      <c r="AD27" s="654"/>
      <c r="AE27" s="655"/>
      <c r="AG27" s="651" t="s">
        <v>76</v>
      </c>
      <c r="AH27" s="652"/>
      <c r="AI27" s="652"/>
      <c r="AJ27" s="30"/>
      <c r="AK27" s="30"/>
      <c r="AL27" s="653" t="s">
        <v>77</v>
      </c>
      <c r="AM27" s="654"/>
      <c r="AN27" s="655"/>
    </row>
    <row r="28" spans="1:40" ht="17.25" x14ac:dyDescent="0.25">
      <c r="A28" s="18"/>
      <c r="B28" s="18" t="s">
        <v>66</v>
      </c>
      <c r="C28" s="18"/>
      <c r="D28" s="645" t="s">
        <v>67</v>
      </c>
      <c r="E28" s="646"/>
      <c r="G28" s="26" t="s">
        <v>66</v>
      </c>
      <c r="H28" s="26"/>
      <c r="I28" s="656" t="s">
        <v>67</v>
      </c>
      <c r="J28" s="657"/>
      <c r="O28" s="43">
        <f>O18</f>
        <v>500</v>
      </c>
      <c r="P28" s="44"/>
      <c r="Q28" s="44" t="s">
        <v>68</v>
      </c>
      <c r="R28" s="30"/>
      <c r="S28" s="30"/>
      <c r="T28" s="45">
        <f>O18</f>
        <v>500</v>
      </c>
      <c r="U28" s="46"/>
      <c r="V28" s="47" t="s">
        <v>68</v>
      </c>
      <c r="X28" s="43">
        <f>X18</f>
        <v>1000</v>
      </c>
      <c r="Y28" s="44"/>
      <c r="Z28" s="44" t="s">
        <v>68</v>
      </c>
      <c r="AA28" s="30"/>
      <c r="AB28" s="30"/>
      <c r="AC28" s="45">
        <f>X18</f>
        <v>1000</v>
      </c>
      <c r="AD28" s="46"/>
      <c r="AE28" s="47" t="s">
        <v>68</v>
      </c>
      <c r="AG28" s="43">
        <f>AG18</f>
        <v>1500</v>
      </c>
      <c r="AH28" s="44"/>
      <c r="AI28" s="44" t="s">
        <v>68</v>
      </c>
      <c r="AJ28" s="30"/>
      <c r="AK28" s="30"/>
      <c r="AL28" s="45">
        <f>AG18</f>
        <v>1500</v>
      </c>
      <c r="AM28" s="46"/>
      <c r="AN28" s="47" t="s">
        <v>68</v>
      </c>
    </row>
    <row r="29" spans="1:40" x14ac:dyDescent="0.2">
      <c r="A29" s="18"/>
      <c r="B29" s="18"/>
      <c r="C29" s="18" t="s">
        <v>69</v>
      </c>
      <c r="D29" s="18"/>
      <c r="E29" s="18" t="s">
        <v>70</v>
      </c>
      <c r="G29" s="26"/>
      <c r="H29" s="26" t="s">
        <v>69</v>
      </c>
      <c r="I29" s="26"/>
      <c r="J29" s="26" t="s">
        <v>70</v>
      </c>
      <c r="O29" s="48">
        <f>O19</f>
        <v>3</v>
      </c>
      <c r="P29" s="44"/>
      <c r="Q29" s="44"/>
      <c r="R29" s="30"/>
      <c r="S29" s="30"/>
      <c r="T29" s="46">
        <f>O19</f>
        <v>3</v>
      </c>
      <c r="U29" s="46"/>
      <c r="V29" s="47"/>
      <c r="X29" s="48">
        <f>X19</f>
        <v>3</v>
      </c>
      <c r="Y29" s="44"/>
      <c r="Z29" s="44"/>
      <c r="AA29" s="30"/>
      <c r="AB29" s="30"/>
      <c r="AC29" s="46">
        <f>X19</f>
        <v>3</v>
      </c>
      <c r="AD29" s="46"/>
      <c r="AE29" s="47"/>
      <c r="AG29" s="48">
        <f>AG19</f>
        <v>3</v>
      </c>
      <c r="AH29" s="44"/>
      <c r="AI29" s="44"/>
      <c r="AJ29" s="30"/>
      <c r="AK29" s="30"/>
      <c r="AL29" s="46">
        <f>AG19</f>
        <v>3</v>
      </c>
      <c r="AM29" s="46"/>
      <c r="AN29" s="47"/>
    </row>
    <row r="30" spans="1:40" ht="15" x14ac:dyDescent="0.25">
      <c r="A30" s="18"/>
      <c r="B30" s="18">
        <v>320</v>
      </c>
      <c r="C30" s="18">
        <v>0.32</v>
      </c>
      <c r="D30" s="18">
        <v>0.34320000000000001</v>
      </c>
      <c r="E30" s="19">
        <v>0.10979999999999999</v>
      </c>
      <c r="G30" s="26">
        <v>320</v>
      </c>
      <c r="H30" s="26">
        <v>0.32</v>
      </c>
      <c r="I30" s="26">
        <v>0.65280000000000005</v>
      </c>
      <c r="J30" s="27">
        <v>0.20880000000000001</v>
      </c>
      <c r="O30" s="49" t="s">
        <v>71</v>
      </c>
      <c r="P30" s="50" t="str">
        <f>IF($O$19="","",IF($O$19=1,($E$33*(O18*0.7)),""))</f>
        <v/>
      </c>
      <c r="Q30" s="64" t="str">
        <f>IF(P30="","",($O$18/600)*17)</f>
        <v/>
      </c>
      <c r="R30" s="30"/>
      <c r="S30" s="30"/>
      <c r="T30" s="51" t="s">
        <v>71</v>
      </c>
      <c r="U30" s="52" t="str">
        <f>IF(T29="","",IF(T29=1,($J$33*(O18*0.7)),""))</f>
        <v/>
      </c>
      <c r="V30" s="65" t="str">
        <f>IF(U30="","",($O$28/600)*17)</f>
        <v/>
      </c>
      <c r="X30" s="49" t="s">
        <v>71</v>
      </c>
      <c r="Y30" s="50" t="str">
        <f>IF($O$19="","",IF($O$19=1,($E$33*(X18*0.7)),""))</f>
        <v/>
      </c>
      <c r="Z30" s="64" t="str">
        <f>IF(Y30="","",($X$18/600)*17)</f>
        <v/>
      </c>
      <c r="AA30" s="30"/>
      <c r="AB30" s="30"/>
      <c r="AC30" s="51" t="s">
        <v>71</v>
      </c>
      <c r="AD30" s="52" t="str">
        <f>IF(AC29="","",IF(AC29=1,($J$33*(X18*0.7)),""))</f>
        <v/>
      </c>
      <c r="AE30" s="65" t="str">
        <f>IF(AD30="","",($X$18/600)*17)</f>
        <v/>
      </c>
      <c r="AG30" s="49" t="s">
        <v>71</v>
      </c>
      <c r="AH30" s="50" t="str">
        <f>IF($O$19="","",IF($O$19=1,($E$33*(AG18*0.7)),""))</f>
        <v/>
      </c>
      <c r="AI30" s="64" t="str">
        <f>IF(AH30="","",($AG$18/600)*17)</f>
        <v/>
      </c>
      <c r="AJ30" s="30"/>
      <c r="AK30" s="30"/>
      <c r="AL30" s="51" t="s">
        <v>71</v>
      </c>
      <c r="AM30" s="52" t="str">
        <f>IF(AL29="","",IF(AL29=1,($J$33*(AG18*0.7)),""))</f>
        <v/>
      </c>
      <c r="AN30" s="65" t="str">
        <f>IF(AM30="","",($AG$18/600)*17)</f>
        <v/>
      </c>
    </row>
    <row r="31" spans="1:40" ht="15" x14ac:dyDescent="0.25">
      <c r="A31" s="18"/>
      <c r="B31" s="18">
        <v>345</v>
      </c>
      <c r="C31" s="18">
        <v>0.34499999999999997</v>
      </c>
      <c r="D31" s="18"/>
      <c r="E31" s="19"/>
      <c r="G31" s="26"/>
      <c r="H31" s="26"/>
      <c r="I31" s="26"/>
      <c r="J31" s="27"/>
      <c r="O31" s="53" t="s">
        <v>72</v>
      </c>
      <c r="P31" s="50" t="str">
        <f>IF($O$19="","",IF($O$19=1,"",IF($O$19=2,($E$30*(O18*0.7)),"")))</f>
        <v/>
      </c>
      <c r="Q31" s="64" t="str">
        <f>IF(P31="","",($O$18/600)*17)</f>
        <v/>
      </c>
      <c r="R31" s="30"/>
      <c r="S31" s="30"/>
      <c r="T31" s="54" t="s">
        <v>72</v>
      </c>
      <c r="U31" s="52" t="str">
        <f>IF(O29="","",IF(T29=1,"",IF(T29=2,($J$30*(T18*0.7)),"")))</f>
        <v/>
      </c>
      <c r="V31" s="65" t="str">
        <f>IF(U31="","",($O$28/600)*17)</f>
        <v/>
      </c>
      <c r="X31" s="53" t="s">
        <v>72</v>
      </c>
      <c r="Y31" s="50" t="str">
        <f>IF($O$19="","",IF($O$19=1,"",IF($O$19=2,($E$30*(X18*0.7)),"")))</f>
        <v/>
      </c>
      <c r="Z31" s="64" t="str">
        <f>IF(Y31="","",($X$18/600)*17)</f>
        <v/>
      </c>
      <c r="AA31" s="30"/>
      <c r="AB31" s="30"/>
      <c r="AC31" s="54" t="s">
        <v>72</v>
      </c>
      <c r="AD31" s="52" t="str">
        <f>IF(X29="","",IF(AC29=1,"",IF(AC29=2,($J$30*(AC18*0.7)),"")))</f>
        <v/>
      </c>
      <c r="AE31" s="65" t="str">
        <f>IF(AD31="","",($X$18/600)*17)</f>
        <v/>
      </c>
      <c r="AG31" s="53" t="s">
        <v>72</v>
      </c>
      <c r="AH31" s="50" t="str">
        <f>IF($O$19="","",IF($O$19=1,"",IF($O$19=2,($E$30*(AG18*0.7)),"")))</f>
        <v/>
      </c>
      <c r="AI31" s="64" t="str">
        <f>IF(AH31="","",($AG$18/600)*17)</f>
        <v/>
      </c>
      <c r="AJ31" s="30"/>
      <c r="AK31" s="30"/>
      <c r="AL31" s="54" t="s">
        <v>72</v>
      </c>
      <c r="AM31" s="52" t="str">
        <f>IF(AG29="","",IF(AL29=1,"",IF(AL29=2,($J$30*(AL18*0.7)),"")))</f>
        <v/>
      </c>
      <c r="AN31" s="65" t="str">
        <f>IF(AM31="","",($AG$18/600)*17)</f>
        <v/>
      </c>
    </row>
    <row r="32" spans="1:40" ht="15" x14ac:dyDescent="0.25">
      <c r="A32" s="18"/>
      <c r="B32" s="18">
        <v>490</v>
      </c>
      <c r="C32" s="18">
        <v>0.49</v>
      </c>
      <c r="D32" s="18">
        <v>0.31540000000000001</v>
      </c>
      <c r="E32" s="19">
        <v>0.1545</v>
      </c>
      <c r="G32" s="26"/>
      <c r="H32" s="26"/>
      <c r="I32" s="26"/>
      <c r="J32" s="27"/>
      <c r="O32" s="53" t="s">
        <v>73</v>
      </c>
      <c r="P32" s="50">
        <f>IF($O$19="","",IF($O$19=1,"",IF($O$19=2,"",IF($O$19=3,($E$30*(O18*0.5))))))</f>
        <v>27.45</v>
      </c>
      <c r="Q32" s="64">
        <f>IF(P32="","",($O$18/700)*17)</f>
        <v>12.142857142857142</v>
      </c>
      <c r="R32" s="30"/>
      <c r="S32" s="30"/>
      <c r="T32" s="54" t="s">
        <v>73</v>
      </c>
      <c r="U32" s="52">
        <f>IF(O29="","",IF(T29=1,"",IF(T29=2,"",IF(T29=3,($J$30*(T28*0.5)),""))))</f>
        <v>52.2</v>
      </c>
      <c r="V32" s="65">
        <f>IF(U32="","",($O$18/700)*17)</f>
        <v>12.142857142857142</v>
      </c>
      <c r="X32" s="53" t="s">
        <v>73</v>
      </c>
      <c r="Y32" s="50">
        <f>IF($O$19="","",IF($O$19=1,"",IF($O$19=2,"",IF($O$19=3,($E$30*(X18*0.5))))))</f>
        <v>54.9</v>
      </c>
      <c r="Z32" s="64">
        <f>IF(Y32="","",($X$18/700)*17)</f>
        <v>24.285714285714285</v>
      </c>
      <c r="AA32" s="30"/>
      <c r="AB32" s="30"/>
      <c r="AC32" s="54" t="s">
        <v>73</v>
      </c>
      <c r="AD32" s="52">
        <f>IF(X29="","",IF(AC29=1,"",IF(AC29=2,"",IF(AC29=3,($J$30*(AC28*0.5)),""))))</f>
        <v>104.4</v>
      </c>
      <c r="AE32" s="65">
        <f>IF(AD32="","",($X$18/700)*17)</f>
        <v>24.285714285714285</v>
      </c>
      <c r="AG32" s="53" t="s">
        <v>73</v>
      </c>
      <c r="AH32" s="50">
        <f>IF($O$19="","",IF($O$19=1,"",IF($O$19=2,"",IF($O$19=3,($E$30*(AG18*0.5))))))</f>
        <v>82.35</v>
      </c>
      <c r="AI32" s="64">
        <f>IF(AH32="","",($AG$18/700)*17)</f>
        <v>36.428571428571431</v>
      </c>
      <c r="AJ32" s="30"/>
      <c r="AK32" s="30"/>
      <c r="AL32" s="54" t="s">
        <v>73</v>
      </c>
      <c r="AM32" s="52">
        <f>IF(AG29="","",IF(AL29=1,"",IF(AL29=2,"",IF(AL29=3,($J$30*(AL28*0.5)),""))))</f>
        <v>156.60000000000002</v>
      </c>
      <c r="AN32" s="65">
        <f>IF(AM32="","",($AG$18/700)*17)</f>
        <v>36.428571428571431</v>
      </c>
    </row>
    <row r="33" spans="1:40" ht="15.75" thickBot="1" x14ac:dyDescent="0.3">
      <c r="A33" s="18"/>
      <c r="B33" s="18">
        <v>495</v>
      </c>
      <c r="C33" s="18">
        <v>0.495</v>
      </c>
      <c r="D33" s="18">
        <v>0.51</v>
      </c>
      <c r="E33" s="19">
        <v>0.25240000000000001</v>
      </c>
      <c r="G33" s="26">
        <v>495</v>
      </c>
      <c r="H33" s="26">
        <v>0.495</v>
      </c>
      <c r="I33" s="26">
        <v>0.58140000000000003</v>
      </c>
      <c r="J33" s="27">
        <v>0.28770000000000001</v>
      </c>
      <c r="O33" s="55" t="s">
        <v>74</v>
      </c>
      <c r="P33" s="643">
        <f>SUM(P30:Q32)</f>
        <v>39.592857142857142</v>
      </c>
      <c r="Q33" s="650"/>
      <c r="R33" s="56"/>
      <c r="S33" s="56"/>
      <c r="T33" s="56" t="s">
        <v>74</v>
      </c>
      <c r="U33" s="643">
        <f>SUM(U30:V32)</f>
        <v>64.342857142857142</v>
      </c>
      <c r="V33" s="644"/>
      <c r="X33" s="55" t="s">
        <v>74</v>
      </c>
      <c r="Y33" s="643">
        <f>SUM(Y30:Z32)</f>
        <v>79.185714285714283</v>
      </c>
      <c r="Z33" s="650"/>
      <c r="AA33" s="56"/>
      <c r="AB33" s="56"/>
      <c r="AC33" s="56" t="s">
        <v>74</v>
      </c>
      <c r="AD33" s="643">
        <f>SUM(AD30:AE32)</f>
        <v>128.68571428571428</v>
      </c>
      <c r="AE33" s="644"/>
      <c r="AG33" s="55" t="s">
        <v>74</v>
      </c>
      <c r="AH33" s="643">
        <f>SUM(AH30:AI32)</f>
        <v>118.77857142857142</v>
      </c>
      <c r="AI33" s="650"/>
      <c r="AJ33" s="56"/>
      <c r="AK33" s="56"/>
      <c r="AL33" s="56" t="s">
        <v>74</v>
      </c>
      <c r="AM33" s="643">
        <f>SUM(AM30:AN32)</f>
        <v>193.02857142857147</v>
      </c>
      <c r="AN33" s="644"/>
    </row>
    <row r="34" spans="1:40" ht="18.75" customHeight="1" x14ac:dyDescent="0.2"/>
    <row r="35" spans="1:40" ht="18.75" customHeight="1" thickBot="1" x14ac:dyDescent="0.25">
      <c r="M35" s="20"/>
    </row>
    <row r="36" spans="1:40" ht="18.75" customHeight="1" x14ac:dyDescent="0.25">
      <c r="M36" s="20"/>
      <c r="O36" s="658" t="s">
        <v>63</v>
      </c>
      <c r="P36" s="659"/>
      <c r="Q36" s="659"/>
      <c r="R36" s="28"/>
      <c r="S36" s="28"/>
      <c r="T36" s="28"/>
      <c r="U36" s="28"/>
      <c r="V36" s="29"/>
      <c r="X36" s="658" t="s">
        <v>63</v>
      </c>
      <c r="Y36" s="659"/>
      <c r="Z36" s="659"/>
      <c r="AA36" s="28"/>
      <c r="AB36" s="28"/>
      <c r="AC36" s="28"/>
      <c r="AD36" s="28"/>
      <c r="AE36" s="29"/>
      <c r="AG36" s="658" t="s">
        <v>63</v>
      </c>
      <c r="AH36" s="659"/>
      <c r="AI36" s="659"/>
      <c r="AJ36" s="28"/>
      <c r="AK36" s="28"/>
      <c r="AL36" s="28"/>
      <c r="AM36" s="28"/>
      <c r="AN36" s="29"/>
    </row>
    <row r="37" spans="1:40" ht="18.75" customHeight="1" x14ac:dyDescent="0.25">
      <c r="M37" s="20"/>
      <c r="O37" s="660" t="s">
        <v>64</v>
      </c>
      <c r="P37" s="661"/>
      <c r="Q37" s="661"/>
      <c r="R37" s="30"/>
      <c r="S37" s="30"/>
      <c r="T37" s="647" t="s">
        <v>65</v>
      </c>
      <c r="U37" s="648"/>
      <c r="V37" s="649"/>
      <c r="X37" s="660" t="s">
        <v>64</v>
      </c>
      <c r="Y37" s="661"/>
      <c r="Z37" s="661"/>
      <c r="AA37" s="30"/>
      <c r="AB37" s="30"/>
      <c r="AC37" s="647" t="s">
        <v>65</v>
      </c>
      <c r="AD37" s="648"/>
      <c r="AE37" s="649"/>
      <c r="AG37" s="660" t="s">
        <v>64</v>
      </c>
      <c r="AH37" s="661"/>
      <c r="AI37" s="661"/>
      <c r="AJ37" s="30"/>
      <c r="AK37" s="30"/>
      <c r="AL37" s="647" t="s">
        <v>65</v>
      </c>
      <c r="AM37" s="648"/>
      <c r="AN37" s="649"/>
    </row>
    <row r="38" spans="1:40" ht="18.75" customHeight="1" x14ac:dyDescent="0.2">
      <c r="M38" s="20"/>
      <c r="O38" s="59">
        <f>G11/U7</f>
        <v>0</v>
      </c>
      <c r="P38" s="60"/>
      <c r="Q38" s="60" t="s">
        <v>68</v>
      </c>
      <c r="R38" s="30"/>
      <c r="S38" s="30"/>
      <c r="T38" s="31">
        <f>O38</f>
        <v>0</v>
      </c>
      <c r="U38" s="33"/>
      <c r="V38" s="32" t="s">
        <v>68</v>
      </c>
      <c r="X38" s="59">
        <f>I11/U7</f>
        <v>0</v>
      </c>
      <c r="Y38" s="60"/>
      <c r="Z38" s="60" t="s">
        <v>68</v>
      </c>
      <c r="AA38" s="30"/>
      <c r="AB38" s="30"/>
      <c r="AC38" s="31">
        <f>X38</f>
        <v>0</v>
      </c>
      <c r="AD38" s="33"/>
      <c r="AE38" s="32" t="s">
        <v>68</v>
      </c>
      <c r="AG38" s="59">
        <f>M11/U7</f>
        <v>0</v>
      </c>
      <c r="AH38" s="60"/>
      <c r="AI38" s="60" t="s">
        <v>68</v>
      </c>
      <c r="AJ38" s="30"/>
      <c r="AK38" s="30"/>
      <c r="AL38" s="31">
        <f>AG38</f>
        <v>0</v>
      </c>
      <c r="AM38" s="33"/>
      <c r="AN38" s="32" t="s">
        <v>68</v>
      </c>
    </row>
    <row r="39" spans="1:40" ht="18.75" customHeight="1" x14ac:dyDescent="0.2">
      <c r="M39" s="20"/>
      <c r="O39" s="61">
        <f>IF($O$7=500,1,IF($O$7=330,2,IF($O$7=350,3)))</f>
        <v>3</v>
      </c>
      <c r="P39" s="60"/>
      <c r="Q39" s="60"/>
      <c r="R39" s="30"/>
      <c r="S39" s="30"/>
      <c r="T39" s="33">
        <f>O39</f>
        <v>3</v>
      </c>
      <c r="U39" s="33"/>
      <c r="V39" s="32"/>
      <c r="X39" s="61">
        <f>IF($O$7=500,1,IF($O$7=330,2,IF($O$7=350,3)))</f>
        <v>3</v>
      </c>
      <c r="Y39" s="60"/>
      <c r="Z39" s="60"/>
      <c r="AA39" s="30"/>
      <c r="AB39" s="30"/>
      <c r="AC39" s="33">
        <f>X39</f>
        <v>3</v>
      </c>
      <c r="AD39" s="33"/>
      <c r="AE39" s="32"/>
      <c r="AG39" s="61">
        <f>IF($O$7=500,1,IF($O$7=330,2,IF($O$7=350,3)))</f>
        <v>3</v>
      </c>
      <c r="AH39" s="60"/>
      <c r="AI39" s="60"/>
      <c r="AJ39" s="30"/>
      <c r="AK39" s="30"/>
      <c r="AL39" s="33">
        <f>AG39</f>
        <v>3</v>
      </c>
      <c r="AM39" s="33"/>
      <c r="AN39" s="32"/>
    </row>
    <row r="40" spans="1:40" ht="18.75" customHeight="1" x14ac:dyDescent="0.25">
      <c r="M40" s="20"/>
      <c r="O40" s="34" t="s">
        <v>71</v>
      </c>
      <c r="P40" s="35" t="str">
        <f>IF($O$19="","",IF($O$19=1,($E$22*(O38*0.7)),""))</f>
        <v/>
      </c>
      <c r="Q40" s="36" t="str">
        <f>IF(P40="","",($O$18/600)*17)</f>
        <v/>
      </c>
      <c r="R40" s="30"/>
      <c r="S40" s="30"/>
      <c r="T40" s="37" t="s">
        <v>71</v>
      </c>
      <c r="U40" s="38" t="str">
        <f>IF($O$19="","",IF($O$19=1,($J$22*(T38*0.7)),""))</f>
        <v/>
      </c>
      <c r="V40" s="63" t="str">
        <f>IF(U40="","",($T$18/600)*17)</f>
        <v/>
      </c>
      <c r="X40" s="34" t="s">
        <v>71</v>
      </c>
      <c r="Y40" s="35" t="str">
        <f>IF($O$19="","",IF($O$19=1,($E$22*(X38*0.7)),""))</f>
        <v/>
      </c>
      <c r="Z40" s="36" t="str">
        <f>IF(Y40="","",($X$18/600)*17)</f>
        <v/>
      </c>
      <c r="AA40" s="30"/>
      <c r="AB40" s="30"/>
      <c r="AC40" s="37" t="s">
        <v>71</v>
      </c>
      <c r="AD40" s="38" t="str">
        <f>IF($O$19="","",IF($O$19=1,($J$22*(AC38*0.7)),""))</f>
        <v/>
      </c>
      <c r="AE40" s="63" t="str">
        <f>IF(AD40="","",($X$18/600)*17)</f>
        <v/>
      </c>
      <c r="AG40" s="34" t="s">
        <v>71</v>
      </c>
      <c r="AH40" s="35" t="str">
        <f>IF($O$19="","",IF($O$19=1,($E$22*(AG38*0.7)),""))</f>
        <v/>
      </c>
      <c r="AI40" s="36" t="str">
        <f>IF(AH40="","",($AG$18/600)*17)</f>
        <v/>
      </c>
      <c r="AJ40" s="30"/>
      <c r="AK40" s="30"/>
      <c r="AL40" s="37" t="s">
        <v>71</v>
      </c>
      <c r="AM40" s="38" t="str">
        <f>IF($O$19="","",IF($O$19=1,($J$22*(AL38*0.7)),""))</f>
        <v/>
      </c>
      <c r="AN40" s="63" t="str">
        <f>IF(AM40="","",($AG$18/600)*17)</f>
        <v/>
      </c>
    </row>
    <row r="41" spans="1:40" ht="18.75" customHeight="1" x14ac:dyDescent="0.25">
      <c r="M41" s="20"/>
      <c r="O41" s="39" t="s">
        <v>72</v>
      </c>
      <c r="P41" s="35" t="str">
        <f>IF($O$19="","",IF($O$19=1,"",IF($O$19=2,($E$20*(O38*0.7)),"")))</f>
        <v/>
      </c>
      <c r="Q41" s="36" t="str">
        <f>IF(P41="","",($O$38/600)*17)</f>
        <v/>
      </c>
      <c r="R41" s="30"/>
      <c r="S41" s="30"/>
      <c r="T41" s="40" t="s">
        <v>72</v>
      </c>
      <c r="U41" s="38" t="str">
        <f>IF($O$19="","",IF($O$19=1,"",IF($O$19=2,($J$20*(T38*0.7)),"")))</f>
        <v/>
      </c>
      <c r="V41" s="63" t="str">
        <f>IF(U41="","",($T$38/600)*17)</f>
        <v/>
      </c>
      <c r="X41" s="39" t="s">
        <v>72</v>
      </c>
      <c r="Y41" s="35" t="str">
        <f>IF($O$19="","",IF($O$19=1,"",IF($O$19=2,($E$20*(X38*0.7)),"")))</f>
        <v/>
      </c>
      <c r="Z41" s="36" t="str">
        <f>IF(Y41="","",($X$18/600)*17)</f>
        <v/>
      </c>
      <c r="AA41" s="30"/>
      <c r="AB41" s="30"/>
      <c r="AC41" s="40" t="s">
        <v>72</v>
      </c>
      <c r="AD41" s="38" t="str">
        <f>IF($O$19="","",IF($O$19=1,"",IF($O$19=2,($J$20*(AC38*0.7)),"")))</f>
        <v/>
      </c>
      <c r="AE41" s="63" t="str">
        <f>IF(AD41="","",(AC38/600)*17)</f>
        <v/>
      </c>
      <c r="AG41" s="39" t="s">
        <v>72</v>
      </c>
      <c r="AH41" s="35" t="str">
        <f>IF($O$19="","",IF($O$19=1,"",IF($O$19=2,($E$20*(AG38*0.7)),"")))</f>
        <v/>
      </c>
      <c r="AI41" s="36" t="str">
        <f>IF(AH41="","",($AG$18/600)*17)</f>
        <v/>
      </c>
      <c r="AJ41" s="30"/>
      <c r="AK41" s="30"/>
      <c r="AL41" s="40" t="s">
        <v>72</v>
      </c>
      <c r="AM41" s="38" t="str">
        <f>IF($O$19="","",IF($O$19=1,"",IF($O$19=2,($J$20*(AL38*0.7)),"")))</f>
        <v/>
      </c>
      <c r="AN41" s="63" t="str">
        <f>IF(AM41="","",($AG$38/600)*17)</f>
        <v/>
      </c>
    </row>
    <row r="42" spans="1:40" ht="18.75" customHeight="1" x14ac:dyDescent="0.25">
      <c r="M42" s="20"/>
      <c r="O42" s="39" t="s">
        <v>73</v>
      </c>
      <c r="P42" s="35">
        <f>IF($O$19="","",IF($O$19=1,"",IF($O$19=2,"",IF($O$19=3,($E$21*(O38*0.5))))))</f>
        <v>0</v>
      </c>
      <c r="Q42" s="36">
        <f>IF(P42="","",($O$18/700)*17)</f>
        <v>12.142857142857142</v>
      </c>
      <c r="R42" s="30"/>
      <c r="S42" s="30"/>
      <c r="T42" s="40" t="s">
        <v>73</v>
      </c>
      <c r="U42" s="38">
        <f>IF($O$19="","",IF($O$19=1,"",IF($O$19=2,"",IF($O$19=3,($J$21*(T38*0.5)),""))))</f>
        <v>0</v>
      </c>
      <c r="V42" s="62">
        <f>IF(U42="","",($O$18/700)*17)</f>
        <v>12.142857142857142</v>
      </c>
      <c r="X42" s="39" t="s">
        <v>73</v>
      </c>
      <c r="Y42" s="35">
        <f>IF($O$19="","",IF($O$19=1,"",IF($O$19=2,"",IF($O$19=3,($E$21*(X38*0.5))))))</f>
        <v>0</v>
      </c>
      <c r="Z42" s="36">
        <f>IF(Y42="","",($X$18/600)*17)</f>
        <v>28.333333333333336</v>
      </c>
      <c r="AA42" s="30"/>
      <c r="AB42" s="30"/>
      <c r="AC42" s="40" t="s">
        <v>73</v>
      </c>
      <c r="AD42" s="38">
        <f>IF($O$19="","",IF($O$19=1,"",IF($O$19=2,"",IF($O$19=3,($J$21*(AC38*0.5)),""))))</f>
        <v>0</v>
      </c>
      <c r="AE42" s="63">
        <f>IF(AD42="","",($X$18/700)*17)</f>
        <v>24.285714285714285</v>
      </c>
      <c r="AG42" s="39" t="s">
        <v>73</v>
      </c>
      <c r="AH42" s="35">
        <f>IF($O$19="","",IF($O$19=1,"",IF($O$19=2,"",IF($O$19=3,($E$21*(AG38*0.5))))))</f>
        <v>0</v>
      </c>
      <c r="AI42" s="36">
        <f>IF(AH42="","",($AG$18/700)*17)</f>
        <v>36.428571428571431</v>
      </c>
      <c r="AJ42" s="30"/>
      <c r="AK42" s="30"/>
      <c r="AL42" s="40" t="s">
        <v>73</v>
      </c>
      <c r="AM42" s="38">
        <f>IF($O$19="","",IF($O$19=1,"",IF($O$19=2,"",IF($O$19=3,($J$21*(AL38*0.5)),""))))</f>
        <v>0</v>
      </c>
      <c r="AN42" s="63">
        <f>IF(AM42="","",($AG$18/700)*17)</f>
        <v>36.428571428571431</v>
      </c>
    </row>
    <row r="43" spans="1:40" ht="18.75" customHeight="1" thickBot="1" x14ac:dyDescent="0.3">
      <c r="M43" s="20"/>
      <c r="O43" s="41" t="s">
        <v>74</v>
      </c>
      <c r="P43" s="643">
        <f>SUM(P40:Q42)</f>
        <v>12.142857142857142</v>
      </c>
      <c r="Q43" s="650"/>
      <c r="R43" s="30"/>
      <c r="S43" s="30"/>
      <c r="T43" s="30" t="s">
        <v>74</v>
      </c>
      <c r="U43" s="643">
        <f>SUM(U40:V42)</f>
        <v>12.142857142857142</v>
      </c>
      <c r="V43" s="644"/>
      <c r="X43" s="41" t="s">
        <v>74</v>
      </c>
      <c r="Y43" s="643">
        <f>SUM(Y40:Z42)</f>
        <v>28.333333333333336</v>
      </c>
      <c r="Z43" s="650"/>
      <c r="AA43" s="30"/>
      <c r="AB43" s="30"/>
      <c r="AC43" s="30" t="s">
        <v>74</v>
      </c>
      <c r="AD43" s="643">
        <f>SUM(AD40:AE42)</f>
        <v>24.285714285714285</v>
      </c>
      <c r="AE43" s="644"/>
      <c r="AG43" s="41" t="s">
        <v>74</v>
      </c>
      <c r="AH43" s="643">
        <f>SUM(AH40:AI42)</f>
        <v>36.428571428571431</v>
      </c>
      <c r="AI43" s="650"/>
      <c r="AJ43" s="30"/>
      <c r="AK43" s="30"/>
      <c r="AL43" s="30" t="s">
        <v>74</v>
      </c>
      <c r="AM43" s="643">
        <f>SUM(AM40:AN42)</f>
        <v>36.428571428571431</v>
      </c>
      <c r="AN43" s="644"/>
    </row>
    <row r="44" spans="1:40" ht="9" customHeight="1" x14ac:dyDescent="0.2">
      <c r="O44" s="41"/>
      <c r="P44" s="30"/>
      <c r="Q44" s="30"/>
      <c r="R44" s="30"/>
      <c r="S44" s="30"/>
      <c r="T44" s="30"/>
      <c r="U44" s="30"/>
      <c r="V44" s="42"/>
      <c r="X44" s="41"/>
      <c r="Y44" s="30"/>
      <c r="Z44" s="30"/>
      <c r="AA44" s="30"/>
      <c r="AB44" s="30"/>
      <c r="AC44" s="30"/>
      <c r="AD44" s="30"/>
      <c r="AE44" s="42"/>
      <c r="AG44" s="41"/>
      <c r="AH44" s="30"/>
      <c r="AI44" s="30"/>
      <c r="AJ44" s="30"/>
      <c r="AK44" s="30"/>
      <c r="AL44" s="30"/>
      <c r="AM44" s="30"/>
      <c r="AN44" s="42"/>
    </row>
    <row r="45" spans="1:40" ht="8.25" customHeight="1" x14ac:dyDescent="0.2">
      <c r="M45" s="20"/>
      <c r="O45" s="41"/>
      <c r="P45" s="30"/>
      <c r="Q45" s="30"/>
      <c r="R45" s="30"/>
      <c r="S45" s="30"/>
      <c r="T45" s="30"/>
      <c r="U45" s="30"/>
      <c r="V45" s="42"/>
      <c r="X45" s="41"/>
      <c r="Y45" s="30"/>
      <c r="Z45" s="30"/>
      <c r="AA45" s="30"/>
      <c r="AB45" s="30"/>
      <c r="AC45" s="30"/>
      <c r="AD45" s="30"/>
      <c r="AE45" s="42"/>
      <c r="AG45" s="41"/>
      <c r="AH45" s="30"/>
      <c r="AI45" s="30"/>
      <c r="AJ45" s="30"/>
      <c r="AK45" s="30"/>
      <c r="AL45" s="30"/>
      <c r="AM45" s="30"/>
      <c r="AN45" s="42"/>
    </row>
    <row r="46" spans="1:40" ht="9.75" customHeight="1" x14ac:dyDescent="0.2">
      <c r="M46" s="20"/>
      <c r="O46" s="41"/>
      <c r="P46" s="30"/>
      <c r="Q46" s="30"/>
      <c r="R46" s="30"/>
      <c r="S46" s="30"/>
      <c r="T46" s="30"/>
      <c r="U46" s="30"/>
      <c r="V46" s="42"/>
      <c r="X46" s="41"/>
      <c r="Y46" s="30"/>
      <c r="Z46" s="30"/>
      <c r="AA46" s="30"/>
      <c r="AB46" s="30"/>
      <c r="AC46" s="30"/>
      <c r="AD46" s="30"/>
      <c r="AE46" s="42"/>
      <c r="AG46" s="41"/>
      <c r="AH46" s="30"/>
      <c r="AI46" s="30"/>
      <c r="AJ46" s="30"/>
      <c r="AK46" s="30"/>
      <c r="AL46" s="30"/>
      <c r="AM46" s="30"/>
      <c r="AN46" s="42"/>
    </row>
    <row r="47" spans="1:40" ht="18.75" customHeight="1" x14ac:dyDescent="0.25">
      <c r="M47" s="20"/>
      <c r="O47" s="651" t="s">
        <v>76</v>
      </c>
      <c r="P47" s="652"/>
      <c r="Q47" s="652"/>
      <c r="R47" s="30"/>
      <c r="S47" s="30"/>
      <c r="T47" s="653" t="s">
        <v>77</v>
      </c>
      <c r="U47" s="654"/>
      <c r="V47" s="655"/>
      <c r="X47" s="651" t="s">
        <v>76</v>
      </c>
      <c r="Y47" s="652"/>
      <c r="Z47" s="652"/>
      <c r="AA47" s="30"/>
      <c r="AB47" s="30"/>
      <c r="AC47" s="653" t="s">
        <v>77</v>
      </c>
      <c r="AD47" s="654"/>
      <c r="AE47" s="655"/>
      <c r="AG47" s="651" t="s">
        <v>76</v>
      </c>
      <c r="AH47" s="652"/>
      <c r="AI47" s="652"/>
      <c r="AJ47" s="30"/>
      <c r="AK47" s="30"/>
      <c r="AL47" s="653" t="s">
        <v>77</v>
      </c>
      <c r="AM47" s="654"/>
      <c r="AN47" s="655"/>
    </row>
    <row r="48" spans="1:40" ht="18.75" customHeight="1" x14ac:dyDescent="0.2">
      <c r="M48" s="20"/>
      <c r="O48" s="43">
        <f>O38</f>
        <v>0</v>
      </c>
      <c r="P48" s="44"/>
      <c r="Q48" s="44" t="s">
        <v>68</v>
      </c>
      <c r="R48" s="30"/>
      <c r="S48" s="30"/>
      <c r="T48" s="45">
        <f>O38</f>
        <v>0</v>
      </c>
      <c r="U48" s="46"/>
      <c r="V48" s="47" t="s">
        <v>68</v>
      </c>
      <c r="X48" s="43">
        <f>X38</f>
        <v>0</v>
      </c>
      <c r="Y48" s="44"/>
      <c r="Z48" s="44" t="s">
        <v>68</v>
      </c>
      <c r="AA48" s="30"/>
      <c r="AB48" s="30"/>
      <c r="AC48" s="45">
        <f>X38</f>
        <v>0</v>
      </c>
      <c r="AD48" s="46"/>
      <c r="AE48" s="47" t="s">
        <v>68</v>
      </c>
      <c r="AG48" s="43">
        <f>AG38</f>
        <v>0</v>
      </c>
      <c r="AH48" s="44"/>
      <c r="AI48" s="44" t="s">
        <v>68</v>
      </c>
      <c r="AJ48" s="30"/>
      <c r="AK48" s="30"/>
      <c r="AL48" s="45">
        <f>AG38</f>
        <v>0</v>
      </c>
      <c r="AM48" s="46"/>
      <c r="AN48" s="47" t="s">
        <v>68</v>
      </c>
    </row>
    <row r="49" spans="13:61" ht="18.75" customHeight="1" x14ac:dyDescent="0.2">
      <c r="M49" s="20"/>
      <c r="O49" s="48">
        <f>O39</f>
        <v>3</v>
      </c>
      <c r="P49" s="44"/>
      <c r="Q49" s="44"/>
      <c r="R49" s="30"/>
      <c r="S49" s="30"/>
      <c r="T49" s="46">
        <f>O39</f>
        <v>3</v>
      </c>
      <c r="U49" s="46"/>
      <c r="V49" s="47"/>
      <c r="X49" s="48">
        <f>X39</f>
        <v>3</v>
      </c>
      <c r="Y49" s="44"/>
      <c r="Z49" s="44"/>
      <c r="AA49" s="30"/>
      <c r="AB49" s="30"/>
      <c r="AC49" s="46">
        <f>X39</f>
        <v>3</v>
      </c>
      <c r="AD49" s="46"/>
      <c r="AE49" s="47"/>
      <c r="AG49" s="48">
        <f>AG39</f>
        <v>3</v>
      </c>
      <c r="AH49" s="44"/>
      <c r="AI49" s="44"/>
      <c r="AJ49" s="30"/>
      <c r="AK49" s="30"/>
      <c r="AL49" s="46">
        <f>AG39</f>
        <v>3</v>
      </c>
      <c r="AM49" s="46"/>
      <c r="AN49" s="47"/>
    </row>
    <row r="50" spans="13:61" ht="18.75" customHeight="1" x14ac:dyDescent="0.25">
      <c r="M50" s="20"/>
      <c r="O50" s="49" t="s">
        <v>71</v>
      </c>
      <c r="P50" s="50" t="str">
        <f>IF($O$19="","",IF($O$19=1,($E$33*(O38*0.7)),""))</f>
        <v/>
      </c>
      <c r="Q50" s="64" t="str">
        <f>IF(P50="","",($O$18/600)*17)</f>
        <v/>
      </c>
      <c r="R50" s="30"/>
      <c r="S50" s="30"/>
      <c r="T50" s="51" t="s">
        <v>71</v>
      </c>
      <c r="U50" s="52" t="str">
        <f>IF(T49="","",IF(T49=1,($J$33*(O38*0.7)),""))</f>
        <v/>
      </c>
      <c r="V50" s="65" t="str">
        <f>IF(U50="","",($O$28/600)*17)</f>
        <v/>
      </c>
      <c r="X50" s="49" t="s">
        <v>71</v>
      </c>
      <c r="Y50" s="50" t="str">
        <f>IF($O$19="","",IF($O$19=1,($E$33*(X38*0.7)),""))</f>
        <v/>
      </c>
      <c r="Z50" s="64" t="str">
        <f>IF(Y50="","",($X$18/600)*17)</f>
        <v/>
      </c>
      <c r="AA50" s="30"/>
      <c r="AB50" s="30"/>
      <c r="AC50" s="51" t="s">
        <v>71</v>
      </c>
      <c r="AD50" s="52" t="str">
        <f>IF(AC49="","",IF(AC49=1,($J$33*(X38*0.7)),""))</f>
        <v/>
      </c>
      <c r="AE50" s="65" t="str">
        <f>IF(AD50="","",($X$18/600)*17)</f>
        <v/>
      </c>
      <c r="AG50" s="49" t="s">
        <v>71</v>
      </c>
      <c r="AH50" s="50" t="str">
        <f>IF($O$19="","",IF($O$19=1,($E$33*(AG38*0.7)),""))</f>
        <v/>
      </c>
      <c r="AI50" s="64" t="str">
        <f>IF(AH50="","",($AG$18/600)*17)</f>
        <v/>
      </c>
      <c r="AJ50" s="30"/>
      <c r="AK50" s="30"/>
      <c r="AL50" s="51" t="s">
        <v>71</v>
      </c>
      <c r="AM50" s="52" t="str">
        <f>IF(AL49="","",IF(AL49=1,($J$33*(AG38*0.7)),""))</f>
        <v/>
      </c>
      <c r="AN50" s="65" t="str">
        <f>IF(AM50="","",($AG$18/600)*17)</f>
        <v/>
      </c>
    </row>
    <row r="51" spans="13:61" ht="18.75" customHeight="1" x14ac:dyDescent="0.25">
      <c r="M51" s="20"/>
      <c r="O51" s="53" t="s">
        <v>72</v>
      </c>
      <c r="P51" s="50" t="str">
        <f>IF($O$19="","",IF($O$19=1,"",IF($O$19=2,($E$30*(O38*0.7)),"")))</f>
        <v/>
      </c>
      <c r="Q51" s="64" t="str">
        <f>IF(P51="","",(O48/600)*17)</f>
        <v/>
      </c>
      <c r="R51" s="30"/>
      <c r="S51" s="30"/>
      <c r="T51" s="54" t="s">
        <v>72</v>
      </c>
      <c r="U51" s="52" t="str">
        <f>IF(O49="","",IF(T49=1,"",IF(T49=2,($J$30*(T38*0.7)),"")))</f>
        <v/>
      </c>
      <c r="V51" s="65" t="str">
        <f>IF(U51="","",(T48/600)*17)</f>
        <v/>
      </c>
      <c r="X51" s="53" t="s">
        <v>72</v>
      </c>
      <c r="Y51" s="50" t="str">
        <f>IF($O$19="","",IF($O$19=1,"",IF($O$19=2,($E$30*(X38*0.7)),"")))</f>
        <v/>
      </c>
      <c r="Z51" s="64" t="str">
        <f>IF(Y51="","",($X$48/600)*17)</f>
        <v/>
      </c>
      <c r="AA51" s="30"/>
      <c r="AB51" s="30"/>
      <c r="AC51" s="54" t="s">
        <v>72</v>
      </c>
      <c r="AD51" s="52" t="str">
        <f>IF(X49="","",IF(AC49=1,"",IF(AC49=2,($J$30*(AC38*0.7)),"")))</f>
        <v/>
      </c>
      <c r="AE51" s="65" t="str">
        <f>IF(AD51="","",($AC$48/600)*17)</f>
        <v/>
      </c>
      <c r="AG51" s="53" t="s">
        <v>72</v>
      </c>
      <c r="AH51" s="50" t="str">
        <f>IF($O$19="","",IF($O$19=1,"",IF($O$19=2,($E$30*(AG38*0.7)),"")))</f>
        <v/>
      </c>
      <c r="AI51" s="64" t="str">
        <f>IF(AH51="","",($AG$48/600)*17)</f>
        <v/>
      </c>
      <c r="AJ51" s="30"/>
      <c r="AK51" s="30"/>
      <c r="AL51" s="54" t="s">
        <v>72</v>
      </c>
      <c r="AM51" s="52" t="str">
        <f>IF(AG49="","",IF(AL49=1,"",IF(AL49=2,($J$30*(AL38*0.7)),"")))</f>
        <v/>
      </c>
      <c r="AN51" s="65" t="str">
        <f>IF(AM51="","",($AL$48/600)*17)</f>
        <v/>
      </c>
    </row>
    <row r="52" spans="13:61" ht="18.75" customHeight="1" x14ac:dyDescent="0.25">
      <c r="M52" s="20"/>
      <c r="O52" s="53" t="s">
        <v>73</v>
      </c>
      <c r="P52" s="50">
        <f>IF($O$19="","",IF($O$19=1,"",IF($O$19=2,"",IF($O$19=3,($E$30*(O38*0.5))))))</f>
        <v>0</v>
      </c>
      <c r="Q52" s="64">
        <f>IF(P52="","",($O$18/700)*17)</f>
        <v>12.142857142857142</v>
      </c>
      <c r="R52" s="30"/>
      <c r="S52" s="30"/>
      <c r="T52" s="54" t="s">
        <v>73</v>
      </c>
      <c r="U52" s="52">
        <f>IF(O49="","",IF(T49=1,"",IF(T49=2,"",IF(T49=3,($J$30*(T48*0.5)),""))))</f>
        <v>0</v>
      </c>
      <c r="V52" s="65">
        <f>IF(U52="","",($O$18/700)*17)</f>
        <v>12.142857142857142</v>
      </c>
      <c r="X52" s="53" t="s">
        <v>73</v>
      </c>
      <c r="Y52" s="50">
        <f>IF($O$19="","",IF($O$19=1,"",IF($O$19=2,"",IF($O$19=3,($E$30*(X38*0.5))))))</f>
        <v>0</v>
      </c>
      <c r="Z52" s="64">
        <f>IF(Y52="","",($X$18/700)*17)</f>
        <v>24.285714285714285</v>
      </c>
      <c r="AA52" s="30"/>
      <c r="AB52" s="30"/>
      <c r="AC52" s="54" t="s">
        <v>73</v>
      </c>
      <c r="AD52" s="52">
        <f>IF(X49="","",IF(AC49=1,"",IF(AC49=2,"",IF(AC49=3,($J$30*(AC48*0.5)),""))))</f>
        <v>0</v>
      </c>
      <c r="AE52" s="65">
        <f>IF(AD52="","",($X$18/700)*17)</f>
        <v>24.285714285714285</v>
      </c>
      <c r="AG52" s="53" t="s">
        <v>73</v>
      </c>
      <c r="AH52" s="50">
        <f>IF($O$19="","",IF($O$19=1,"",IF($O$19=2,"",IF($O$19=3,($E$30*(AG38*0.5))))))</f>
        <v>0</v>
      </c>
      <c r="AI52" s="64">
        <f>IF(AH52="","",($AG$18/700)*17)</f>
        <v>36.428571428571431</v>
      </c>
      <c r="AJ52" s="30"/>
      <c r="AK52" s="30"/>
      <c r="AL52" s="54" t="s">
        <v>73</v>
      </c>
      <c r="AM52" s="52">
        <f>IF(AG49="","",IF(AL49=1,"",IF(AL49=2,"",IF(AL49=3,($J$30*(AL48*0.5)),""))))</f>
        <v>0</v>
      </c>
      <c r="AN52" s="65">
        <f>IF(AM52="","",($AG$18/700)*17)</f>
        <v>36.428571428571431</v>
      </c>
    </row>
    <row r="53" spans="13:61" ht="18.75" customHeight="1" thickBot="1" x14ac:dyDescent="0.3">
      <c r="M53" s="20"/>
      <c r="O53" s="55" t="s">
        <v>74</v>
      </c>
      <c r="P53" s="643">
        <f>SUM(P50:Q52)</f>
        <v>12.142857142857142</v>
      </c>
      <c r="Q53" s="650"/>
      <c r="R53" s="56"/>
      <c r="S53" s="56"/>
      <c r="T53" s="56" t="s">
        <v>74</v>
      </c>
      <c r="U53" s="643">
        <f>SUM(U50:V52)</f>
        <v>12.142857142857142</v>
      </c>
      <c r="V53" s="644"/>
      <c r="X53" s="55" t="s">
        <v>74</v>
      </c>
      <c r="Y53" s="643">
        <f>SUM(Y50:Z52)</f>
        <v>24.285714285714285</v>
      </c>
      <c r="Z53" s="650"/>
      <c r="AA53" s="56"/>
      <c r="AB53" s="56"/>
      <c r="AC53" s="56" t="s">
        <v>74</v>
      </c>
      <c r="AD53" s="643">
        <f>SUM(AD50:AE52)</f>
        <v>24.285714285714285</v>
      </c>
      <c r="AE53" s="644"/>
      <c r="AG53" s="55" t="s">
        <v>74</v>
      </c>
      <c r="AH53" s="643">
        <f>SUM(AH50:AI52)</f>
        <v>36.428571428571431</v>
      </c>
      <c r="AI53" s="650"/>
      <c r="AJ53" s="56"/>
      <c r="AK53" s="56"/>
      <c r="AL53" s="56" t="s">
        <v>74</v>
      </c>
      <c r="AM53" s="643">
        <f>SUM(AM50:AN52)</f>
        <v>36.428571428571431</v>
      </c>
      <c r="AN53" s="644"/>
    </row>
    <row r="54" spans="13:61" ht="18.75" customHeight="1" x14ac:dyDescent="0.25">
      <c r="M54" s="20"/>
      <c r="N54" s="20"/>
      <c r="O54" s="523"/>
      <c r="P54" s="667"/>
      <c r="Q54" s="667"/>
      <c r="R54" s="20"/>
      <c r="S54" s="20"/>
      <c r="T54" s="20"/>
      <c r="U54" s="20"/>
      <c r="V54" s="20"/>
    </row>
    <row r="55" spans="13:61" ht="18.75" customHeight="1" x14ac:dyDescent="0.25">
      <c r="M55" s="20"/>
      <c r="N55" s="20"/>
      <c r="O55" s="668"/>
      <c r="P55" s="669"/>
      <c r="Q55" s="669"/>
      <c r="R55" s="20"/>
      <c r="S55" s="20"/>
      <c r="T55" s="668"/>
      <c r="U55" s="669"/>
      <c r="V55" s="669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</row>
    <row r="56" spans="13:61" x14ac:dyDescent="0.2">
      <c r="M56" s="20"/>
      <c r="N56" s="20"/>
      <c r="O56" s="230"/>
      <c r="P56" s="20"/>
      <c r="Q56" s="20"/>
      <c r="R56" s="20"/>
      <c r="S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3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30"/>
      <c r="BI56" s="20"/>
    </row>
    <row r="57" spans="13:61" ht="15" x14ac:dyDescent="0.2">
      <c r="M57" s="20"/>
      <c r="N57" s="20"/>
      <c r="O57" s="229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29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29"/>
      <c r="BI57" s="20"/>
    </row>
    <row r="58" spans="13:61" ht="15" x14ac:dyDescent="0.25">
      <c r="M58" s="20"/>
      <c r="N58" s="20"/>
      <c r="O58" s="22"/>
      <c r="P58" s="23"/>
      <c r="Q58" s="24"/>
      <c r="R58" s="20"/>
      <c r="S58" s="20"/>
      <c r="T58" s="22"/>
      <c r="U58" s="23"/>
      <c r="V58" s="25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</row>
    <row r="59" spans="13:61" ht="15" x14ac:dyDescent="0.25">
      <c r="M59" s="20"/>
      <c r="N59" s="20"/>
      <c r="O59" s="6"/>
      <c r="P59" s="23"/>
      <c r="Q59" s="24"/>
      <c r="R59" s="20"/>
      <c r="S59" s="20"/>
      <c r="T59" s="6"/>
      <c r="U59" s="23"/>
      <c r="V59" s="25"/>
    </row>
    <row r="60" spans="13:61" ht="15" x14ac:dyDescent="0.25">
      <c r="M60" s="20"/>
      <c r="N60" s="20"/>
      <c r="O60" s="6"/>
      <c r="P60" s="23"/>
      <c r="Q60" s="24"/>
      <c r="R60" s="20"/>
      <c r="S60" s="20"/>
      <c r="T60" s="6"/>
      <c r="U60" s="23"/>
      <c r="V60" s="25"/>
    </row>
    <row r="61" spans="13:61" ht="15" x14ac:dyDescent="0.25">
      <c r="M61" s="20"/>
      <c r="N61" s="20"/>
      <c r="O61" s="20"/>
      <c r="P61" s="670"/>
      <c r="Q61" s="670"/>
      <c r="R61" s="20"/>
      <c r="S61" s="20"/>
      <c r="T61" s="20"/>
      <c r="U61" s="670"/>
      <c r="V61" s="671"/>
    </row>
    <row r="62" spans="13:61" x14ac:dyDescent="0.2"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spans="13:61" x14ac:dyDescent="0.2"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spans="13:61" x14ac:dyDescent="0.2"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spans="13:22" ht="15" x14ac:dyDescent="0.25">
      <c r="M65" s="20"/>
      <c r="N65" s="20"/>
      <c r="O65" s="668"/>
      <c r="P65" s="669"/>
      <c r="Q65" s="669"/>
      <c r="R65" s="20"/>
      <c r="S65" s="20"/>
      <c r="T65" s="668"/>
      <c r="U65" s="669"/>
      <c r="V65" s="669"/>
    </row>
    <row r="66" spans="13:22" x14ac:dyDescent="0.2">
      <c r="M66" s="20"/>
      <c r="N66" s="20"/>
      <c r="P66" s="20"/>
      <c r="Q66" s="20"/>
      <c r="R66" s="20"/>
      <c r="S66" s="20"/>
      <c r="T66" s="21"/>
      <c r="U66" s="20"/>
      <c r="V66" s="20"/>
    </row>
    <row r="67" spans="13:22" x14ac:dyDescent="0.2">
      <c r="M67" s="20"/>
      <c r="N67" s="20"/>
      <c r="P67" s="20"/>
      <c r="Q67" s="20"/>
      <c r="R67" s="20"/>
      <c r="S67" s="20"/>
      <c r="T67" s="20"/>
      <c r="U67" s="20"/>
      <c r="V67" s="20"/>
    </row>
    <row r="68" spans="13:22" ht="15" x14ac:dyDescent="0.25">
      <c r="M68" s="20"/>
      <c r="N68" s="20"/>
      <c r="O68" s="22"/>
      <c r="P68" s="23"/>
      <c r="Q68" s="25"/>
      <c r="R68" s="20"/>
      <c r="S68" s="20"/>
      <c r="T68" s="22"/>
      <c r="U68" s="23"/>
      <c r="V68" s="25"/>
    </row>
    <row r="69" spans="13:22" ht="15" x14ac:dyDescent="0.25">
      <c r="M69" s="20"/>
      <c r="N69" s="20"/>
      <c r="O69" s="6"/>
      <c r="P69" s="23"/>
      <c r="Q69" s="25"/>
      <c r="R69" s="20"/>
      <c r="S69" s="20"/>
      <c r="T69" s="6"/>
      <c r="U69" s="23"/>
      <c r="V69" s="25"/>
    </row>
    <row r="70" spans="13:22" ht="15" x14ac:dyDescent="0.25">
      <c r="M70" s="20"/>
      <c r="N70" s="20"/>
      <c r="O70" s="6"/>
      <c r="P70" s="23"/>
      <c r="Q70" s="25"/>
      <c r="R70" s="20"/>
      <c r="S70" s="20"/>
      <c r="T70" s="6"/>
      <c r="U70" s="23"/>
      <c r="V70" s="25"/>
    </row>
    <row r="71" spans="13:22" ht="15" x14ac:dyDescent="0.25">
      <c r="M71" s="20"/>
      <c r="N71" s="20"/>
      <c r="O71" s="20"/>
      <c r="P71" s="670"/>
      <c r="Q71" s="671"/>
      <c r="R71" s="20"/>
      <c r="S71" s="20"/>
      <c r="T71" s="20"/>
      <c r="U71" s="670"/>
      <c r="V71" s="671"/>
    </row>
    <row r="72" spans="13:22" x14ac:dyDescent="0.2"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spans="13:22" x14ac:dyDescent="0.2">
      <c r="M73" s="20"/>
      <c r="N73" s="20"/>
      <c r="O73" s="20"/>
      <c r="P73" s="20"/>
      <c r="Q73" s="20"/>
      <c r="R73" s="20"/>
      <c r="S73" s="20"/>
      <c r="T73" s="20"/>
      <c r="U73" s="20"/>
      <c r="V73" s="20"/>
    </row>
  </sheetData>
  <mergeCells count="72">
    <mergeCell ref="AL47:AN47"/>
    <mergeCell ref="P53:Q53"/>
    <mergeCell ref="U53:V53"/>
    <mergeCell ref="Y53:Z53"/>
    <mergeCell ref="AD53:AE53"/>
    <mergeCell ref="AH53:AI53"/>
    <mergeCell ref="AM53:AN53"/>
    <mergeCell ref="O47:Q47"/>
    <mergeCell ref="T47:V47"/>
    <mergeCell ref="X47:Z47"/>
    <mergeCell ref="AC47:AE47"/>
    <mergeCell ref="AG47:AI47"/>
    <mergeCell ref="AL37:AN37"/>
    <mergeCell ref="P43:Q43"/>
    <mergeCell ref="U43:V43"/>
    <mergeCell ref="Y43:Z43"/>
    <mergeCell ref="AD43:AE43"/>
    <mergeCell ref="AH43:AI43"/>
    <mergeCell ref="AM43:AN43"/>
    <mergeCell ref="X36:Z36"/>
    <mergeCell ref="AG36:AI36"/>
    <mergeCell ref="O37:Q37"/>
    <mergeCell ref="T37:V37"/>
    <mergeCell ref="X37:Z37"/>
    <mergeCell ref="AC37:AE37"/>
    <mergeCell ref="AG37:AI37"/>
    <mergeCell ref="P61:Q61"/>
    <mergeCell ref="U61:V61"/>
    <mergeCell ref="O65:Q65"/>
    <mergeCell ref="T65:V65"/>
    <mergeCell ref="P71:Q71"/>
    <mergeCell ref="U71:V71"/>
    <mergeCell ref="O54:Q54"/>
    <mergeCell ref="O55:Q55"/>
    <mergeCell ref="T55:V55"/>
    <mergeCell ref="O36:Q36"/>
    <mergeCell ref="D28:E28"/>
    <mergeCell ref="I28:J28"/>
    <mergeCell ref="P33:Q33"/>
    <mergeCell ref="D18:E18"/>
    <mergeCell ref="I18:J18"/>
    <mergeCell ref="P23:Q23"/>
    <mergeCell ref="U23:V23"/>
    <mergeCell ref="A15:F15"/>
    <mergeCell ref="O16:Q16"/>
    <mergeCell ref="A17:C17"/>
    <mergeCell ref="G17:H17"/>
    <mergeCell ref="O17:Q17"/>
    <mergeCell ref="AG16:AI16"/>
    <mergeCell ref="AG17:AI17"/>
    <mergeCell ref="AH33:AI33"/>
    <mergeCell ref="X16:Z16"/>
    <mergeCell ref="X17:Z17"/>
    <mergeCell ref="AC17:AE17"/>
    <mergeCell ref="Y23:Z23"/>
    <mergeCell ref="AD23:AE23"/>
    <mergeCell ref="AM33:AN33"/>
    <mergeCell ref="A27:C27"/>
    <mergeCell ref="AL17:AN17"/>
    <mergeCell ref="AH23:AI23"/>
    <mergeCell ref="AM23:AN23"/>
    <mergeCell ref="AG27:AI27"/>
    <mergeCell ref="AL27:AN27"/>
    <mergeCell ref="X27:Z27"/>
    <mergeCell ref="AC27:AE27"/>
    <mergeCell ref="Y33:Z33"/>
    <mergeCell ref="AD33:AE33"/>
    <mergeCell ref="G27:H27"/>
    <mergeCell ref="O27:Q27"/>
    <mergeCell ref="T27:V27"/>
    <mergeCell ref="T17:V17"/>
    <mergeCell ref="U33:V33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Z29"/>
  <sheetViews>
    <sheetView workbookViewId="0">
      <selection activeCell="E9" sqref="E9:G9"/>
    </sheetView>
  </sheetViews>
  <sheetFormatPr defaultRowHeight="15" x14ac:dyDescent="0.25"/>
  <cols>
    <col min="1" max="1" width="9.140625" style="90"/>
    <col min="2" max="2" width="19.42578125" style="90" customWidth="1"/>
    <col min="3" max="3" width="9.140625" style="90"/>
    <col min="4" max="4" width="2" style="90" customWidth="1"/>
    <col min="5" max="5" width="11.42578125" style="90" customWidth="1"/>
    <col min="6" max="6" width="1.7109375" style="90" customWidth="1"/>
    <col min="7" max="7" width="12.28515625" style="90" customWidth="1"/>
    <col min="8" max="8" width="8.28515625" style="90" customWidth="1"/>
    <col min="9" max="9" width="6.28515625" style="90" customWidth="1"/>
    <col min="10" max="19" width="2.7109375" style="90" customWidth="1"/>
    <col min="20" max="20" width="1.5703125" style="90" customWidth="1"/>
    <col min="21" max="23" width="2.7109375" style="90" customWidth="1"/>
    <col min="24" max="24" width="2" style="90" customWidth="1"/>
    <col min="25" max="25" width="1.7109375" style="90" customWidth="1"/>
    <col min="26" max="26" width="21.28515625" style="90" customWidth="1"/>
    <col min="27" max="16384" width="9.140625" style="90"/>
  </cols>
  <sheetData>
    <row r="2" spans="2:26" ht="18" thickBot="1" x14ac:dyDescent="0.3">
      <c r="E2" s="678" t="s">
        <v>103</v>
      </c>
      <c r="F2" s="678"/>
      <c r="G2" s="678"/>
      <c r="H2" s="679">
        <f>(C17+C18+C19+C20)</f>
        <v>27.3</v>
      </c>
      <c r="I2" s="680"/>
      <c r="Z2" s="90" t="s">
        <v>241</v>
      </c>
    </row>
    <row r="3" spans="2:26" ht="18" thickBot="1" x14ac:dyDescent="0.3">
      <c r="E3" s="635" t="s">
        <v>102</v>
      </c>
      <c r="F3" s="635"/>
      <c r="G3" s="635"/>
      <c r="H3" s="681">
        <v>0.26</v>
      </c>
      <c r="I3" s="682"/>
      <c r="O3" s="635" t="s">
        <v>108</v>
      </c>
      <c r="P3" s="641"/>
      <c r="Q3" s="641"/>
      <c r="R3" s="641"/>
      <c r="S3" s="641"/>
      <c r="T3" s="641"/>
      <c r="U3" s="641"/>
      <c r="V3" s="641"/>
    </row>
    <row r="4" spans="2:26" ht="15.75" thickBot="1" x14ac:dyDescent="0.3">
      <c r="E4" s="683" t="s">
        <v>104</v>
      </c>
      <c r="F4" s="683"/>
      <c r="G4" s="683"/>
      <c r="O4" s="672" t="str">
        <f>IF(E6="","",((H7*0.0095)))</f>
        <v/>
      </c>
      <c r="P4" s="673"/>
      <c r="Q4" s="673"/>
      <c r="R4" s="673"/>
      <c r="S4" s="673"/>
      <c r="T4" s="90" t="s">
        <v>91</v>
      </c>
      <c r="U4" s="692">
        <v>1</v>
      </c>
      <c r="V4" s="693"/>
      <c r="W4" s="693"/>
      <c r="X4" s="693"/>
      <c r="Y4" s="693"/>
    </row>
    <row r="5" spans="2:26" ht="15.75" x14ac:dyDescent="0.25">
      <c r="E5" s="91" t="s">
        <v>105</v>
      </c>
      <c r="O5" s="674" t="str">
        <f>IF(H8="","",((O4*PONUDBA!$G$19)*1.1))</f>
        <v/>
      </c>
      <c r="P5" s="675"/>
      <c r="Q5" s="675"/>
      <c r="R5" s="675"/>
      <c r="S5" s="675"/>
      <c r="U5" s="635" t="s">
        <v>235</v>
      </c>
      <c r="V5" s="641"/>
      <c r="W5" s="641"/>
      <c r="X5" s="641"/>
      <c r="Y5" s="641"/>
      <c r="Z5" s="641"/>
    </row>
    <row r="6" spans="2:26" x14ac:dyDescent="0.25">
      <c r="E6" s="114"/>
      <c r="F6" s="90" t="s">
        <v>91</v>
      </c>
      <c r="G6" s="114"/>
      <c r="H6" s="93" t="str">
        <f>IF(E6="","",IF(E6*G6&lt;30,30,(E6*G6)))</f>
        <v/>
      </c>
      <c r="O6" s="635"/>
      <c r="P6" s="641"/>
      <c r="Q6" s="641"/>
      <c r="R6" s="641"/>
      <c r="S6" s="641"/>
      <c r="Z6" s="91" t="str">
        <f>IF(H11="","",H11)</f>
        <v/>
      </c>
    </row>
    <row r="7" spans="2:26" x14ac:dyDescent="0.25">
      <c r="H7" s="317" t="str">
        <f>IF(E6="","",(E6*G6)/100)</f>
        <v/>
      </c>
      <c r="O7" s="635"/>
      <c r="P7" s="641"/>
      <c r="Q7" s="641"/>
      <c r="R7" s="641"/>
      <c r="S7" s="641"/>
    </row>
    <row r="8" spans="2:26" ht="16.5" thickBot="1" x14ac:dyDescent="0.3">
      <c r="E8" s="605" t="s">
        <v>106</v>
      </c>
      <c r="F8" s="605"/>
      <c r="G8" s="605"/>
      <c r="H8" s="686" t="str">
        <f>IF(H6="","",IF(H6&lt;=30,H2,H6*H3+H2))</f>
        <v/>
      </c>
      <c r="I8" s="686"/>
      <c r="O8" s="690" t="str">
        <f>IF(H7="","",(H7*PONUDBA!G19)*1.05)</f>
        <v/>
      </c>
      <c r="P8" s="691"/>
      <c r="Q8" s="691"/>
      <c r="R8" s="691"/>
      <c r="S8" s="691"/>
      <c r="U8" s="635" t="s">
        <v>242</v>
      </c>
      <c r="V8" s="641"/>
      <c r="W8" s="641"/>
      <c r="X8" s="641"/>
      <c r="Y8" s="641"/>
      <c r="Z8" s="641"/>
    </row>
    <row r="9" spans="2:26" ht="15.75" thickBot="1" x14ac:dyDescent="0.3">
      <c r="E9" s="659" t="s">
        <v>107</v>
      </c>
      <c r="F9" s="659"/>
      <c r="G9" s="659"/>
      <c r="H9" s="687"/>
      <c r="I9" s="688"/>
    </row>
    <row r="11" spans="2:26" ht="19.5" thickBot="1" x14ac:dyDescent="0.35">
      <c r="E11" s="635" t="s">
        <v>50</v>
      </c>
      <c r="F11" s="635"/>
      <c r="G11" s="635"/>
      <c r="H11" s="689" t="str">
        <f>IF(H9="",H8,H8*H9)</f>
        <v/>
      </c>
      <c r="I11" s="689"/>
    </row>
    <row r="16" spans="2:26" x14ac:dyDescent="0.25">
      <c r="B16" s="94" t="s">
        <v>84</v>
      </c>
      <c r="C16" s="95"/>
      <c r="E16" s="94" t="s">
        <v>85</v>
      </c>
      <c r="F16" s="96"/>
      <c r="G16" s="96"/>
      <c r="H16" s="96"/>
      <c r="I16" s="95"/>
    </row>
    <row r="17" spans="2:22" x14ac:dyDescent="0.25">
      <c r="B17" s="97" t="s">
        <v>86</v>
      </c>
      <c r="C17" s="98">
        <v>7.8</v>
      </c>
      <c r="E17" s="99" t="s">
        <v>87</v>
      </c>
      <c r="F17" s="100" t="s">
        <v>88</v>
      </c>
      <c r="G17" s="101" t="s">
        <v>89</v>
      </c>
      <c r="H17" s="100"/>
      <c r="I17" s="102"/>
    </row>
    <row r="18" spans="2:22" ht="26.25" x14ac:dyDescent="0.4">
      <c r="B18" s="97" t="s">
        <v>90</v>
      </c>
      <c r="C18" s="98">
        <v>2.5</v>
      </c>
      <c r="E18" s="103">
        <v>100</v>
      </c>
      <c r="F18" s="104" t="s">
        <v>91</v>
      </c>
      <c r="G18" s="105">
        <v>190</v>
      </c>
      <c r="H18" s="106" t="s">
        <v>92</v>
      </c>
      <c r="I18" s="685">
        <f>E18*G18/100</f>
        <v>190</v>
      </c>
      <c r="J18" s="635"/>
      <c r="K18" s="635"/>
      <c r="N18" s="90" t="s">
        <v>93</v>
      </c>
    </row>
    <row r="19" spans="2:22" x14ac:dyDescent="0.25">
      <c r="B19" s="97" t="s">
        <v>94</v>
      </c>
      <c r="C19" s="98">
        <v>4.5</v>
      </c>
      <c r="E19" s="92" t="s">
        <v>95</v>
      </c>
      <c r="F19" s="92"/>
      <c r="G19" s="7" t="s">
        <v>95</v>
      </c>
    </row>
    <row r="20" spans="2:22" x14ac:dyDescent="0.25">
      <c r="B20" s="97" t="s">
        <v>96</v>
      </c>
      <c r="C20" s="98">
        <v>12.5</v>
      </c>
    </row>
    <row r="21" spans="2:22" x14ac:dyDescent="0.25">
      <c r="B21" s="97"/>
      <c r="C21" s="98"/>
      <c r="E21" s="94" t="s">
        <v>97</v>
      </c>
      <c r="F21" s="96"/>
      <c r="G21" s="96"/>
      <c r="H21" s="96"/>
      <c r="I21" s="95"/>
    </row>
    <row r="22" spans="2:22" ht="23.25" x14ac:dyDescent="0.35">
      <c r="B22" s="107" t="s">
        <v>98</v>
      </c>
      <c r="C22" s="108">
        <f>SUM(C17:C19)</f>
        <v>14.8</v>
      </c>
      <c r="E22" s="109">
        <f>C22</f>
        <v>14.8</v>
      </c>
      <c r="F22" s="110" t="s">
        <v>99</v>
      </c>
      <c r="G22" s="111">
        <f>C23*(I18-30)+C20</f>
        <v>54.1</v>
      </c>
      <c r="H22" s="110" t="s">
        <v>100</v>
      </c>
      <c r="I22" s="684">
        <f>E22+G22</f>
        <v>68.900000000000006</v>
      </c>
      <c r="J22" s="635"/>
      <c r="K22" s="635"/>
    </row>
    <row r="23" spans="2:22" x14ac:dyDescent="0.25">
      <c r="B23" s="112" t="s">
        <v>101</v>
      </c>
      <c r="C23" s="113">
        <v>0.26</v>
      </c>
    </row>
    <row r="29" spans="2:22" x14ac:dyDescent="0.25">
      <c r="R29" s="676" t="str">
        <f>IF(O4="","",O4)</f>
        <v/>
      </c>
      <c r="S29" s="677"/>
      <c r="T29" s="677"/>
      <c r="U29" s="677"/>
      <c r="V29" s="677"/>
    </row>
  </sheetData>
  <mergeCells count="23">
    <mergeCell ref="R29:V29"/>
    <mergeCell ref="E2:G2"/>
    <mergeCell ref="H2:I2"/>
    <mergeCell ref="H3:I3"/>
    <mergeCell ref="E4:G4"/>
    <mergeCell ref="I22:K22"/>
    <mergeCell ref="I18:K18"/>
    <mergeCell ref="E3:G3"/>
    <mergeCell ref="H8:I8"/>
    <mergeCell ref="E8:G8"/>
    <mergeCell ref="E9:G9"/>
    <mergeCell ref="H9:I9"/>
    <mergeCell ref="E11:G11"/>
    <mergeCell ref="H11:I11"/>
    <mergeCell ref="O8:S8"/>
    <mergeCell ref="U4:Y4"/>
    <mergeCell ref="U8:Z8"/>
    <mergeCell ref="O3:V3"/>
    <mergeCell ref="O4:S4"/>
    <mergeCell ref="O5:S5"/>
    <mergeCell ref="O6:S6"/>
    <mergeCell ref="O7:S7"/>
    <mergeCell ref="U5:Z5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92"/>
  <sheetViews>
    <sheetView workbookViewId="0">
      <selection activeCell="H4" sqref="H4"/>
    </sheetView>
  </sheetViews>
  <sheetFormatPr defaultRowHeight="15" x14ac:dyDescent="0.25"/>
  <cols>
    <col min="1" max="1" width="23.5703125" customWidth="1"/>
    <col min="4" max="4" width="11.85546875" customWidth="1"/>
    <col min="5" max="5" width="11.42578125" customWidth="1"/>
    <col min="7" max="7" width="5.7109375" customWidth="1"/>
    <col min="8" max="8" width="17.140625" customWidth="1"/>
    <col min="9" max="9" width="15.5703125" customWidth="1"/>
    <col min="13" max="13" width="11.5703125" customWidth="1"/>
    <col min="14" max="14" width="9.28515625" customWidth="1"/>
    <col min="15" max="15" width="6" customWidth="1"/>
    <col min="16" max="16" width="7.140625" customWidth="1"/>
    <col min="20" max="20" width="10.140625" customWidth="1"/>
    <col min="257" max="257" width="23.5703125" customWidth="1"/>
    <col min="260" max="260" width="11.85546875" customWidth="1"/>
    <col min="261" max="261" width="11.42578125" customWidth="1"/>
    <col min="263" max="263" width="5.7109375" customWidth="1"/>
    <col min="264" max="264" width="17.140625" customWidth="1"/>
    <col min="265" max="265" width="15.5703125" customWidth="1"/>
    <col min="269" max="269" width="11.5703125" customWidth="1"/>
    <col min="270" max="270" width="9.28515625" customWidth="1"/>
    <col min="271" max="271" width="6" customWidth="1"/>
    <col min="272" max="272" width="7.140625" customWidth="1"/>
    <col min="276" max="276" width="10.140625" customWidth="1"/>
    <col min="513" max="513" width="23.5703125" customWidth="1"/>
    <col min="516" max="516" width="11.85546875" customWidth="1"/>
    <col min="517" max="517" width="11.42578125" customWidth="1"/>
    <col min="519" max="519" width="5.7109375" customWidth="1"/>
    <col min="520" max="520" width="17.140625" customWidth="1"/>
    <col min="521" max="521" width="15.5703125" customWidth="1"/>
    <col min="525" max="525" width="11.5703125" customWidth="1"/>
    <col min="526" max="526" width="9.28515625" customWidth="1"/>
    <col min="527" max="527" width="6" customWidth="1"/>
    <col min="528" max="528" width="7.140625" customWidth="1"/>
    <col min="532" max="532" width="10.140625" customWidth="1"/>
    <col min="769" max="769" width="23.5703125" customWidth="1"/>
    <col min="772" max="772" width="11.85546875" customWidth="1"/>
    <col min="773" max="773" width="11.42578125" customWidth="1"/>
    <col min="775" max="775" width="5.7109375" customWidth="1"/>
    <col min="776" max="776" width="17.140625" customWidth="1"/>
    <col min="777" max="777" width="15.5703125" customWidth="1"/>
    <col min="781" max="781" width="11.5703125" customWidth="1"/>
    <col min="782" max="782" width="9.28515625" customWidth="1"/>
    <col min="783" max="783" width="6" customWidth="1"/>
    <col min="784" max="784" width="7.140625" customWidth="1"/>
    <col min="788" max="788" width="10.140625" customWidth="1"/>
    <col min="1025" max="1025" width="23.5703125" customWidth="1"/>
    <col min="1028" max="1028" width="11.85546875" customWidth="1"/>
    <col min="1029" max="1029" width="11.42578125" customWidth="1"/>
    <col min="1031" max="1031" width="5.7109375" customWidth="1"/>
    <col min="1032" max="1032" width="17.140625" customWidth="1"/>
    <col min="1033" max="1033" width="15.5703125" customWidth="1"/>
    <col min="1037" max="1037" width="11.5703125" customWidth="1"/>
    <col min="1038" max="1038" width="9.28515625" customWidth="1"/>
    <col min="1039" max="1039" width="6" customWidth="1"/>
    <col min="1040" max="1040" width="7.140625" customWidth="1"/>
    <col min="1044" max="1044" width="10.140625" customWidth="1"/>
    <col min="1281" max="1281" width="23.5703125" customWidth="1"/>
    <col min="1284" max="1284" width="11.85546875" customWidth="1"/>
    <col min="1285" max="1285" width="11.42578125" customWidth="1"/>
    <col min="1287" max="1287" width="5.7109375" customWidth="1"/>
    <col min="1288" max="1288" width="17.140625" customWidth="1"/>
    <col min="1289" max="1289" width="15.5703125" customWidth="1"/>
    <col min="1293" max="1293" width="11.5703125" customWidth="1"/>
    <col min="1294" max="1294" width="9.28515625" customWidth="1"/>
    <col min="1295" max="1295" width="6" customWidth="1"/>
    <col min="1296" max="1296" width="7.140625" customWidth="1"/>
    <col min="1300" max="1300" width="10.140625" customWidth="1"/>
    <col min="1537" max="1537" width="23.5703125" customWidth="1"/>
    <col min="1540" max="1540" width="11.85546875" customWidth="1"/>
    <col min="1541" max="1541" width="11.42578125" customWidth="1"/>
    <col min="1543" max="1543" width="5.7109375" customWidth="1"/>
    <col min="1544" max="1544" width="17.140625" customWidth="1"/>
    <col min="1545" max="1545" width="15.5703125" customWidth="1"/>
    <col min="1549" max="1549" width="11.5703125" customWidth="1"/>
    <col min="1550" max="1550" width="9.28515625" customWidth="1"/>
    <col min="1551" max="1551" width="6" customWidth="1"/>
    <col min="1552" max="1552" width="7.140625" customWidth="1"/>
    <col min="1556" max="1556" width="10.140625" customWidth="1"/>
    <col min="1793" max="1793" width="23.5703125" customWidth="1"/>
    <col min="1796" max="1796" width="11.85546875" customWidth="1"/>
    <col min="1797" max="1797" width="11.42578125" customWidth="1"/>
    <col min="1799" max="1799" width="5.7109375" customWidth="1"/>
    <col min="1800" max="1800" width="17.140625" customWidth="1"/>
    <col min="1801" max="1801" width="15.5703125" customWidth="1"/>
    <col min="1805" max="1805" width="11.5703125" customWidth="1"/>
    <col min="1806" max="1806" width="9.28515625" customWidth="1"/>
    <col min="1807" max="1807" width="6" customWidth="1"/>
    <col min="1808" max="1808" width="7.140625" customWidth="1"/>
    <col min="1812" max="1812" width="10.140625" customWidth="1"/>
    <col min="2049" max="2049" width="23.5703125" customWidth="1"/>
    <col min="2052" max="2052" width="11.85546875" customWidth="1"/>
    <col min="2053" max="2053" width="11.42578125" customWidth="1"/>
    <col min="2055" max="2055" width="5.7109375" customWidth="1"/>
    <col min="2056" max="2056" width="17.140625" customWidth="1"/>
    <col min="2057" max="2057" width="15.5703125" customWidth="1"/>
    <col min="2061" max="2061" width="11.5703125" customWidth="1"/>
    <col min="2062" max="2062" width="9.28515625" customWidth="1"/>
    <col min="2063" max="2063" width="6" customWidth="1"/>
    <col min="2064" max="2064" width="7.140625" customWidth="1"/>
    <col min="2068" max="2068" width="10.140625" customWidth="1"/>
    <col min="2305" max="2305" width="23.5703125" customWidth="1"/>
    <col min="2308" max="2308" width="11.85546875" customWidth="1"/>
    <col min="2309" max="2309" width="11.42578125" customWidth="1"/>
    <col min="2311" max="2311" width="5.7109375" customWidth="1"/>
    <col min="2312" max="2312" width="17.140625" customWidth="1"/>
    <col min="2313" max="2313" width="15.5703125" customWidth="1"/>
    <col min="2317" max="2317" width="11.5703125" customWidth="1"/>
    <col min="2318" max="2318" width="9.28515625" customWidth="1"/>
    <col min="2319" max="2319" width="6" customWidth="1"/>
    <col min="2320" max="2320" width="7.140625" customWidth="1"/>
    <col min="2324" max="2324" width="10.140625" customWidth="1"/>
    <col min="2561" max="2561" width="23.5703125" customWidth="1"/>
    <col min="2564" max="2564" width="11.85546875" customWidth="1"/>
    <col min="2565" max="2565" width="11.42578125" customWidth="1"/>
    <col min="2567" max="2567" width="5.7109375" customWidth="1"/>
    <col min="2568" max="2568" width="17.140625" customWidth="1"/>
    <col min="2569" max="2569" width="15.5703125" customWidth="1"/>
    <col min="2573" max="2573" width="11.5703125" customWidth="1"/>
    <col min="2574" max="2574" width="9.28515625" customWidth="1"/>
    <col min="2575" max="2575" width="6" customWidth="1"/>
    <col min="2576" max="2576" width="7.140625" customWidth="1"/>
    <col min="2580" max="2580" width="10.140625" customWidth="1"/>
    <col min="2817" max="2817" width="23.5703125" customWidth="1"/>
    <col min="2820" max="2820" width="11.85546875" customWidth="1"/>
    <col min="2821" max="2821" width="11.42578125" customWidth="1"/>
    <col min="2823" max="2823" width="5.7109375" customWidth="1"/>
    <col min="2824" max="2824" width="17.140625" customWidth="1"/>
    <col min="2825" max="2825" width="15.5703125" customWidth="1"/>
    <col min="2829" max="2829" width="11.5703125" customWidth="1"/>
    <col min="2830" max="2830" width="9.28515625" customWidth="1"/>
    <col min="2831" max="2831" width="6" customWidth="1"/>
    <col min="2832" max="2832" width="7.140625" customWidth="1"/>
    <col min="2836" max="2836" width="10.140625" customWidth="1"/>
    <col min="3073" max="3073" width="23.5703125" customWidth="1"/>
    <col min="3076" max="3076" width="11.85546875" customWidth="1"/>
    <col min="3077" max="3077" width="11.42578125" customWidth="1"/>
    <col min="3079" max="3079" width="5.7109375" customWidth="1"/>
    <col min="3080" max="3080" width="17.140625" customWidth="1"/>
    <col min="3081" max="3081" width="15.5703125" customWidth="1"/>
    <col min="3085" max="3085" width="11.5703125" customWidth="1"/>
    <col min="3086" max="3086" width="9.28515625" customWidth="1"/>
    <col min="3087" max="3087" width="6" customWidth="1"/>
    <col min="3088" max="3088" width="7.140625" customWidth="1"/>
    <col min="3092" max="3092" width="10.140625" customWidth="1"/>
    <col min="3329" max="3329" width="23.5703125" customWidth="1"/>
    <col min="3332" max="3332" width="11.85546875" customWidth="1"/>
    <col min="3333" max="3333" width="11.42578125" customWidth="1"/>
    <col min="3335" max="3335" width="5.7109375" customWidth="1"/>
    <col min="3336" max="3336" width="17.140625" customWidth="1"/>
    <col min="3337" max="3337" width="15.5703125" customWidth="1"/>
    <col min="3341" max="3341" width="11.5703125" customWidth="1"/>
    <col min="3342" max="3342" width="9.28515625" customWidth="1"/>
    <col min="3343" max="3343" width="6" customWidth="1"/>
    <col min="3344" max="3344" width="7.140625" customWidth="1"/>
    <col min="3348" max="3348" width="10.140625" customWidth="1"/>
    <col min="3585" max="3585" width="23.5703125" customWidth="1"/>
    <col min="3588" max="3588" width="11.85546875" customWidth="1"/>
    <col min="3589" max="3589" width="11.42578125" customWidth="1"/>
    <col min="3591" max="3591" width="5.7109375" customWidth="1"/>
    <col min="3592" max="3592" width="17.140625" customWidth="1"/>
    <col min="3593" max="3593" width="15.5703125" customWidth="1"/>
    <col min="3597" max="3597" width="11.5703125" customWidth="1"/>
    <col min="3598" max="3598" width="9.28515625" customWidth="1"/>
    <col min="3599" max="3599" width="6" customWidth="1"/>
    <col min="3600" max="3600" width="7.140625" customWidth="1"/>
    <col min="3604" max="3604" width="10.140625" customWidth="1"/>
    <col min="3841" max="3841" width="23.5703125" customWidth="1"/>
    <col min="3844" max="3844" width="11.85546875" customWidth="1"/>
    <col min="3845" max="3845" width="11.42578125" customWidth="1"/>
    <col min="3847" max="3847" width="5.7109375" customWidth="1"/>
    <col min="3848" max="3848" width="17.140625" customWidth="1"/>
    <col min="3849" max="3849" width="15.5703125" customWidth="1"/>
    <col min="3853" max="3853" width="11.5703125" customWidth="1"/>
    <col min="3854" max="3854" width="9.28515625" customWidth="1"/>
    <col min="3855" max="3855" width="6" customWidth="1"/>
    <col min="3856" max="3856" width="7.140625" customWidth="1"/>
    <col min="3860" max="3860" width="10.140625" customWidth="1"/>
    <col min="4097" max="4097" width="23.5703125" customWidth="1"/>
    <col min="4100" max="4100" width="11.85546875" customWidth="1"/>
    <col min="4101" max="4101" width="11.42578125" customWidth="1"/>
    <col min="4103" max="4103" width="5.7109375" customWidth="1"/>
    <col min="4104" max="4104" width="17.140625" customWidth="1"/>
    <col min="4105" max="4105" width="15.5703125" customWidth="1"/>
    <col min="4109" max="4109" width="11.5703125" customWidth="1"/>
    <col min="4110" max="4110" width="9.28515625" customWidth="1"/>
    <col min="4111" max="4111" width="6" customWidth="1"/>
    <col min="4112" max="4112" width="7.140625" customWidth="1"/>
    <col min="4116" max="4116" width="10.140625" customWidth="1"/>
    <col min="4353" max="4353" width="23.5703125" customWidth="1"/>
    <col min="4356" max="4356" width="11.85546875" customWidth="1"/>
    <col min="4357" max="4357" width="11.42578125" customWidth="1"/>
    <col min="4359" max="4359" width="5.7109375" customWidth="1"/>
    <col min="4360" max="4360" width="17.140625" customWidth="1"/>
    <col min="4361" max="4361" width="15.5703125" customWidth="1"/>
    <col min="4365" max="4365" width="11.5703125" customWidth="1"/>
    <col min="4366" max="4366" width="9.28515625" customWidth="1"/>
    <col min="4367" max="4367" width="6" customWidth="1"/>
    <col min="4368" max="4368" width="7.140625" customWidth="1"/>
    <col min="4372" max="4372" width="10.140625" customWidth="1"/>
    <col min="4609" max="4609" width="23.5703125" customWidth="1"/>
    <col min="4612" max="4612" width="11.85546875" customWidth="1"/>
    <col min="4613" max="4613" width="11.42578125" customWidth="1"/>
    <col min="4615" max="4615" width="5.7109375" customWidth="1"/>
    <col min="4616" max="4616" width="17.140625" customWidth="1"/>
    <col min="4617" max="4617" width="15.5703125" customWidth="1"/>
    <col min="4621" max="4621" width="11.5703125" customWidth="1"/>
    <col min="4622" max="4622" width="9.28515625" customWidth="1"/>
    <col min="4623" max="4623" width="6" customWidth="1"/>
    <col min="4624" max="4624" width="7.140625" customWidth="1"/>
    <col min="4628" max="4628" width="10.140625" customWidth="1"/>
    <col min="4865" max="4865" width="23.5703125" customWidth="1"/>
    <col min="4868" max="4868" width="11.85546875" customWidth="1"/>
    <col min="4869" max="4869" width="11.42578125" customWidth="1"/>
    <col min="4871" max="4871" width="5.7109375" customWidth="1"/>
    <col min="4872" max="4872" width="17.140625" customWidth="1"/>
    <col min="4873" max="4873" width="15.5703125" customWidth="1"/>
    <col min="4877" max="4877" width="11.5703125" customWidth="1"/>
    <col min="4878" max="4878" width="9.28515625" customWidth="1"/>
    <col min="4879" max="4879" width="6" customWidth="1"/>
    <col min="4880" max="4880" width="7.140625" customWidth="1"/>
    <col min="4884" max="4884" width="10.140625" customWidth="1"/>
    <col min="5121" max="5121" width="23.5703125" customWidth="1"/>
    <col min="5124" max="5124" width="11.85546875" customWidth="1"/>
    <col min="5125" max="5125" width="11.42578125" customWidth="1"/>
    <col min="5127" max="5127" width="5.7109375" customWidth="1"/>
    <col min="5128" max="5128" width="17.140625" customWidth="1"/>
    <col min="5129" max="5129" width="15.5703125" customWidth="1"/>
    <col min="5133" max="5133" width="11.5703125" customWidth="1"/>
    <col min="5134" max="5134" width="9.28515625" customWidth="1"/>
    <col min="5135" max="5135" width="6" customWidth="1"/>
    <col min="5136" max="5136" width="7.140625" customWidth="1"/>
    <col min="5140" max="5140" width="10.140625" customWidth="1"/>
    <col min="5377" max="5377" width="23.5703125" customWidth="1"/>
    <col min="5380" max="5380" width="11.85546875" customWidth="1"/>
    <col min="5381" max="5381" width="11.42578125" customWidth="1"/>
    <col min="5383" max="5383" width="5.7109375" customWidth="1"/>
    <col min="5384" max="5384" width="17.140625" customWidth="1"/>
    <col min="5385" max="5385" width="15.5703125" customWidth="1"/>
    <col min="5389" max="5389" width="11.5703125" customWidth="1"/>
    <col min="5390" max="5390" width="9.28515625" customWidth="1"/>
    <col min="5391" max="5391" width="6" customWidth="1"/>
    <col min="5392" max="5392" width="7.140625" customWidth="1"/>
    <col min="5396" max="5396" width="10.140625" customWidth="1"/>
    <col min="5633" max="5633" width="23.5703125" customWidth="1"/>
    <col min="5636" max="5636" width="11.85546875" customWidth="1"/>
    <col min="5637" max="5637" width="11.42578125" customWidth="1"/>
    <col min="5639" max="5639" width="5.7109375" customWidth="1"/>
    <col min="5640" max="5640" width="17.140625" customWidth="1"/>
    <col min="5641" max="5641" width="15.5703125" customWidth="1"/>
    <col min="5645" max="5645" width="11.5703125" customWidth="1"/>
    <col min="5646" max="5646" width="9.28515625" customWidth="1"/>
    <col min="5647" max="5647" width="6" customWidth="1"/>
    <col min="5648" max="5648" width="7.140625" customWidth="1"/>
    <col min="5652" max="5652" width="10.140625" customWidth="1"/>
    <col min="5889" max="5889" width="23.5703125" customWidth="1"/>
    <col min="5892" max="5892" width="11.85546875" customWidth="1"/>
    <col min="5893" max="5893" width="11.42578125" customWidth="1"/>
    <col min="5895" max="5895" width="5.7109375" customWidth="1"/>
    <col min="5896" max="5896" width="17.140625" customWidth="1"/>
    <col min="5897" max="5897" width="15.5703125" customWidth="1"/>
    <col min="5901" max="5901" width="11.5703125" customWidth="1"/>
    <col min="5902" max="5902" width="9.28515625" customWidth="1"/>
    <col min="5903" max="5903" width="6" customWidth="1"/>
    <col min="5904" max="5904" width="7.140625" customWidth="1"/>
    <col min="5908" max="5908" width="10.140625" customWidth="1"/>
    <col min="6145" max="6145" width="23.5703125" customWidth="1"/>
    <col min="6148" max="6148" width="11.85546875" customWidth="1"/>
    <col min="6149" max="6149" width="11.42578125" customWidth="1"/>
    <col min="6151" max="6151" width="5.7109375" customWidth="1"/>
    <col min="6152" max="6152" width="17.140625" customWidth="1"/>
    <col min="6153" max="6153" width="15.5703125" customWidth="1"/>
    <col min="6157" max="6157" width="11.5703125" customWidth="1"/>
    <col min="6158" max="6158" width="9.28515625" customWidth="1"/>
    <col min="6159" max="6159" width="6" customWidth="1"/>
    <col min="6160" max="6160" width="7.140625" customWidth="1"/>
    <col min="6164" max="6164" width="10.140625" customWidth="1"/>
    <col min="6401" max="6401" width="23.5703125" customWidth="1"/>
    <col min="6404" max="6404" width="11.85546875" customWidth="1"/>
    <col min="6405" max="6405" width="11.42578125" customWidth="1"/>
    <col min="6407" max="6407" width="5.7109375" customWidth="1"/>
    <col min="6408" max="6408" width="17.140625" customWidth="1"/>
    <col min="6409" max="6409" width="15.5703125" customWidth="1"/>
    <col min="6413" max="6413" width="11.5703125" customWidth="1"/>
    <col min="6414" max="6414" width="9.28515625" customWidth="1"/>
    <col min="6415" max="6415" width="6" customWidth="1"/>
    <col min="6416" max="6416" width="7.140625" customWidth="1"/>
    <col min="6420" max="6420" width="10.140625" customWidth="1"/>
    <col min="6657" max="6657" width="23.5703125" customWidth="1"/>
    <col min="6660" max="6660" width="11.85546875" customWidth="1"/>
    <col min="6661" max="6661" width="11.42578125" customWidth="1"/>
    <col min="6663" max="6663" width="5.7109375" customWidth="1"/>
    <col min="6664" max="6664" width="17.140625" customWidth="1"/>
    <col min="6665" max="6665" width="15.5703125" customWidth="1"/>
    <col min="6669" max="6669" width="11.5703125" customWidth="1"/>
    <col min="6670" max="6670" width="9.28515625" customWidth="1"/>
    <col min="6671" max="6671" width="6" customWidth="1"/>
    <col min="6672" max="6672" width="7.140625" customWidth="1"/>
    <col min="6676" max="6676" width="10.140625" customWidth="1"/>
    <col min="6913" max="6913" width="23.5703125" customWidth="1"/>
    <col min="6916" max="6916" width="11.85546875" customWidth="1"/>
    <col min="6917" max="6917" width="11.42578125" customWidth="1"/>
    <col min="6919" max="6919" width="5.7109375" customWidth="1"/>
    <col min="6920" max="6920" width="17.140625" customWidth="1"/>
    <col min="6921" max="6921" width="15.5703125" customWidth="1"/>
    <col min="6925" max="6925" width="11.5703125" customWidth="1"/>
    <col min="6926" max="6926" width="9.28515625" customWidth="1"/>
    <col min="6927" max="6927" width="6" customWidth="1"/>
    <col min="6928" max="6928" width="7.140625" customWidth="1"/>
    <col min="6932" max="6932" width="10.140625" customWidth="1"/>
    <col min="7169" max="7169" width="23.5703125" customWidth="1"/>
    <col min="7172" max="7172" width="11.85546875" customWidth="1"/>
    <col min="7173" max="7173" width="11.42578125" customWidth="1"/>
    <col min="7175" max="7175" width="5.7109375" customWidth="1"/>
    <col min="7176" max="7176" width="17.140625" customWidth="1"/>
    <col min="7177" max="7177" width="15.5703125" customWidth="1"/>
    <col min="7181" max="7181" width="11.5703125" customWidth="1"/>
    <col min="7182" max="7182" width="9.28515625" customWidth="1"/>
    <col min="7183" max="7183" width="6" customWidth="1"/>
    <col min="7184" max="7184" width="7.140625" customWidth="1"/>
    <col min="7188" max="7188" width="10.140625" customWidth="1"/>
    <col min="7425" max="7425" width="23.5703125" customWidth="1"/>
    <col min="7428" max="7428" width="11.85546875" customWidth="1"/>
    <col min="7429" max="7429" width="11.42578125" customWidth="1"/>
    <col min="7431" max="7431" width="5.7109375" customWidth="1"/>
    <col min="7432" max="7432" width="17.140625" customWidth="1"/>
    <col min="7433" max="7433" width="15.5703125" customWidth="1"/>
    <col min="7437" max="7437" width="11.5703125" customWidth="1"/>
    <col min="7438" max="7438" width="9.28515625" customWidth="1"/>
    <col min="7439" max="7439" width="6" customWidth="1"/>
    <col min="7440" max="7440" width="7.140625" customWidth="1"/>
    <col min="7444" max="7444" width="10.140625" customWidth="1"/>
    <col min="7681" max="7681" width="23.5703125" customWidth="1"/>
    <col min="7684" max="7684" width="11.85546875" customWidth="1"/>
    <col min="7685" max="7685" width="11.42578125" customWidth="1"/>
    <col min="7687" max="7687" width="5.7109375" customWidth="1"/>
    <col min="7688" max="7688" width="17.140625" customWidth="1"/>
    <col min="7689" max="7689" width="15.5703125" customWidth="1"/>
    <col min="7693" max="7693" width="11.5703125" customWidth="1"/>
    <col min="7694" max="7694" width="9.28515625" customWidth="1"/>
    <col min="7695" max="7695" width="6" customWidth="1"/>
    <col min="7696" max="7696" width="7.140625" customWidth="1"/>
    <col min="7700" max="7700" width="10.140625" customWidth="1"/>
    <col min="7937" max="7937" width="23.5703125" customWidth="1"/>
    <col min="7940" max="7940" width="11.85546875" customWidth="1"/>
    <col min="7941" max="7941" width="11.42578125" customWidth="1"/>
    <col min="7943" max="7943" width="5.7109375" customWidth="1"/>
    <col min="7944" max="7944" width="17.140625" customWidth="1"/>
    <col min="7945" max="7945" width="15.5703125" customWidth="1"/>
    <col min="7949" max="7949" width="11.5703125" customWidth="1"/>
    <col min="7950" max="7950" width="9.28515625" customWidth="1"/>
    <col min="7951" max="7951" width="6" customWidth="1"/>
    <col min="7952" max="7952" width="7.140625" customWidth="1"/>
    <col min="7956" max="7956" width="10.140625" customWidth="1"/>
    <col min="8193" max="8193" width="23.5703125" customWidth="1"/>
    <col min="8196" max="8196" width="11.85546875" customWidth="1"/>
    <col min="8197" max="8197" width="11.42578125" customWidth="1"/>
    <col min="8199" max="8199" width="5.7109375" customWidth="1"/>
    <col min="8200" max="8200" width="17.140625" customWidth="1"/>
    <col min="8201" max="8201" width="15.5703125" customWidth="1"/>
    <col min="8205" max="8205" width="11.5703125" customWidth="1"/>
    <col min="8206" max="8206" width="9.28515625" customWidth="1"/>
    <col min="8207" max="8207" width="6" customWidth="1"/>
    <col min="8208" max="8208" width="7.140625" customWidth="1"/>
    <col min="8212" max="8212" width="10.140625" customWidth="1"/>
    <col min="8449" max="8449" width="23.5703125" customWidth="1"/>
    <col min="8452" max="8452" width="11.85546875" customWidth="1"/>
    <col min="8453" max="8453" width="11.42578125" customWidth="1"/>
    <col min="8455" max="8455" width="5.7109375" customWidth="1"/>
    <col min="8456" max="8456" width="17.140625" customWidth="1"/>
    <col min="8457" max="8457" width="15.5703125" customWidth="1"/>
    <col min="8461" max="8461" width="11.5703125" customWidth="1"/>
    <col min="8462" max="8462" width="9.28515625" customWidth="1"/>
    <col min="8463" max="8463" width="6" customWidth="1"/>
    <col min="8464" max="8464" width="7.140625" customWidth="1"/>
    <col min="8468" max="8468" width="10.140625" customWidth="1"/>
    <col min="8705" max="8705" width="23.5703125" customWidth="1"/>
    <col min="8708" max="8708" width="11.85546875" customWidth="1"/>
    <col min="8709" max="8709" width="11.42578125" customWidth="1"/>
    <col min="8711" max="8711" width="5.7109375" customWidth="1"/>
    <col min="8712" max="8712" width="17.140625" customWidth="1"/>
    <col min="8713" max="8713" width="15.5703125" customWidth="1"/>
    <col min="8717" max="8717" width="11.5703125" customWidth="1"/>
    <col min="8718" max="8718" width="9.28515625" customWidth="1"/>
    <col min="8719" max="8719" width="6" customWidth="1"/>
    <col min="8720" max="8720" width="7.140625" customWidth="1"/>
    <col min="8724" max="8724" width="10.140625" customWidth="1"/>
    <col min="8961" max="8961" width="23.5703125" customWidth="1"/>
    <col min="8964" max="8964" width="11.85546875" customWidth="1"/>
    <col min="8965" max="8965" width="11.42578125" customWidth="1"/>
    <col min="8967" max="8967" width="5.7109375" customWidth="1"/>
    <col min="8968" max="8968" width="17.140625" customWidth="1"/>
    <col min="8969" max="8969" width="15.5703125" customWidth="1"/>
    <col min="8973" max="8973" width="11.5703125" customWidth="1"/>
    <col min="8974" max="8974" width="9.28515625" customWidth="1"/>
    <col min="8975" max="8975" width="6" customWidth="1"/>
    <col min="8976" max="8976" width="7.140625" customWidth="1"/>
    <col min="8980" max="8980" width="10.140625" customWidth="1"/>
    <col min="9217" max="9217" width="23.5703125" customWidth="1"/>
    <col min="9220" max="9220" width="11.85546875" customWidth="1"/>
    <col min="9221" max="9221" width="11.42578125" customWidth="1"/>
    <col min="9223" max="9223" width="5.7109375" customWidth="1"/>
    <col min="9224" max="9224" width="17.140625" customWidth="1"/>
    <col min="9225" max="9225" width="15.5703125" customWidth="1"/>
    <col min="9229" max="9229" width="11.5703125" customWidth="1"/>
    <col min="9230" max="9230" width="9.28515625" customWidth="1"/>
    <col min="9231" max="9231" width="6" customWidth="1"/>
    <col min="9232" max="9232" width="7.140625" customWidth="1"/>
    <col min="9236" max="9236" width="10.140625" customWidth="1"/>
    <col min="9473" max="9473" width="23.5703125" customWidth="1"/>
    <col min="9476" max="9476" width="11.85546875" customWidth="1"/>
    <col min="9477" max="9477" width="11.42578125" customWidth="1"/>
    <col min="9479" max="9479" width="5.7109375" customWidth="1"/>
    <col min="9480" max="9480" width="17.140625" customWidth="1"/>
    <col min="9481" max="9481" width="15.5703125" customWidth="1"/>
    <col min="9485" max="9485" width="11.5703125" customWidth="1"/>
    <col min="9486" max="9486" width="9.28515625" customWidth="1"/>
    <col min="9487" max="9487" width="6" customWidth="1"/>
    <col min="9488" max="9488" width="7.140625" customWidth="1"/>
    <col min="9492" max="9492" width="10.140625" customWidth="1"/>
    <col min="9729" max="9729" width="23.5703125" customWidth="1"/>
    <col min="9732" max="9732" width="11.85546875" customWidth="1"/>
    <col min="9733" max="9733" width="11.42578125" customWidth="1"/>
    <col min="9735" max="9735" width="5.7109375" customWidth="1"/>
    <col min="9736" max="9736" width="17.140625" customWidth="1"/>
    <col min="9737" max="9737" width="15.5703125" customWidth="1"/>
    <col min="9741" max="9741" width="11.5703125" customWidth="1"/>
    <col min="9742" max="9742" width="9.28515625" customWidth="1"/>
    <col min="9743" max="9743" width="6" customWidth="1"/>
    <col min="9744" max="9744" width="7.140625" customWidth="1"/>
    <col min="9748" max="9748" width="10.140625" customWidth="1"/>
    <col min="9985" max="9985" width="23.5703125" customWidth="1"/>
    <col min="9988" max="9988" width="11.85546875" customWidth="1"/>
    <col min="9989" max="9989" width="11.42578125" customWidth="1"/>
    <col min="9991" max="9991" width="5.7109375" customWidth="1"/>
    <col min="9992" max="9992" width="17.140625" customWidth="1"/>
    <col min="9993" max="9993" width="15.5703125" customWidth="1"/>
    <col min="9997" max="9997" width="11.5703125" customWidth="1"/>
    <col min="9998" max="9998" width="9.28515625" customWidth="1"/>
    <col min="9999" max="9999" width="6" customWidth="1"/>
    <col min="10000" max="10000" width="7.140625" customWidth="1"/>
    <col min="10004" max="10004" width="10.140625" customWidth="1"/>
    <col min="10241" max="10241" width="23.5703125" customWidth="1"/>
    <col min="10244" max="10244" width="11.85546875" customWidth="1"/>
    <col min="10245" max="10245" width="11.42578125" customWidth="1"/>
    <col min="10247" max="10247" width="5.7109375" customWidth="1"/>
    <col min="10248" max="10248" width="17.140625" customWidth="1"/>
    <col min="10249" max="10249" width="15.5703125" customWidth="1"/>
    <col min="10253" max="10253" width="11.5703125" customWidth="1"/>
    <col min="10254" max="10254" width="9.28515625" customWidth="1"/>
    <col min="10255" max="10255" width="6" customWidth="1"/>
    <col min="10256" max="10256" width="7.140625" customWidth="1"/>
    <col min="10260" max="10260" width="10.140625" customWidth="1"/>
    <col min="10497" max="10497" width="23.5703125" customWidth="1"/>
    <col min="10500" max="10500" width="11.85546875" customWidth="1"/>
    <col min="10501" max="10501" width="11.42578125" customWidth="1"/>
    <col min="10503" max="10503" width="5.7109375" customWidth="1"/>
    <col min="10504" max="10504" width="17.140625" customWidth="1"/>
    <col min="10505" max="10505" width="15.5703125" customWidth="1"/>
    <col min="10509" max="10509" width="11.5703125" customWidth="1"/>
    <col min="10510" max="10510" width="9.28515625" customWidth="1"/>
    <col min="10511" max="10511" width="6" customWidth="1"/>
    <col min="10512" max="10512" width="7.140625" customWidth="1"/>
    <col min="10516" max="10516" width="10.140625" customWidth="1"/>
    <col min="10753" max="10753" width="23.5703125" customWidth="1"/>
    <col min="10756" max="10756" width="11.85546875" customWidth="1"/>
    <col min="10757" max="10757" width="11.42578125" customWidth="1"/>
    <col min="10759" max="10759" width="5.7109375" customWidth="1"/>
    <col min="10760" max="10760" width="17.140625" customWidth="1"/>
    <col min="10761" max="10761" width="15.5703125" customWidth="1"/>
    <col min="10765" max="10765" width="11.5703125" customWidth="1"/>
    <col min="10766" max="10766" width="9.28515625" customWidth="1"/>
    <col min="10767" max="10767" width="6" customWidth="1"/>
    <col min="10768" max="10768" width="7.140625" customWidth="1"/>
    <col min="10772" max="10772" width="10.140625" customWidth="1"/>
    <col min="11009" max="11009" width="23.5703125" customWidth="1"/>
    <col min="11012" max="11012" width="11.85546875" customWidth="1"/>
    <col min="11013" max="11013" width="11.42578125" customWidth="1"/>
    <col min="11015" max="11015" width="5.7109375" customWidth="1"/>
    <col min="11016" max="11016" width="17.140625" customWidth="1"/>
    <col min="11017" max="11017" width="15.5703125" customWidth="1"/>
    <col min="11021" max="11021" width="11.5703125" customWidth="1"/>
    <col min="11022" max="11022" width="9.28515625" customWidth="1"/>
    <col min="11023" max="11023" width="6" customWidth="1"/>
    <col min="11024" max="11024" width="7.140625" customWidth="1"/>
    <col min="11028" max="11028" width="10.140625" customWidth="1"/>
    <col min="11265" max="11265" width="23.5703125" customWidth="1"/>
    <col min="11268" max="11268" width="11.85546875" customWidth="1"/>
    <col min="11269" max="11269" width="11.42578125" customWidth="1"/>
    <col min="11271" max="11271" width="5.7109375" customWidth="1"/>
    <col min="11272" max="11272" width="17.140625" customWidth="1"/>
    <col min="11273" max="11273" width="15.5703125" customWidth="1"/>
    <col min="11277" max="11277" width="11.5703125" customWidth="1"/>
    <col min="11278" max="11278" width="9.28515625" customWidth="1"/>
    <col min="11279" max="11279" width="6" customWidth="1"/>
    <col min="11280" max="11280" width="7.140625" customWidth="1"/>
    <col min="11284" max="11284" width="10.140625" customWidth="1"/>
    <col min="11521" max="11521" width="23.5703125" customWidth="1"/>
    <col min="11524" max="11524" width="11.85546875" customWidth="1"/>
    <col min="11525" max="11525" width="11.42578125" customWidth="1"/>
    <col min="11527" max="11527" width="5.7109375" customWidth="1"/>
    <col min="11528" max="11528" width="17.140625" customWidth="1"/>
    <col min="11529" max="11529" width="15.5703125" customWidth="1"/>
    <col min="11533" max="11533" width="11.5703125" customWidth="1"/>
    <col min="11534" max="11534" width="9.28515625" customWidth="1"/>
    <col min="11535" max="11535" width="6" customWidth="1"/>
    <col min="11536" max="11536" width="7.140625" customWidth="1"/>
    <col min="11540" max="11540" width="10.140625" customWidth="1"/>
    <col min="11777" max="11777" width="23.5703125" customWidth="1"/>
    <col min="11780" max="11780" width="11.85546875" customWidth="1"/>
    <col min="11781" max="11781" width="11.42578125" customWidth="1"/>
    <col min="11783" max="11783" width="5.7109375" customWidth="1"/>
    <col min="11784" max="11784" width="17.140625" customWidth="1"/>
    <col min="11785" max="11785" width="15.5703125" customWidth="1"/>
    <col min="11789" max="11789" width="11.5703125" customWidth="1"/>
    <col min="11790" max="11790" width="9.28515625" customWidth="1"/>
    <col min="11791" max="11791" width="6" customWidth="1"/>
    <col min="11792" max="11792" width="7.140625" customWidth="1"/>
    <col min="11796" max="11796" width="10.140625" customWidth="1"/>
    <col min="12033" max="12033" width="23.5703125" customWidth="1"/>
    <col min="12036" max="12036" width="11.85546875" customWidth="1"/>
    <col min="12037" max="12037" width="11.42578125" customWidth="1"/>
    <col min="12039" max="12039" width="5.7109375" customWidth="1"/>
    <col min="12040" max="12040" width="17.140625" customWidth="1"/>
    <col min="12041" max="12041" width="15.5703125" customWidth="1"/>
    <col min="12045" max="12045" width="11.5703125" customWidth="1"/>
    <col min="12046" max="12046" width="9.28515625" customWidth="1"/>
    <col min="12047" max="12047" width="6" customWidth="1"/>
    <col min="12048" max="12048" width="7.140625" customWidth="1"/>
    <col min="12052" max="12052" width="10.140625" customWidth="1"/>
    <col min="12289" max="12289" width="23.5703125" customWidth="1"/>
    <col min="12292" max="12292" width="11.85546875" customWidth="1"/>
    <col min="12293" max="12293" width="11.42578125" customWidth="1"/>
    <col min="12295" max="12295" width="5.7109375" customWidth="1"/>
    <col min="12296" max="12296" width="17.140625" customWidth="1"/>
    <col min="12297" max="12297" width="15.5703125" customWidth="1"/>
    <col min="12301" max="12301" width="11.5703125" customWidth="1"/>
    <col min="12302" max="12302" width="9.28515625" customWidth="1"/>
    <col min="12303" max="12303" width="6" customWidth="1"/>
    <col min="12304" max="12304" width="7.140625" customWidth="1"/>
    <col min="12308" max="12308" width="10.140625" customWidth="1"/>
    <col min="12545" max="12545" width="23.5703125" customWidth="1"/>
    <col min="12548" max="12548" width="11.85546875" customWidth="1"/>
    <col min="12549" max="12549" width="11.42578125" customWidth="1"/>
    <col min="12551" max="12551" width="5.7109375" customWidth="1"/>
    <col min="12552" max="12552" width="17.140625" customWidth="1"/>
    <col min="12553" max="12553" width="15.5703125" customWidth="1"/>
    <col min="12557" max="12557" width="11.5703125" customWidth="1"/>
    <col min="12558" max="12558" width="9.28515625" customWidth="1"/>
    <col min="12559" max="12559" width="6" customWidth="1"/>
    <col min="12560" max="12560" width="7.140625" customWidth="1"/>
    <col min="12564" max="12564" width="10.140625" customWidth="1"/>
    <col min="12801" max="12801" width="23.5703125" customWidth="1"/>
    <col min="12804" max="12804" width="11.85546875" customWidth="1"/>
    <col min="12805" max="12805" width="11.42578125" customWidth="1"/>
    <col min="12807" max="12807" width="5.7109375" customWidth="1"/>
    <col min="12808" max="12808" width="17.140625" customWidth="1"/>
    <col min="12809" max="12809" width="15.5703125" customWidth="1"/>
    <col min="12813" max="12813" width="11.5703125" customWidth="1"/>
    <col min="12814" max="12814" width="9.28515625" customWidth="1"/>
    <col min="12815" max="12815" width="6" customWidth="1"/>
    <col min="12816" max="12816" width="7.140625" customWidth="1"/>
    <col min="12820" max="12820" width="10.140625" customWidth="1"/>
    <col min="13057" max="13057" width="23.5703125" customWidth="1"/>
    <col min="13060" max="13060" width="11.85546875" customWidth="1"/>
    <col min="13061" max="13061" width="11.42578125" customWidth="1"/>
    <col min="13063" max="13063" width="5.7109375" customWidth="1"/>
    <col min="13064" max="13064" width="17.140625" customWidth="1"/>
    <col min="13065" max="13065" width="15.5703125" customWidth="1"/>
    <col min="13069" max="13069" width="11.5703125" customWidth="1"/>
    <col min="13070" max="13070" width="9.28515625" customWidth="1"/>
    <col min="13071" max="13071" width="6" customWidth="1"/>
    <col min="13072" max="13072" width="7.140625" customWidth="1"/>
    <col min="13076" max="13076" width="10.140625" customWidth="1"/>
    <col min="13313" max="13313" width="23.5703125" customWidth="1"/>
    <col min="13316" max="13316" width="11.85546875" customWidth="1"/>
    <col min="13317" max="13317" width="11.42578125" customWidth="1"/>
    <col min="13319" max="13319" width="5.7109375" customWidth="1"/>
    <col min="13320" max="13320" width="17.140625" customWidth="1"/>
    <col min="13321" max="13321" width="15.5703125" customWidth="1"/>
    <col min="13325" max="13325" width="11.5703125" customWidth="1"/>
    <col min="13326" max="13326" width="9.28515625" customWidth="1"/>
    <col min="13327" max="13327" width="6" customWidth="1"/>
    <col min="13328" max="13328" width="7.140625" customWidth="1"/>
    <col min="13332" max="13332" width="10.140625" customWidth="1"/>
    <col min="13569" max="13569" width="23.5703125" customWidth="1"/>
    <col min="13572" max="13572" width="11.85546875" customWidth="1"/>
    <col min="13573" max="13573" width="11.42578125" customWidth="1"/>
    <col min="13575" max="13575" width="5.7109375" customWidth="1"/>
    <col min="13576" max="13576" width="17.140625" customWidth="1"/>
    <col min="13577" max="13577" width="15.5703125" customWidth="1"/>
    <col min="13581" max="13581" width="11.5703125" customWidth="1"/>
    <col min="13582" max="13582" width="9.28515625" customWidth="1"/>
    <col min="13583" max="13583" width="6" customWidth="1"/>
    <col min="13584" max="13584" width="7.140625" customWidth="1"/>
    <col min="13588" max="13588" width="10.140625" customWidth="1"/>
    <col min="13825" max="13825" width="23.5703125" customWidth="1"/>
    <col min="13828" max="13828" width="11.85546875" customWidth="1"/>
    <col min="13829" max="13829" width="11.42578125" customWidth="1"/>
    <col min="13831" max="13831" width="5.7109375" customWidth="1"/>
    <col min="13832" max="13832" width="17.140625" customWidth="1"/>
    <col min="13833" max="13833" width="15.5703125" customWidth="1"/>
    <col min="13837" max="13837" width="11.5703125" customWidth="1"/>
    <col min="13838" max="13838" width="9.28515625" customWidth="1"/>
    <col min="13839" max="13839" width="6" customWidth="1"/>
    <col min="13840" max="13840" width="7.140625" customWidth="1"/>
    <col min="13844" max="13844" width="10.140625" customWidth="1"/>
    <col min="14081" max="14081" width="23.5703125" customWidth="1"/>
    <col min="14084" max="14084" width="11.85546875" customWidth="1"/>
    <col min="14085" max="14085" width="11.42578125" customWidth="1"/>
    <col min="14087" max="14087" width="5.7109375" customWidth="1"/>
    <col min="14088" max="14088" width="17.140625" customWidth="1"/>
    <col min="14089" max="14089" width="15.5703125" customWidth="1"/>
    <col min="14093" max="14093" width="11.5703125" customWidth="1"/>
    <col min="14094" max="14094" width="9.28515625" customWidth="1"/>
    <col min="14095" max="14095" width="6" customWidth="1"/>
    <col min="14096" max="14096" width="7.140625" customWidth="1"/>
    <col min="14100" max="14100" width="10.140625" customWidth="1"/>
    <col min="14337" max="14337" width="23.5703125" customWidth="1"/>
    <col min="14340" max="14340" width="11.85546875" customWidth="1"/>
    <col min="14341" max="14341" width="11.42578125" customWidth="1"/>
    <col min="14343" max="14343" width="5.7109375" customWidth="1"/>
    <col min="14344" max="14344" width="17.140625" customWidth="1"/>
    <col min="14345" max="14345" width="15.5703125" customWidth="1"/>
    <col min="14349" max="14349" width="11.5703125" customWidth="1"/>
    <col min="14350" max="14350" width="9.28515625" customWidth="1"/>
    <col min="14351" max="14351" width="6" customWidth="1"/>
    <col min="14352" max="14352" width="7.140625" customWidth="1"/>
    <col min="14356" max="14356" width="10.140625" customWidth="1"/>
    <col min="14593" max="14593" width="23.5703125" customWidth="1"/>
    <col min="14596" max="14596" width="11.85546875" customWidth="1"/>
    <col min="14597" max="14597" width="11.42578125" customWidth="1"/>
    <col min="14599" max="14599" width="5.7109375" customWidth="1"/>
    <col min="14600" max="14600" width="17.140625" customWidth="1"/>
    <col min="14601" max="14601" width="15.5703125" customWidth="1"/>
    <col min="14605" max="14605" width="11.5703125" customWidth="1"/>
    <col min="14606" max="14606" width="9.28515625" customWidth="1"/>
    <col min="14607" max="14607" width="6" customWidth="1"/>
    <col min="14608" max="14608" width="7.140625" customWidth="1"/>
    <col min="14612" max="14612" width="10.140625" customWidth="1"/>
    <col min="14849" max="14849" width="23.5703125" customWidth="1"/>
    <col min="14852" max="14852" width="11.85546875" customWidth="1"/>
    <col min="14853" max="14853" width="11.42578125" customWidth="1"/>
    <col min="14855" max="14855" width="5.7109375" customWidth="1"/>
    <col min="14856" max="14856" width="17.140625" customWidth="1"/>
    <col min="14857" max="14857" width="15.5703125" customWidth="1"/>
    <col min="14861" max="14861" width="11.5703125" customWidth="1"/>
    <col min="14862" max="14862" width="9.28515625" customWidth="1"/>
    <col min="14863" max="14863" width="6" customWidth="1"/>
    <col min="14864" max="14864" width="7.140625" customWidth="1"/>
    <col min="14868" max="14868" width="10.140625" customWidth="1"/>
    <col min="15105" max="15105" width="23.5703125" customWidth="1"/>
    <col min="15108" max="15108" width="11.85546875" customWidth="1"/>
    <col min="15109" max="15109" width="11.42578125" customWidth="1"/>
    <col min="15111" max="15111" width="5.7109375" customWidth="1"/>
    <col min="15112" max="15112" width="17.140625" customWidth="1"/>
    <col min="15113" max="15113" width="15.5703125" customWidth="1"/>
    <col min="15117" max="15117" width="11.5703125" customWidth="1"/>
    <col min="15118" max="15118" width="9.28515625" customWidth="1"/>
    <col min="15119" max="15119" width="6" customWidth="1"/>
    <col min="15120" max="15120" width="7.140625" customWidth="1"/>
    <col min="15124" max="15124" width="10.140625" customWidth="1"/>
    <col min="15361" max="15361" width="23.5703125" customWidth="1"/>
    <col min="15364" max="15364" width="11.85546875" customWidth="1"/>
    <col min="15365" max="15365" width="11.42578125" customWidth="1"/>
    <col min="15367" max="15367" width="5.7109375" customWidth="1"/>
    <col min="15368" max="15368" width="17.140625" customWidth="1"/>
    <col min="15369" max="15369" width="15.5703125" customWidth="1"/>
    <col min="15373" max="15373" width="11.5703125" customWidth="1"/>
    <col min="15374" max="15374" width="9.28515625" customWidth="1"/>
    <col min="15375" max="15375" width="6" customWidth="1"/>
    <col min="15376" max="15376" width="7.140625" customWidth="1"/>
    <col min="15380" max="15380" width="10.140625" customWidth="1"/>
    <col min="15617" max="15617" width="23.5703125" customWidth="1"/>
    <col min="15620" max="15620" width="11.85546875" customWidth="1"/>
    <col min="15621" max="15621" width="11.42578125" customWidth="1"/>
    <col min="15623" max="15623" width="5.7109375" customWidth="1"/>
    <col min="15624" max="15624" width="17.140625" customWidth="1"/>
    <col min="15625" max="15625" width="15.5703125" customWidth="1"/>
    <col min="15629" max="15629" width="11.5703125" customWidth="1"/>
    <col min="15630" max="15630" width="9.28515625" customWidth="1"/>
    <col min="15631" max="15631" width="6" customWidth="1"/>
    <col min="15632" max="15632" width="7.140625" customWidth="1"/>
    <col min="15636" max="15636" width="10.140625" customWidth="1"/>
    <col min="15873" max="15873" width="23.5703125" customWidth="1"/>
    <col min="15876" max="15876" width="11.85546875" customWidth="1"/>
    <col min="15877" max="15877" width="11.42578125" customWidth="1"/>
    <col min="15879" max="15879" width="5.7109375" customWidth="1"/>
    <col min="15880" max="15880" width="17.140625" customWidth="1"/>
    <col min="15881" max="15881" width="15.5703125" customWidth="1"/>
    <col min="15885" max="15885" width="11.5703125" customWidth="1"/>
    <col min="15886" max="15886" width="9.28515625" customWidth="1"/>
    <col min="15887" max="15887" width="6" customWidth="1"/>
    <col min="15888" max="15888" width="7.140625" customWidth="1"/>
    <col min="15892" max="15892" width="10.140625" customWidth="1"/>
    <col min="16129" max="16129" width="23.5703125" customWidth="1"/>
    <col min="16132" max="16132" width="11.85546875" customWidth="1"/>
    <col min="16133" max="16133" width="11.42578125" customWidth="1"/>
    <col min="16135" max="16135" width="5.7109375" customWidth="1"/>
    <col min="16136" max="16136" width="17.140625" customWidth="1"/>
    <col min="16137" max="16137" width="15.5703125" customWidth="1"/>
    <col min="16141" max="16141" width="11.5703125" customWidth="1"/>
    <col min="16142" max="16142" width="9.28515625" customWidth="1"/>
    <col min="16143" max="16143" width="6" customWidth="1"/>
    <col min="16144" max="16144" width="7.140625" customWidth="1"/>
    <col min="16148" max="16148" width="10.140625" customWidth="1"/>
  </cols>
  <sheetData>
    <row r="2" spans="1:21" ht="18.75" x14ac:dyDescent="0.3">
      <c r="A2" s="122" t="s">
        <v>111</v>
      </c>
      <c r="G2" s="123"/>
      <c r="H2" s="124" t="s">
        <v>112</v>
      </c>
    </row>
    <row r="3" spans="1:21" ht="23.25" x14ac:dyDescent="0.35">
      <c r="G3" s="125"/>
      <c r="H3" s="126">
        <v>500</v>
      </c>
    </row>
    <row r="4" spans="1:21" x14ac:dyDescent="0.25">
      <c r="A4" t="s">
        <v>113</v>
      </c>
      <c r="B4" t="s">
        <v>114</v>
      </c>
      <c r="P4" t="s">
        <v>115</v>
      </c>
    </row>
    <row r="5" spans="1:21" x14ac:dyDescent="0.25">
      <c r="B5" t="s">
        <v>116</v>
      </c>
      <c r="M5" t="s">
        <v>117</v>
      </c>
      <c r="Q5" s="127">
        <v>3000</v>
      </c>
      <c r="R5" s="127">
        <v>3000</v>
      </c>
      <c r="S5" s="127">
        <v>2000</v>
      </c>
      <c r="T5" s="127">
        <v>2000</v>
      </c>
      <c r="U5" s="127" t="s">
        <v>118</v>
      </c>
    </row>
    <row r="6" spans="1:21" x14ac:dyDescent="0.25">
      <c r="D6" s="694" t="s">
        <v>117</v>
      </c>
      <c r="E6" s="694"/>
      <c r="J6" t="s">
        <v>119</v>
      </c>
      <c r="K6" t="s">
        <v>120</v>
      </c>
      <c r="L6" t="s">
        <v>121</v>
      </c>
      <c r="M6" t="s">
        <v>122</v>
      </c>
      <c r="N6" t="s">
        <v>68</v>
      </c>
      <c r="Q6" s="128" t="s">
        <v>119</v>
      </c>
      <c r="R6" s="128" t="s">
        <v>120</v>
      </c>
      <c r="S6" s="128" t="s">
        <v>121</v>
      </c>
      <c r="T6" s="128" t="s">
        <v>122</v>
      </c>
    </row>
    <row r="7" spans="1:21" x14ac:dyDescent="0.25">
      <c r="A7" t="s">
        <v>123</v>
      </c>
      <c r="B7" t="s">
        <v>119</v>
      </c>
      <c r="C7" t="s">
        <v>120</v>
      </c>
      <c r="D7" t="s">
        <v>119</v>
      </c>
      <c r="E7" t="s">
        <v>120</v>
      </c>
      <c r="I7" t="s">
        <v>124</v>
      </c>
      <c r="J7" s="129"/>
      <c r="K7" s="129"/>
      <c r="L7" s="129"/>
      <c r="M7" s="129"/>
      <c r="Q7" s="128"/>
      <c r="R7" s="128"/>
      <c r="S7" s="128"/>
      <c r="T7" s="128"/>
    </row>
    <row r="8" spans="1:21" x14ac:dyDescent="0.25">
      <c r="A8" s="130" t="s">
        <v>125</v>
      </c>
      <c r="B8" s="131">
        <v>2.7E-2</v>
      </c>
      <c r="C8" s="131">
        <v>3.6999999999999998E-2</v>
      </c>
      <c r="D8" s="132">
        <f>B8*H3</f>
        <v>13.5</v>
      </c>
      <c r="E8" s="132">
        <f>H3*C8</f>
        <v>18.5</v>
      </c>
      <c r="I8" s="133"/>
      <c r="J8" s="134"/>
      <c r="K8" s="134"/>
      <c r="L8" s="134"/>
      <c r="M8" s="134"/>
      <c r="Q8" s="128"/>
      <c r="R8" s="128"/>
      <c r="S8" s="128"/>
      <c r="T8" s="128"/>
    </row>
    <row r="9" spans="1:21" x14ac:dyDescent="0.25">
      <c r="A9" s="130" t="s">
        <v>126</v>
      </c>
      <c r="B9" s="131">
        <v>0.03</v>
      </c>
      <c r="C9" s="131">
        <v>4.5999999999999999E-2</v>
      </c>
      <c r="D9" s="132">
        <f>B9*H3</f>
        <v>15</v>
      </c>
      <c r="E9" s="132">
        <f>C9*H3</f>
        <v>23</v>
      </c>
      <c r="I9" s="133"/>
      <c r="J9" s="134"/>
      <c r="K9" s="134"/>
      <c r="L9" s="134"/>
      <c r="M9" s="134"/>
      <c r="Q9" s="128"/>
      <c r="R9" s="128"/>
      <c r="S9" s="128"/>
      <c r="T9" s="128"/>
    </row>
    <row r="10" spans="1:21" ht="15.75" x14ac:dyDescent="0.25">
      <c r="A10" s="130" t="s">
        <v>127</v>
      </c>
      <c r="B10" s="131">
        <v>4.5999999999999999E-2</v>
      </c>
      <c r="C10" s="131">
        <v>6.7000000000000004E-2</v>
      </c>
      <c r="D10" s="132">
        <f>B10*H3</f>
        <v>23</v>
      </c>
      <c r="E10" s="132">
        <f>C10*H3</f>
        <v>33.5</v>
      </c>
      <c r="I10" s="135">
        <f>H3*0.7</f>
        <v>350</v>
      </c>
      <c r="J10" s="134"/>
      <c r="K10" s="134"/>
      <c r="L10" s="136">
        <f>I10*(S10/S5)+N10</f>
        <v>60.851923076923086</v>
      </c>
      <c r="M10" s="136">
        <f>I10*(T10/T5)+N10</f>
        <v>116.32692307692308</v>
      </c>
      <c r="N10">
        <f>H3/650*17</f>
        <v>13.076923076923078</v>
      </c>
      <c r="Q10" s="128"/>
      <c r="R10" s="128"/>
      <c r="S10" s="128">
        <v>273</v>
      </c>
      <c r="T10" s="128">
        <v>590</v>
      </c>
      <c r="U10" t="s">
        <v>128</v>
      </c>
    </row>
    <row r="11" spans="1:21" ht="15.75" x14ac:dyDescent="0.25">
      <c r="A11" s="130" t="s">
        <v>129</v>
      </c>
      <c r="B11" s="131">
        <v>9.2999999999999999E-2</v>
      </c>
      <c r="C11" s="131">
        <v>0.13600000000000001</v>
      </c>
      <c r="D11" s="132">
        <f>B11*H3</f>
        <v>46.5</v>
      </c>
      <c r="E11" s="132">
        <f>C11*H3</f>
        <v>68</v>
      </c>
      <c r="I11" s="135"/>
      <c r="J11" s="134"/>
      <c r="K11" s="134"/>
      <c r="L11" s="136"/>
      <c r="M11" s="134"/>
      <c r="Q11" s="128"/>
      <c r="R11" s="128"/>
      <c r="S11" s="128"/>
      <c r="T11" s="128"/>
    </row>
    <row r="12" spans="1:21" ht="15.75" x14ac:dyDescent="0.25">
      <c r="A12" s="130" t="s">
        <v>72</v>
      </c>
      <c r="B12" s="131">
        <v>3.6999999999999998E-2</v>
      </c>
      <c r="C12" s="131">
        <v>5.7000000000000002E-2</v>
      </c>
      <c r="D12" s="132">
        <f>B12*H3</f>
        <v>18.5</v>
      </c>
      <c r="E12" s="132">
        <f>C12*H3</f>
        <v>28.5</v>
      </c>
      <c r="I12" s="135">
        <f>H3*0.7</f>
        <v>350</v>
      </c>
      <c r="J12" s="136">
        <f>I12*(Q12/Q5)+N12</f>
        <v>25.580089743589745</v>
      </c>
      <c r="K12" s="136">
        <f>I12*(R12/R5)+N12</f>
        <v>37.168589743589742</v>
      </c>
      <c r="L12" s="136">
        <f>I12*(S12/S5)+N12</f>
        <v>49.602923076923076</v>
      </c>
      <c r="M12" s="136">
        <f>I12*(T12/T5)+N12</f>
        <v>74.326923076923066</v>
      </c>
      <c r="N12">
        <f>H3/650*17</f>
        <v>13.076923076923078</v>
      </c>
      <c r="Q12" s="128">
        <v>107.17</v>
      </c>
      <c r="R12" s="128">
        <v>206.5</v>
      </c>
      <c r="S12" s="128">
        <v>208.72</v>
      </c>
      <c r="T12" s="128">
        <v>350</v>
      </c>
      <c r="U12" t="s">
        <v>130</v>
      </c>
    </row>
    <row r="13" spans="1:21" x14ac:dyDescent="0.25">
      <c r="A13" s="130" t="s">
        <v>131</v>
      </c>
      <c r="B13" s="131">
        <v>3.2000000000000001E-2</v>
      </c>
      <c r="C13" s="131">
        <v>0.04</v>
      </c>
      <c r="D13" s="132">
        <f>B13*H3</f>
        <v>16</v>
      </c>
      <c r="E13" s="132">
        <f>C13*H3</f>
        <v>20</v>
      </c>
      <c r="I13" s="133"/>
      <c r="J13" s="137"/>
      <c r="K13" s="137"/>
      <c r="L13" s="137"/>
      <c r="M13" s="137"/>
      <c r="Q13" s="128"/>
      <c r="R13" s="128"/>
      <c r="S13" s="128"/>
      <c r="T13" s="128"/>
    </row>
    <row r="14" spans="1:21" x14ac:dyDescent="0.25">
      <c r="A14" s="130" t="s">
        <v>132</v>
      </c>
      <c r="B14" s="131">
        <v>4.2999999999999997E-2</v>
      </c>
      <c r="C14" s="131">
        <v>6.2E-2</v>
      </c>
      <c r="D14" s="132">
        <f>B14*H3</f>
        <v>21.5</v>
      </c>
      <c r="E14" s="132">
        <f>C14*H3</f>
        <v>31</v>
      </c>
      <c r="I14" s="133"/>
      <c r="J14" s="137"/>
      <c r="K14" s="137"/>
      <c r="L14" s="137"/>
      <c r="M14" s="137"/>
      <c r="Q14" s="128"/>
      <c r="R14" s="128"/>
      <c r="S14" s="128"/>
      <c r="T14" s="128"/>
    </row>
    <row r="15" spans="1:21" x14ac:dyDescent="0.25">
      <c r="A15" s="130" t="s">
        <v>133</v>
      </c>
      <c r="B15" s="131">
        <v>8.5000000000000006E-2</v>
      </c>
      <c r="C15" s="131">
        <v>0.13</v>
      </c>
      <c r="D15" s="132">
        <f>B15*H3</f>
        <v>42.5</v>
      </c>
      <c r="E15" s="132">
        <f>C15*H3</f>
        <v>65</v>
      </c>
      <c r="I15" s="133"/>
      <c r="J15" s="137"/>
      <c r="K15" s="137"/>
      <c r="L15" s="137"/>
      <c r="M15" s="137"/>
      <c r="Q15" s="128"/>
      <c r="R15" s="128"/>
      <c r="S15" s="128"/>
      <c r="T15" s="128"/>
    </row>
    <row r="16" spans="1:21" x14ac:dyDescent="0.25">
      <c r="A16" s="130" t="s">
        <v>134</v>
      </c>
      <c r="B16" s="131">
        <v>20</v>
      </c>
      <c r="C16" s="131">
        <v>20</v>
      </c>
    </row>
    <row r="18" spans="1:20" x14ac:dyDescent="0.25">
      <c r="B18" s="138" t="s">
        <v>135</v>
      </c>
    </row>
    <row r="19" spans="1:20" x14ac:dyDescent="0.25">
      <c r="B19" t="s">
        <v>136</v>
      </c>
    </row>
    <row r="20" spans="1:20" x14ac:dyDescent="0.25">
      <c r="A20" s="130" t="s">
        <v>137</v>
      </c>
      <c r="H20" t="s">
        <v>138</v>
      </c>
      <c r="I20" t="s">
        <v>139</v>
      </c>
      <c r="J20" t="s">
        <v>140</v>
      </c>
      <c r="K20">
        <v>320</v>
      </c>
    </row>
    <row r="21" spans="1:20" x14ac:dyDescent="0.25">
      <c r="A21" s="130" t="s">
        <v>73</v>
      </c>
      <c r="B21" s="131">
        <v>3.3000000000000002E-2</v>
      </c>
      <c r="D21" s="139"/>
      <c r="E21" s="132">
        <f>(B21*H3)+B25</f>
        <v>26.5</v>
      </c>
      <c r="K21">
        <v>490</v>
      </c>
    </row>
    <row r="22" spans="1:20" x14ac:dyDescent="0.25">
      <c r="A22" s="130" t="s">
        <v>132</v>
      </c>
      <c r="B22" s="131">
        <v>4.1000000000000002E-2</v>
      </c>
      <c r="D22" s="139"/>
      <c r="E22" s="132">
        <f>(B22*H3)+B25</f>
        <v>30.5</v>
      </c>
      <c r="H22" t="s">
        <v>141</v>
      </c>
      <c r="K22">
        <v>495</v>
      </c>
    </row>
    <row r="23" spans="1:20" x14ac:dyDescent="0.25">
      <c r="A23" s="130" t="s">
        <v>71</v>
      </c>
      <c r="B23" s="131">
        <v>4.3999999999999997E-2</v>
      </c>
      <c r="D23" s="139"/>
      <c r="E23" s="132">
        <f>(B23*H3)+B25</f>
        <v>32</v>
      </c>
      <c r="H23" t="s">
        <v>142</v>
      </c>
      <c r="I23" t="s">
        <v>143</v>
      </c>
      <c r="K23">
        <v>320</v>
      </c>
      <c r="Q23" s="128">
        <v>3.5700000000000003E-2</v>
      </c>
      <c r="R23" s="128"/>
      <c r="S23" s="128">
        <v>7.9299999999999995E-2</v>
      </c>
      <c r="T23" s="128">
        <v>0.1071</v>
      </c>
    </row>
    <row r="24" spans="1:20" x14ac:dyDescent="0.25">
      <c r="A24" s="130" t="s">
        <v>144</v>
      </c>
      <c r="B24" s="131">
        <v>6.6000000000000003E-2</v>
      </c>
      <c r="D24" s="139"/>
      <c r="E24" s="132">
        <f>(B24*H3)+B25</f>
        <v>43</v>
      </c>
      <c r="H24" t="s">
        <v>145</v>
      </c>
      <c r="K24">
        <v>345</v>
      </c>
    </row>
    <row r="25" spans="1:20" x14ac:dyDescent="0.25">
      <c r="A25" s="130" t="s">
        <v>146</v>
      </c>
      <c r="B25" s="131">
        <v>10</v>
      </c>
      <c r="H25" t="s">
        <v>147</v>
      </c>
      <c r="K25">
        <v>495</v>
      </c>
    </row>
    <row r="26" spans="1:20" x14ac:dyDescent="0.25">
      <c r="A26" s="130"/>
      <c r="B26" s="131"/>
    </row>
    <row r="27" spans="1:20" x14ac:dyDescent="0.25">
      <c r="A27" s="130"/>
      <c r="B27" s="131" t="s">
        <v>148</v>
      </c>
    </row>
    <row r="28" spans="1:20" x14ac:dyDescent="0.25">
      <c r="B28" t="s">
        <v>149</v>
      </c>
    </row>
    <row r="29" spans="1:20" x14ac:dyDescent="0.25">
      <c r="A29" s="130" t="s">
        <v>150</v>
      </c>
      <c r="B29" t="s">
        <v>151</v>
      </c>
      <c r="C29" t="s">
        <v>152</v>
      </c>
      <c r="D29" t="s">
        <v>153</v>
      </c>
    </row>
    <row r="30" spans="1:20" x14ac:dyDescent="0.25">
      <c r="A30" s="130" t="s">
        <v>154</v>
      </c>
      <c r="B30" s="131">
        <v>7.9000000000000001E-2</v>
      </c>
      <c r="C30" s="131">
        <v>16</v>
      </c>
      <c r="D30" s="131">
        <v>26.5</v>
      </c>
      <c r="E30" s="132">
        <f>(B30*H3)+C30+D30</f>
        <v>82</v>
      </c>
    </row>
    <row r="31" spans="1:20" x14ac:dyDescent="0.25">
      <c r="A31" s="130" t="s">
        <v>155</v>
      </c>
      <c r="B31" s="131">
        <v>9.0999999999999998E-2</v>
      </c>
      <c r="C31" s="131">
        <v>21</v>
      </c>
      <c r="D31" s="131">
        <v>31.5</v>
      </c>
      <c r="E31" s="132">
        <f>(B31*H3)+C31+D31</f>
        <v>98</v>
      </c>
    </row>
    <row r="32" spans="1:20" x14ac:dyDescent="0.25">
      <c r="A32" s="130" t="s">
        <v>156</v>
      </c>
      <c r="B32" s="131">
        <v>9.7000000000000003E-2</v>
      </c>
      <c r="C32" s="131">
        <v>21</v>
      </c>
      <c r="D32" s="131">
        <v>31.5</v>
      </c>
      <c r="E32" s="132">
        <f>(B32*H3)+C32+D32</f>
        <v>101</v>
      </c>
    </row>
    <row r="33" spans="1:5" x14ac:dyDescent="0.25">
      <c r="A33" s="130" t="s">
        <v>157</v>
      </c>
      <c r="B33" s="131">
        <v>0.1</v>
      </c>
      <c r="C33" s="131">
        <v>31</v>
      </c>
      <c r="D33" s="131">
        <v>37</v>
      </c>
      <c r="E33" s="132">
        <f>(B33*H3)+C33+D33</f>
        <v>118</v>
      </c>
    </row>
    <row r="34" spans="1:5" x14ac:dyDescent="0.25">
      <c r="A34" s="130" t="s">
        <v>144</v>
      </c>
      <c r="B34" s="131">
        <v>0.14000000000000001</v>
      </c>
      <c r="C34" s="131">
        <v>40</v>
      </c>
      <c r="D34" s="131">
        <v>42</v>
      </c>
      <c r="E34" s="132">
        <f>(B34*H3)+C34+D34</f>
        <v>152</v>
      </c>
    </row>
    <row r="35" spans="1:5" x14ac:dyDescent="0.25">
      <c r="E35" s="140"/>
    </row>
    <row r="36" spans="1:5" x14ac:dyDescent="0.25">
      <c r="A36" s="130" t="s">
        <v>150</v>
      </c>
      <c r="B36" t="s">
        <v>151</v>
      </c>
      <c r="C36" t="s">
        <v>152</v>
      </c>
      <c r="D36" t="s">
        <v>153</v>
      </c>
      <c r="E36" s="140"/>
    </row>
    <row r="37" spans="1:5" x14ac:dyDescent="0.25">
      <c r="A37" s="130" t="s">
        <v>158</v>
      </c>
      <c r="B37" s="131">
        <f>B30*1.3</f>
        <v>0.1027</v>
      </c>
      <c r="C37" s="131">
        <v>16</v>
      </c>
      <c r="D37" s="131">
        <v>26.5</v>
      </c>
      <c r="E37" s="132">
        <f>(B37*H3)+C37+D37</f>
        <v>93.85</v>
      </c>
    </row>
    <row r="38" spans="1:5" x14ac:dyDescent="0.25">
      <c r="A38" s="130" t="s">
        <v>132</v>
      </c>
      <c r="B38" s="131">
        <f>B31*1.3</f>
        <v>0.1183</v>
      </c>
      <c r="C38" s="131">
        <v>21</v>
      </c>
      <c r="D38" s="131">
        <v>31.5</v>
      </c>
      <c r="E38" s="132">
        <f>(B38*H3)+C38+D38</f>
        <v>111.65</v>
      </c>
    </row>
    <row r="39" spans="1:5" x14ac:dyDescent="0.25">
      <c r="A39" s="130" t="s">
        <v>71</v>
      </c>
      <c r="B39" s="131">
        <f>B32*1.3</f>
        <v>0.12610000000000002</v>
      </c>
      <c r="C39" s="131">
        <v>21</v>
      </c>
      <c r="D39" s="131">
        <v>31.5</v>
      </c>
      <c r="E39" s="132">
        <f>(B39*H3)+C39+D39</f>
        <v>115.55000000000001</v>
      </c>
    </row>
    <row r="40" spans="1:5" x14ac:dyDescent="0.25">
      <c r="A40" s="130" t="s">
        <v>157</v>
      </c>
      <c r="B40" s="131">
        <f>B33*1.3</f>
        <v>0.13</v>
      </c>
      <c r="C40" s="131">
        <v>31</v>
      </c>
      <c r="D40" s="131">
        <v>37</v>
      </c>
      <c r="E40" s="132">
        <f>(B40*H3)+C40+D40</f>
        <v>133</v>
      </c>
    </row>
    <row r="41" spans="1:5" x14ac:dyDescent="0.25">
      <c r="A41" s="130" t="s">
        <v>144</v>
      </c>
      <c r="B41" s="131">
        <f>B34*1.3</f>
        <v>0.18200000000000002</v>
      </c>
      <c r="C41" s="131">
        <v>40</v>
      </c>
      <c r="D41" s="131">
        <v>42</v>
      </c>
      <c r="E41" s="132">
        <f>(B41*H3)+C41+D41</f>
        <v>173</v>
      </c>
    </row>
    <row r="44" spans="1:5" x14ac:dyDescent="0.25">
      <c r="A44" s="130" t="s">
        <v>150</v>
      </c>
      <c r="B44" t="s">
        <v>151</v>
      </c>
      <c r="C44" t="s">
        <v>152</v>
      </c>
      <c r="D44" t="s">
        <v>153</v>
      </c>
    </row>
    <row r="45" spans="1:5" x14ac:dyDescent="0.25">
      <c r="A45" s="130" t="s">
        <v>154</v>
      </c>
      <c r="B45" s="131">
        <f>B30*2</f>
        <v>0.158</v>
      </c>
      <c r="C45" s="131">
        <v>16</v>
      </c>
      <c r="D45" s="131">
        <v>26.5</v>
      </c>
      <c r="E45" s="132">
        <f>(B45*H3)+C45+D45</f>
        <v>121.5</v>
      </c>
    </row>
    <row r="46" spans="1:5" x14ac:dyDescent="0.25">
      <c r="A46" s="130" t="s">
        <v>159</v>
      </c>
      <c r="B46" s="131">
        <f>B31*2</f>
        <v>0.182</v>
      </c>
      <c r="C46" s="131">
        <v>21</v>
      </c>
      <c r="D46" s="131">
        <v>31.5</v>
      </c>
      <c r="E46" s="132">
        <f>(B46*H3)+C46+D46</f>
        <v>143.5</v>
      </c>
    </row>
    <row r="47" spans="1:5" x14ac:dyDescent="0.25">
      <c r="A47" s="130" t="s">
        <v>156</v>
      </c>
      <c r="B47" s="131">
        <f>B32*2</f>
        <v>0.19400000000000001</v>
      </c>
      <c r="C47" s="131">
        <v>21</v>
      </c>
      <c r="D47" s="131">
        <v>31.5</v>
      </c>
      <c r="E47" s="132">
        <f>(B47*H3)+C47+D47</f>
        <v>149.5</v>
      </c>
    </row>
    <row r="48" spans="1:5" x14ac:dyDescent="0.25">
      <c r="A48" s="130" t="s">
        <v>157</v>
      </c>
      <c r="B48" s="131">
        <f>B33*2</f>
        <v>0.2</v>
      </c>
      <c r="C48" s="131">
        <v>31</v>
      </c>
      <c r="D48" s="131">
        <v>37</v>
      </c>
      <c r="E48" s="132">
        <f>(B48*H3)+C48+D48</f>
        <v>168</v>
      </c>
    </row>
    <row r="49" spans="1:5" x14ac:dyDescent="0.25">
      <c r="A49" s="130" t="s">
        <v>144</v>
      </c>
      <c r="B49" s="131">
        <f>B34*2</f>
        <v>0.28000000000000003</v>
      </c>
      <c r="C49" s="131">
        <v>40</v>
      </c>
      <c r="D49" s="131">
        <v>42</v>
      </c>
      <c r="E49" s="132">
        <f>(B49*H3)+C49+D49</f>
        <v>222</v>
      </c>
    </row>
    <row r="50" spans="1:5" x14ac:dyDescent="0.25">
      <c r="E50" s="140"/>
    </row>
    <row r="51" spans="1:5" x14ac:dyDescent="0.25">
      <c r="A51" s="130" t="s">
        <v>150</v>
      </c>
      <c r="B51" t="s">
        <v>151</v>
      </c>
      <c r="C51" t="s">
        <v>152</v>
      </c>
      <c r="D51" t="s">
        <v>153</v>
      </c>
      <c r="E51" s="140"/>
    </row>
    <row r="52" spans="1:5" x14ac:dyDescent="0.25">
      <c r="A52" s="130" t="s">
        <v>158</v>
      </c>
      <c r="B52" s="131">
        <f>B30*1.3*2</f>
        <v>0.2054</v>
      </c>
      <c r="C52" s="131">
        <v>16</v>
      </c>
      <c r="D52" s="131">
        <v>26.5</v>
      </c>
      <c r="E52" s="132">
        <f>(B52*H3)+C52+D52</f>
        <v>145.19999999999999</v>
      </c>
    </row>
    <row r="53" spans="1:5" x14ac:dyDescent="0.25">
      <c r="A53" s="130" t="s">
        <v>159</v>
      </c>
      <c r="B53" s="131">
        <f>B31*1.3*2</f>
        <v>0.2366</v>
      </c>
      <c r="C53" s="131">
        <v>21</v>
      </c>
      <c r="D53" s="131">
        <v>31.5</v>
      </c>
      <c r="E53" s="132">
        <f>(B53*H3)+C53+D53</f>
        <v>170.8</v>
      </c>
    </row>
    <row r="54" spans="1:5" x14ac:dyDescent="0.25">
      <c r="A54" s="130" t="s">
        <v>160</v>
      </c>
      <c r="B54" s="131">
        <f>B32*1.3*2</f>
        <v>0.25220000000000004</v>
      </c>
      <c r="C54" s="131">
        <v>21</v>
      </c>
      <c r="D54" s="131">
        <v>31.5</v>
      </c>
      <c r="E54" s="132">
        <f>(B54*H3)+C54+D54</f>
        <v>178.60000000000002</v>
      </c>
    </row>
    <row r="55" spans="1:5" x14ac:dyDescent="0.25">
      <c r="A55" s="130" t="s">
        <v>157</v>
      </c>
      <c r="B55" s="131">
        <f>B33*1.3*2</f>
        <v>0.26</v>
      </c>
      <c r="C55" s="131">
        <v>31</v>
      </c>
      <c r="D55" s="131">
        <v>37</v>
      </c>
      <c r="E55" s="132">
        <f>(B55*H3)+C55+D55</f>
        <v>198</v>
      </c>
    </row>
    <row r="56" spans="1:5" x14ac:dyDescent="0.25">
      <c r="A56" s="130" t="s">
        <v>144</v>
      </c>
      <c r="B56" s="131">
        <f>B34*1.3*2</f>
        <v>0.36400000000000005</v>
      </c>
      <c r="C56" s="131">
        <v>40</v>
      </c>
      <c r="D56" s="131">
        <v>42</v>
      </c>
      <c r="E56" s="132">
        <f>(B56*H3)+C56+D56</f>
        <v>264</v>
      </c>
    </row>
    <row r="59" spans="1:5" x14ac:dyDescent="0.25">
      <c r="A59" s="130" t="s">
        <v>150</v>
      </c>
      <c r="B59" t="s">
        <v>151</v>
      </c>
      <c r="C59" t="s">
        <v>152</v>
      </c>
      <c r="D59" t="s">
        <v>153</v>
      </c>
    </row>
    <row r="60" spans="1:5" x14ac:dyDescent="0.25">
      <c r="A60" s="130" t="s">
        <v>154</v>
      </c>
      <c r="B60" s="131">
        <f>B30*3</f>
        <v>0.23699999999999999</v>
      </c>
      <c r="C60" s="131">
        <v>16</v>
      </c>
      <c r="D60" s="131">
        <v>26.5</v>
      </c>
      <c r="E60" s="132">
        <f>(B60*H3)+C60+D60</f>
        <v>161</v>
      </c>
    </row>
    <row r="61" spans="1:5" x14ac:dyDescent="0.25">
      <c r="A61" s="130" t="s">
        <v>161</v>
      </c>
      <c r="B61" s="131">
        <f>B31*3</f>
        <v>0.27300000000000002</v>
      </c>
      <c r="C61" s="131">
        <v>21</v>
      </c>
      <c r="D61" s="131">
        <v>31.5</v>
      </c>
      <c r="E61" s="132">
        <f>(B61*H3)+C61+D61</f>
        <v>189</v>
      </c>
    </row>
    <row r="62" spans="1:5" x14ac:dyDescent="0.25">
      <c r="A62" s="130" t="s">
        <v>156</v>
      </c>
      <c r="B62" s="131">
        <f>B32*3</f>
        <v>0.29100000000000004</v>
      </c>
      <c r="C62" s="131">
        <v>21</v>
      </c>
      <c r="D62" s="131">
        <v>31.5</v>
      </c>
      <c r="E62" s="132">
        <f>(B62*H3)+C62+D62</f>
        <v>198.00000000000003</v>
      </c>
    </row>
    <row r="63" spans="1:5" x14ac:dyDescent="0.25">
      <c r="A63" s="130" t="s">
        <v>157</v>
      </c>
      <c r="B63" s="131">
        <f>B33*3</f>
        <v>0.30000000000000004</v>
      </c>
      <c r="C63" s="131">
        <v>31</v>
      </c>
      <c r="D63" s="131">
        <v>37</v>
      </c>
      <c r="E63" s="132">
        <f>(B63*H3)+C63+D63</f>
        <v>218.00000000000003</v>
      </c>
    </row>
    <row r="64" spans="1:5" x14ac:dyDescent="0.25">
      <c r="A64" s="130" t="s">
        <v>144</v>
      </c>
      <c r="B64" s="131">
        <f>B34*3</f>
        <v>0.42000000000000004</v>
      </c>
      <c r="C64" s="131">
        <v>40</v>
      </c>
      <c r="D64" s="131">
        <v>42</v>
      </c>
      <c r="E64" s="132">
        <f>(B64*H3)+C64+D64</f>
        <v>292</v>
      </c>
    </row>
    <row r="65" spans="1:5" x14ac:dyDescent="0.25">
      <c r="E65" s="140"/>
    </row>
    <row r="66" spans="1:5" x14ac:dyDescent="0.25">
      <c r="A66" s="130" t="s">
        <v>150</v>
      </c>
      <c r="B66" t="s">
        <v>151</v>
      </c>
      <c r="C66" t="s">
        <v>152</v>
      </c>
      <c r="D66" t="s">
        <v>153</v>
      </c>
      <c r="E66" s="140"/>
    </row>
    <row r="67" spans="1:5" x14ac:dyDescent="0.25">
      <c r="A67" s="130" t="s">
        <v>158</v>
      </c>
      <c r="B67" s="131">
        <f>B30*1.3*3</f>
        <v>0.30809999999999998</v>
      </c>
      <c r="C67" s="131">
        <v>16</v>
      </c>
      <c r="D67" s="131">
        <v>26.5</v>
      </c>
      <c r="E67" s="132">
        <f>(B67*H3)+C67+D67</f>
        <v>196.54999999999998</v>
      </c>
    </row>
    <row r="68" spans="1:5" x14ac:dyDescent="0.25">
      <c r="A68" s="130" t="s">
        <v>162</v>
      </c>
      <c r="B68" s="131">
        <f>B31*1.3*3</f>
        <v>0.35489999999999999</v>
      </c>
      <c r="C68" s="131">
        <v>21</v>
      </c>
      <c r="D68" s="131">
        <v>31.5</v>
      </c>
      <c r="E68" s="132">
        <f>(B68*H3)+C68+D68</f>
        <v>229.95</v>
      </c>
    </row>
    <row r="69" spans="1:5" x14ac:dyDescent="0.25">
      <c r="A69" s="130" t="s">
        <v>156</v>
      </c>
      <c r="B69" s="131">
        <f>B32*1.3*3</f>
        <v>0.37830000000000008</v>
      </c>
      <c r="C69" s="131">
        <v>21</v>
      </c>
      <c r="D69" s="131">
        <v>31.5</v>
      </c>
      <c r="E69" s="132">
        <f>(B69*H3)+C69+D69</f>
        <v>241.65000000000003</v>
      </c>
    </row>
    <row r="70" spans="1:5" x14ac:dyDescent="0.25">
      <c r="A70" s="130" t="s">
        <v>157</v>
      </c>
      <c r="B70" s="131">
        <f>B33*1.3*3</f>
        <v>0.39</v>
      </c>
      <c r="C70" s="131">
        <v>31</v>
      </c>
      <c r="D70" s="131">
        <v>37</v>
      </c>
      <c r="E70" s="132">
        <f>(B70*H3)+C70+D70</f>
        <v>263</v>
      </c>
    </row>
    <row r="71" spans="1:5" x14ac:dyDescent="0.25">
      <c r="A71" s="130" t="s">
        <v>144</v>
      </c>
      <c r="B71" s="131">
        <f>B34*1.3*3</f>
        <v>0.54600000000000004</v>
      </c>
      <c r="C71" s="131">
        <v>40</v>
      </c>
      <c r="D71" s="131">
        <v>42</v>
      </c>
      <c r="E71" s="132">
        <f>(B71*H3)+C71+D71</f>
        <v>355</v>
      </c>
    </row>
    <row r="73" spans="1:5" x14ac:dyDescent="0.25">
      <c r="A73" s="130" t="s">
        <v>150</v>
      </c>
      <c r="B73" t="s">
        <v>151</v>
      </c>
      <c r="C73" t="s">
        <v>152</v>
      </c>
      <c r="D73" t="s">
        <v>153</v>
      </c>
    </row>
    <row r="74" spans="1:5" x14ac:dyDescent="0.25">
      <c r="A74" s="130" t="s">
        <v>163</v>
      </c>
      <c r="B74" s="131">
        <v>0.13700000000000001</v>
      </c>
      <c r="C74" s="131">
        <v>16</v>
      </c>
      <c r="D74" s="131">
        <v>26.5</v>
      </c>
      <c r="E74" s="132">
        <f>(B74*H3)+C74+D74</f>
        <v>111</v>
      </c>
    </row>
    <row r="75" spans="1:5" x14ac:dyDescent="0.25">
      <c r="A75" s="130" t="s">
        <v>155</v>
      </c>
      <c r="B75" s="131">
        <v>0.19</v>
      </c>
      <c r="C75" s="131">
        <v>21</v>
      </c>
      <c r="D75" s="131">
        <v>31.5</v>
      </c>
      <c r="E75" s="132">
        <f>(B75*H3)+C75+D75</f>
        <v>147.5</v>
      </c>
    </row>
    <row r="76" spans="1:5" x14ac:dyDescent="0.25">
      <c r="A76" s="130" t="s">
        <v>156</v>
      </c>
      <c r="B76" s="131">
        <v>0.21</v>
      </c>
      <c r="C76" s="131">
        <v>21</v>
      </c>
      <c r="D76" s="131">
        <v>31.5</v>
      </c>
      <c r="E76" s="132">
        <f>(B76*H3)+C76+D76</f>
        <v>157.5</v>
      </c>
    </row>
    <row r="77" spans="1:5" x14ac:dyDescent="0.25">
      <c r="A77" s="130" t="s">
        <v>157</v>
      </c>
      <c r="B77" s="131">
        <v>0.27300000000000002</v>
      </c>
      <c r="C77" s="131">
        <v>31</v>
      </c>
      <c r="D77" s="131">
        <v>37</v>
      </c>
      <c r="E77" s="132">
        <f>(B77*H3)+C77+D77</f>
        <v>204.5</v>
      </c>
    </row>
    <row r="78" spans="1:5" x14ac:dyDescent="0.25">
      <c r="A78" s="130" t="s">
        <v>144</v>
      </c>
      <c r="B78" s="131">
        <v>0.29499999999999998</v>
      </c>
      <c r="C78" s="131">
        <v>40</v>
      </c>
      <c r="D78" s="131">
        <v>42</v>
      </c>
      <c r="E78" s="132">
        <f>(B78*H3)+C78+D78</f>
        <v>229.5</v>
      </c>
    </row>
    <row r="80" spans="1:5" x14ac:dyDescent="0.25">
      <c r="A80" s="130" t="s">
        <v>150</v>
      </c>
      <c r="B80" t="s">
        <v>151</v>
      </c>
      <c r="C80" t="s">
        <v>152</v>
      </c>
      <c r="D80" t="s">
        <v>153</v>
      </c>
    </row>
    <row r="81" spans="1:5" x14ac:dyDescent="0.25">
      <c r="A81" s="130" t="s">
        <v>164</v>
      </c>
      <c r="B81" s="131">
        <v>0.17899999999999999</v>
      </c>
      <c r="C81" s="131">
        <v>16</v>
      </c>
      <c r="D81" s="131">
        <v>26.5</v>
      </c>
      <c r="E81" s="132">
        <f>(B81*H3)+C81+D81</f>
        <v>132</v>
      </c>
    </row>
    <row r="82" spans="1:5" x14ac:dyDescent="0.25">
      <c r="A82" s="130" t="s">
        <v>155</v>
      </c>
      <c r="B82" s="131">
        <v>0.24199999999999999</v>
      </c>
      <c r="C82" s="131">
        <v>21</v>
      </c>
      <c r="D82" s="131">
        <v>31.5</v>
      </c>
      <c r="E82" s="132">
        <f>(B82*H3)+C82+D82</f>
        <v>173.5</v>
      </c>
    </row>
    <row r="83" spans="1:5" x14ac:dyDescent="0.25">
      <c r="A83" s="130" t="s">
        <v>156</v>
      </c>
      <c r="B83" s="131">
        <v>0.30499999999999999</v>
      </c>
      <c r="C83" s="131">
        <v>21</v>
      </c>
      <c r="D83" s="131">
        <v>31.5</v>
      </c>
      <c r="E83" s="132">
        <f>(B83*H3)+C83+D83</f>
        <v>205</v>
      </c>
    </row>
    <row r="84" spans="1:5" x14ac:dyDescent="0.25">
      <c r="A84" s="130" t="s">
        <v>157</v>
      </c>
      <c r="B84" s="131">
        <v>0.33600000000000002</v>
      </c>
      <c r="C84" s="131">
        <v>31</v>
      </c>
      <c r="D84" s="131">
        <v>37</v>
      </c>
      <c r="E84" s="132">
        <f>(B84*H3)+C84+D84</f>
        <v>236</v>
      </c>
    </row>
    <row r="85" spans="1:5" x14ac:dyDescent="0.25">
      <c r="A85" s="130" t="s">
        <v>144</v>
      </c>
      <c r="B85" s="131">
        <v>0.36799999999999999</v>
      </c>
      <c r="C85" s="131">
        <v>40</v>
      </c>
      <c r="D85" s="131">
        <v>42</v>
      </c>
      <c r="E85" s="132">
        <f>(B85*H3)+C85+D85</f>
        <v>266</v>
      </c>
    </row>
    <row r="87" spans="1:5" x14ac:dyDescent="0.25">
      <c r="A87" s="130" t="s">
        <v>150</v>
      </c>
      <c r="B87" t="s">
        <v>151</v>
      </c>
      <c r="C87" t="s">
        <v>152</v>
      </c>
      <c r="D87" t="s">
        <v>153</v>
      </c>
    </row>
    <row r="88" spans="1:5" x14ac:dyDescent="0.25">
      <c r="A88" s="130" t="s">
        <v>165</v>
      </c>
      <c r="B88" s="131">
        <v>0.14699999999999999</v>
      </c>
      <c r="C88" s="131">
        <v>16</v>
      </c>
      <c r="D88" s="131">
        <v>26.5</v>
      </c>
      <c r="E88" s="132">
        <f>(B88*H3)+C88+D88</f>
        <v>116</v>
      </c>
    </row>
    <row r="89" spans="1:5" x14ac:dyDescent="0.25">
      <c r="A89" s="130" t="s">
        <v>155</v>
      </c>
      <c r="B89" s="131">
        <v>0.27300000000000002</v>
      </c>
      <c r="C89" s="131">
        <v>21</v>
      </c>
      <c r="D89" s="131">
        <v>31.5</v>
      </c>
      <c r="E89" s="132">
        <f>(B89*H3)+C89+D89</f>
        <v>189</v>
      </c>
    </row>
    <row r="90" spans="1:5" x14ac:dyDescent="0.25">
      <c r="A90" s="130" t="s">
        <v>156</v>
      </c>
      <c r="B90" s="131">
        <v>0.29499999999999998</v>
      </c>
      <c r="C90" s="131">
        <v>21</v>
      </c>
      <c r="D90" s="131">
        <v>31.5</v>
      </c>
      <c r="E90" s="132">
        <f>(B90*H3)+C90+D90</f>
        <v>200</v>
      </c>
    </row>
    <row r="91" spans="1:5" x14ac:dyDescent="0.25">
      <c r="A91" s="130" t="s">
        <v>157</v>
      </c>
      <c r="B91" s="131">
        <v>0.315</v>
      </c>
      <c r="C91" s="131">
        <v>31</v>
      </c>
      <c r="D91" s="131">
        <v>37</v>
      </c>
      <c r="E91" s="132">
        <f>(B91*H3)+C91+D91</f>
        <v>225.5</v>
      </c>
    </row>
    <row r="92" spans="1:5" x14ac:dyDescent="0.25">
      <c r="A92" s="130" t="s">
        <v>144</v>
      </c>
      <c r="B92" s="131">
        <v>0.33600000000000002</v>
      </c>
      <c r="C92" s="131">
        <v>40</v>
      </c>
      <c r="D92" s="131">
        <v>42</v>
      </c>
      <c r="E92" s="132">
        <f>(B92*H3)+C92+D92</f>
        <v>250</v>
      </c>
    </row>
  </sheetData>
  <mergeCells count="1">
    <mergeCell ref="D6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V91"/>
  <sheetViews>
    <sheetView topLeftCell="A7" zoomScale="90" zoomScaleNormal="90" workbookViewId="0">
      <selection activeCell="AP13" sqref="AP13"/>
    </sheetView>
  </sheetViews>
  <sheetFormatPr defaultRowHeight="15.75" x14ac:dyDescent="0.25"/>
  <cols>
    <col min="1" max="280" width="2.28515625" style="235" customWidth="1"/>
    <col min="281" max="16384" width="9.140625" style="235"/>
  </cols>
  <sheetData>
    <row r="1" spans="1:230" ht="21" x14ac:dyDescent="0.35">
      <c r="A1" s="797" t="s">
        <v>173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  <c r="R1" s="717"/>
      <c r="S1" s="717"/>
      <c r="T1" s="717"/>
      <c r="U1" s="717"/>
      <c r="V1" s="717"/>
      <c r="W1" s="717"/>
      <c r="X1" s="717"/>
      <c r="Y1" s="717"/>
      <c r="Z1" s="717"/>
      <c r="AA1" s="717"/>
      <c r="AB1" s="717"/>
      <c r="AC1" s="717"/>
      <c r="AD1" s="717"/>
      <c r="AE1" s="717"/>
      <c r="AF1" s="717"/>
      <c r="AG1" s="717"/>
      <c r="AH1" s="717"/>
      <c r="AI1" s="717"/>
      <c r="AJ1" s="717"/>
      <c r="AK1" s="717"/>
      <c r="AL1" s="717"/>
      <c r="AM1" s="717"/>
      <c r="AN1" s="717"/>
      <c r="AO1" s="717"/>
      <c r="AP1" s="717"/>
      <c r="AQ1" s="717"/>
      <c r="AR1" s="717"/>
      <c r="AS1" s="717"/>
      <c r="AT1" s="717"/>
      <c r="AU1" s="717"/>
      <c r="AV1" s="717"/>
      <c r="AW1" s="717"/>
      <c r="AX1" s="717"/>
      <c r="AY1" s="717"/>
      <c r="AZ1" s="717"/>
      <c r="BA1" s="717"/>
      <c r="BB1" s="717"/>
      <c r="BC1" s="717"/>
      <c r="BD1" s="717"/>
      <c r="BE1" s="717"/>
      <c r="BF1" s="717"/>
      <c r="BG1" s="717"/>
      <c r="BH1" s="717"/>
      <c r="BI1" s="717"/>
      <c r="BJ1" s="717"/>
      <c r="BK1" s="717"/>
      <c r="BL1" s="717"/>
      <c r="BM1" s="717"/>
      <c r="BN1" s="717"/>
      <c r="BO1" s="717"/>
      <c r="BP1" s="717"/>
      <c r="CH1" s="798" t="s">
        <v>174</v>
      </c>
      <c r="CI1" s="799"/>
      <c r="CJ1" s="799"/>
      <c r="CK1" s="799"/>
      <c r="CL1" s="799"/>
      <c r="CM1" s="799"/>
      <c r="CN1" s="799"/>
      <c r="CO1" s="799"/>
      <c r="CP1" s="799"/>
      <c r="CQ1" s="799"/>
      <c r="CR1" s="799"/>
      <c r="CS1" s="799"/>
      <c r="CT1" s="203"/>
      <c r="CU1" s="800">
        <v>2</v>
      </c>
      <c r="CV1" s="801"/>
      <c r="CY1" s="250">
        <v>1</v>
      </c>
      <c r="CZ1" s="784" t="s">
        <v>181</v>
      </c>
      <c r="DA1" s="785"/>
      <c r="DB1" s="785"/>
      <c r="DC1" s="785"/>
      <c r="DD1" s="785"/>
      <c r="DE1" s="785"/>
      <c r="DF1" s="785"/>
      <c r="DG1" s="785"/>
      <c r="DH1" s="785"/>
      <c r="DI1" s="785"/>
      <c r="DJ1" s="785"/>
      <c r="DK1" s="785"/>
      <c r="DL1" s="808">
        <v>3</v>
      </c>
      <c r="DM1" s="809"/>
      <c r="EE1" s="237"/>
    </row>
    <row r="2" spans="1:230" x14ac:dyDescent="0.25">
      <c r="A2" s="238"/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CH2" s="798" t="s">
        <v>175</v>
      </c>
      <c r="CI2" s="799"/>
      <c r="CJ2" s="799"/>
      <c r="CK2" s="799"/>
      <c r="CL2" s="799"/>
      <c r="CM2" s="799"/>
      <c r="CN2" s="799"/>
      <c r="CO2" s="799"/>
      <c r="CP2" s="799"/>
      <c r="CQ2" s="799"/>
      <c r="CR2" s="799"/>
      <c r="CS2" s="799"/>
      <c r="CT2" s="203"/>
      <c r="CU2" s="800">
        <v>3</v>
      </c>
      <c r="CV2" s="801"/>
      <c r="CY2" s="250">
        <v>2</v>
      </c>
      <c r="CZ2" s="810" t="s">
        <v>182</v>
      </c>
      <c r="DA2" s="810"/>
      <c r="DB2" s="810"/>
      <c r="DC2" s="730"/>
      <c r="DD2" s="730"/>
      <c r="DE2" s="730"/>
      <c r="DF2" s="730"/>
      <c r="DG2" s="730"/>
      <c r="DH2" s="730"/>
      <c r="DI2" s="730"/>
      <c r="DJ2" s="730"/>
      <c r="DK2" s="731"/>
      <c r="DL2" s="808">
        <v>1</v>
      </c>
      <c r="DM2" s="809"/>
      <c r="DN2" s="236"/>
      <c r="DO2" s="236"/>
      <c r="DP2" s="236"/>
      <c r="DQ2" s="236"/>
      <c r="DR2" s="236"/>
      <c r="DS2" s="236"/>
      <c r="DT2" s="239"/>
      <c r="DU2" s="236"/>
      <c r="DV2" s="236"/>
      <c r="DW2" s="240"/>
      <c r="DX2" s="241"/>
      <c r="DY2" s="236"/>
      <c r="DZ2" s="236"/>
      <c r="EA2" s="238"/>
    </row>
    <row r="3" spans="1:230" x14ac:dyDescent="0.25">
      <c r="A3" s="773" t="s">
        <v>0</v>
      </c>
      <c r="B3" s="717"/>
      <c r="C3" s="717"/>
      <c r="D3" s="717"/>
      <c r="E3" s="717"/>
      <c r="F3" s="717"/>
      <c r="G3" s="717"/>
      <c r="H3" s="717"/>
      <c r="I3" s="717"/>
      <c r="J3" s="242"/>
      <c r="K3" s="802"/>
      <c r="L3" s="717"/>
      <c r="M3" s="717"/>
      <c r="N3" s="717"/>
      <c r="O3" s="717"/>
      <c r="P3" s="717"/>
      <c r="Q3" s="717"/>
      <c r="R3" s="717"/>
      <c r="S3" s="717"/>
      <c r="T3" s="717"/>
      <c r="U3" s="717"/>
      <c r="V3" s="717"/>
      <c r="W3" s="717"/>
      <c r="X3" s="717"/>
      <c r="Y3" s="717"/>
      <c r="Z3" s="717"/>
      <c r="AA3" s="717"/>
      <c r="AB3" s="717"/>
      <c r="AC3" s="717"/>
      <c r="AD3" s="717"/>
      <c r="AE3" s="717"/>
      <c r="AF3" s="717"/>
      <c r="AG3" s="717"/>
      <c r="AH3" s="717"/>
      <c r="AI3" s="717"/>
      <c r="AJ3" s="717"/>
      <c r="AK3" s="717"/>
      <c r="AL3" s="717"/>
      <c r="AM3" s="717"/>
      <c r="AN3" s="717"/>
      <c r="AO3" s="717"/>
      <c r="AP3" s="717"/>
      <c r="AQ3" s="717"/>
      <c r="AR3" s="717"/>
      <c r="AS3" s="717"/>
      <c r="AV3" s="806" t="s">
        <v>2</v>
      </c>
      <c r="AW3" s="717"/>
      <c r="AX3" s="717"/>
      <c r="AY3" s="717"/>
      <c r="AZ3" s="717"/>
      <c r="BA3" s="717"/>
      <c r="BB3" s="717"/>
      <c r="BC3" s="717"/>
      <c r="BD3" s="717"/>
      <c r="BE3" s="807" t="s">
        <v>176</v>
      </c>
      <c r="BF3" s="717"/>
      <c r="BG3" s="717"/>
      <c r="BH3" s="717"/>
      <c r="BI3" s="717"/>
      <c r="BJ3" s="717"/>
      <c r="BK3" s="717"/>
      <c r="BL3" s="717"/>
      <c r="BM3" s="717"/>
      <c r="BN3" s="717"/>
      <c r="BO3" s="233"/>
      <c r="BP3" s="233"/>
      <c r="BQ3" s="233"/>
      <c r="BR3" s="233"/>
      <c r="BS3" s="233"/>
      <c r="BT3" s="236"/>
      <c r="BU3" s="236"/>
      <c r="BV3" s="236"/>
      <c r="BW3" s="236"/>
      <c r="BX3" s="236"/>
      <c r="BY3" s="236"/>
      <c r="BZ3" s="236"/>
      <c r="CA3" s="236"/>
      <c r="CB3" s="236"/>
      <c r="CC3" s="236"/>
      <c r="CH3" s="798" t="s">
        <v>177</v>
      </c>
      <c r="CI3" s="799"/>
      <c r="CJ3" s="799"/>
      <c r="CK3" s="799"/>
      <c r="CL3" s="799"/>
      <c r="CM3" s="799"/>
      <c r="CN3" s="799"/>
      <c r="CO3" s="799"/>
      <c r="CP3" s="799"/>
      <c r="CQ3" s="799"/>
      <c r="CR3" s="799"/>
      <c r="CS3" s="799"/>
      <c r="CT3" s="203"/>
      <c r="CU3" s="800">
        <v>4</v>
      </c>
      <c r="CV3" s="801"/>
      <c r="CY3" s="250"/>
      <c r="CZ3" s="263"/>
      <c r="DA3" s="263"/>
      <c r="DB3" s="263"/>
      <c r="DC3" s="264"/>
      <c r="DD3" s="264"/>
      <c r="DE3" s="264"/>
      <c r="DF3" s="264"/>
      <c r="DG3" s="264"/>
      <c r="DH3" s="264"/>
      <c r="DI3" s="264"/>
      <c r="DJ3" s="264"/>
      <c r="DK3" s="264"/>
      <c r="DL3" s="268"/>
      <c r="DM3" s="269"/>
      <c r="DN3" s="236"/>
      <c r="DO3" s="236"/>
      <c r="DP3" s="236"/>
      <c r="DQ3" s="236"/>
      <c r="DR3" s="236"/>
      <c r="DS3" s="236"/>
      <c r="DT3" s="239"/>
      <c r="DU3" s="236"/>
      <c r="DV3" s="236"/>
      <c r="DW3" s="240"/>
      <c r="DX3" s="241"/>
      <c r="DY3" s="236"/>
      <c r="DZ3" s="236"/>
      <c r="EA3" s="238"/>
    </row>
    <row r="4" spans="1:230" x14ac:dyDescent="0.25">
      <c r="A4" s="773" t="s">
        <v>1</v>
      </c>
      <c r="B4" s="717"/>
      <c r="C4" s="717"/>
      <c r="D4" s="717"/>
      <c r="E4" s="717"/>
      <c r="F4" s="717"/>
      <c r="G4" s="717"/>
      <c r="H4" s="717"/>
      <c r="I4" s="717"/>
      <c r="J4" s="717"/>
      <c r="K4" s="802"/>
      <c r="L4" s="717"/>
      <c r="M4" s="717"/>
      <c r="N4" s="717"/>
      <c r="O4" s="717"/>
      <c r="P4" s="717"/>
      <c r="Q4" s="717"/>
      <c r="R4" s="717"/>
      <c r="S4" s="717"/>
      <c r="T4" s="717"/>
      <c r="U4" s="717"/>
      <c r="V4" s="717"/>
      <c r="W4" s="717"/>
      <c r="X4" s="717"/>
      <c r="Y4" s="717"/>
      <c r="Z4" s="717"/>
      <c r="AA4" s="717"/>
      <c r="AB4" s="717"/>
      <c r="AC4" s="717"/>
      <c r="AD4" s="717"/>
      <c r="AE4" s="717"/>
      <c r="AF4" s="717"/>
      <c r="AG4" s="717"/>
      <c r="AH4" s="717"/>
      <c r="AI4" s="717"/>
      <c r="AJ4" s="717"/>
      <c r="AK4" s="717"/>
      <c r="AL4" s="717"/>
      <c r="AM4" s="717"/>
      <c r="AN4" s="717"/>
      <c r="AO4" s="717"/>
      <c r="AP4" s="717"/>
      <c r="AQ4" s="717"/>
      <c r="AR4" s="717"/>
      <c r="AS4" s="717"/>
      <c r="CH4" s="798" t="s">
        <v>178</v>
      </c>
      <c r="CI4" s="799"/>
      <c r="CJ4" s="799"/>
      <c r="CK4" s="799"/>
      <c r="CL4" s="799"/>
      <c r="CM4" s="799"/>
      <c r="CN4" s="799"/>
      <c r="CO4" s="799"/>
      <c r="CP4" s="799"/>
      <c r="CQ4" s="799"/>
      <c r="CR4" s="799"/>
      <c r="CS4" s="799"/>
      <c r="CT4" s="203"/>
      <c r="CU4" s="800">
        <v>8</v>
      </c>
      <c r="CV4" s="801"/>
      <c r="CY4" s="250"/>
      <c r="CZ4" s="263"/>
      <c r="DA4" s="263"/>
      <c r="DB4" s="263"/>
      <c r="DC4" s="264"/>
      <c r="DD4" s="264"/>
      <c r="DE4" s="264"/>
      <c r="DF4" s="264"/>
      <c r="DG4" s="264"/>
      <c r="DH4" s="264"/>
      <c r="DI4" s="264"/>
      <c r="DJ4" s="264"/>
      <c r="DK4" s="264"/>
      <c r="DL4" s="268"/>
      <c r="DM4" s="269"/>
      <c r="DN4" s="236"/>
      <c r="DO4" s="236"/>
      <c r="DP4" s="236"/>
      <c r="DQ4" s="236"/>
      <c r="DR4" s="236"/>
      <c r="DS4" s="236"/>
      <c r="DT4" s="239"/>
      <c r="DU4" s="236"/>
      <c r="DV4" s="236"/>
      <c r="DW4" s="240"/>
      <c r="DX4" s="241"/>
      <c r="DY4" s="236"/>
      <c r="DZ4" s="236"/>
      <c r="EA4" s="238"/>
    </row>
    <row r="5" spans="1:230" x14ac:dyDescent="0.25">
      <c r="A5" s="773" t="s">
        <v>3</v>
      </c>
      <c r="B5" s="717"/>
      <c r="C5" s="717"/>
      <c r="D5" s="717"/>
      <c r="E5" s="717"/>
      <c r="F5" s="717"/>
      <c r="G5" s="717"/>
      <c r="H5" s="717"/>
      <c r="I5" s="717"/>
      <c r="J5" s="236"/>
      <c r="K5" s="802"/>
      <c r="L5" s="717"/>
      <c r="M5" s="717"/>
      <c r="N5" s="717"/>
      <c r="O5" s="717"/>
      <c r="P5" s="717"/>
      <c r="Q5" s="717"/>
      <c r="R5" s="717"/>
      <c r="S5" s="717"/>
      <c r="T5" s="717"/>
      <c r="U5" s="717"/>
      <c r="V5" s="717"/>
      <c r="W5" s="717"/>
      <c r="X5" s="717"/>
      <c r="Y5" s="717"/>
      <c r="Z5" s="717"/>
      <c r="AA5" s="717"/>
      <c r="AB5" s="717"/>
      <c r="AC5" s="717"/>
      <c r="AD5" s="717"/>
      <c r="AE5" s="717"/>
      <c r="AF5" s="717"/>
      <c r="AG5" s="717"/>
      <c r="AH5" s="717"/>
      <c r="AI5" s="717"/>
      <c r="AJ5" s="717"/>
      <c r="AK5" s="717"/>
      <c r="AL5" s="717"/>
      <c r="AM5" s="717"/>
      <c r="AN5" s="717"/>
      <c r="AO5" s="717"/>
      <c r="AP5" s="717"/>
      <c r="AQ5" s="717"/>
      <c r="AR5" s="717"/>
      <c r="AS5" s="717"/>
      <c r="CY5" s="250"/>
      <c r="CZ5" s="263"/>
      <c r="DA5" s="263"/>
      <c r="DB5" s="263"/>
      <c r="DC5" s="264"/>
      <c r="DD5" s="264"/>
      <c r="DE5" s="264"/>
      <c r="DF5" s="264"/>
      <c r="DG5" s="264"/>
      <c r="DH5" s="264"/>
      <c r="DI5" s="264"/>
      <c r="DJ5" s="264"/>
      <c r="DK5" s="264"/>
      <c r="DL5" s="268"/>
      <c r="DM5" s="269"/>
    </row>
    <row r="6" spans="1:230" x14ac:dyDescent="0.25">
      <c r="A6" s="238"/>
      <c r="B6" s="238"/>
      <c r="C6" s="238"/>
      <c r="D6" s="238"/>
      <c r="E6" s="203"/>
      <c r="F6" s="203"/>
      <c r="G6" s="203"/>
      <c r="H6" s="238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CH6" s="784" t="s">
        <v>166</v>
      </c>
      <c r="CI6" s="785"/>
      <c r="CJ6" s="785"/>
      <c r="CK6" s="785"/>
      <c r="CL6" s="785"/>
      <c r="CM6" s="785"/>
      <c r="CN6" s="785"/>
      <c r="CO6" s="785"/>
      <c r="CP6" s="785"/>
      <c r="CQ6" s="785"/>
      <c r="CR6" s="785"/>
      <c r="CS6" s="785"/>
      <c r="CT6" s="812">
        <v>60</v>
      </c>
      <c r="CU6" s="813"/>
      <c r="CV6" s="813"/>
      <c r="CY6" s="250"/>
      <c r="CZ6" s="263"/>
      <c r="DA6" s="263"/>
      <c r="DB6" s="263"/>
      <c r="DC6" s="264"/>
      <c r="DD6" s="264"/>
      <c r="DE6" s="264"/>
      <c r="DF6" s="264"/>
      <c r="DG6" s="264"/>
      <c r="DH6" s="264"/>
      <c r="DI6" s="264"/>
      <c r="DJ6" s="264"/>
      <c r="DK6" s="264"/>
      <c r="DL6" s="268"/>
      <c r="DM6" s="269"/>
    </row>
    <row r="7" spans="1:230" x14ac:dyDescent="0.25">
      <c r="A7" s="805" t="s">
        <v>4</v>
      </c>
      <c r="B7" s="717"/>
      <c r="C7" s="717"/>
      <c r="D7" s="238"/>
      <c r="E7" s="238" t="s">
        <v>23</v>
      </c>
      <c r="F7" s="236"/>
      <c r="J7" s="717"/>
      <c r="K7" s="717"/>
      <c r="L7" s="717"/>
      <c r="M7" s="717"/>
      <c r="N7" s="717"/>
      <c r="O7" s="717"/>
      <c r="P7" s="717"/>
      <c r="Q7" s="717"/>
      <c r="R7" s="717"/>
      <c r="S7" s="717"/>
      <c r="T7" s="717"/>
      <c r="U7" s="717"/>
      <c r="V7" s="717"/>
      <c r="W7" s="717"/>
      <c r="X7" s="717"/>
      <c r="Y7" s="717"/>
      <c r="Z7" s="717"/>
      <c r="AA7" s="717"/>
      <c r="AB7" s="717"/>
      <c r="AC7" s="717"/>
      <c r="AD7" s="717"/>
      <c r="AE7" s="717"/>
      <c r="AF7" s="717"/>
      <c r="AG7" s="717"/>
      <c r="AH7" s="717"/>
      <c r="AI7" s="717"/>
      <c r="AJ7" s="717"/>
      <c r="AK7" s="717"/>
      <c r="AL7" s="717"/>
      <c r="CH7" s="793" t="s">
        <v>179</v>
      </c>
      <c r="CI7" s="730"/>
      <c r="CJ7" s="730"/>
      <c r="CK7" s="730"/>
      <c r="CL7" s="730"/>
      <c r="CM7" s="730"/>
      <c r="CN7" s="730"/>
      <c r="CO7" s="730"/>
      <c r="CP7" s="730"/>
      <c r="CQ7" s="730"/>
      <c r="CR7" s="730"/>
      <c r="CS7" s="730"/>
      <c r="CT7" s="794">
        <v>16</v>
      </c>
      <c r="CU7" s="795"/>
      <c r="CV7" s="796"/>
      <c r="CY7" s="250"/>
      <c r="CZ7" s="263"/>
      <c r="DA7" s="263"/>
      <c r="DB7" s="263"/>
      <c r="DC7" s="264"/>
      <c r="DD7" s="264"/>
      <c r="DE7" s="264"/>
      <c r="DF7" s="264"/>
      <c r="DG7" s="264"/>
      <c r="DH7" s="264"/>
      <c r="DI7" s="264"/>
      <c r="DJ7" s="264"/>
      <c r="DK7" s="264"/>
      <c r="DL7" s="268"/>
      <c r="DM7" s="269"/>
    </row>
    <row r="8" spans="1:230" x14ac:dyDescent="0.25">
      <c r="A8" s="805" t="s">
        <v>5</v>
      </c>
      <c r="B8" s="717"/>
      <c r="C8" s="717"/>
      <c r="D8" s="717"/>
      <c r="E8" s="717"/>
      <c r="F8" s="717"/>
      <c r="J8" s="716"/>
      <c r="K8" s="717"/>
      <c r="L8" s="717"/>
      <c r="M8" s="717"/>
      <c r="N8" s="717"/>
      <c r="O8" s="717"/>
      <c r="P8" s="717"/>
      <c r="Q8" s="717"/>
      <c r="R8" s="717"/>
      <c r="S8" s="717"/>
      <c r="T8" s="717"/>
      <c r="U8" s="717"/>
      <c r="V8" s="717"/>
      <c r="W8" s="717"/>
      <c r="X8" s="717"/>
      <c r="Y8" s="717"/>
      <c r="Z8" s="717"/>
      <c r="AA8" s="717"/>
      <c r="AB8" s="717"/>
      <c r="AC8" s="717"/>
      <c r="AD8" s="717"/>
      <c r="AE8" s="717"/>
      <c r="AF8" s="717"/>
      <c r="AG8" s="717"/>
      <c r="AH8" s="717"/>
      <c r="AI8" s="717"/>
      <c r="AJ8" s="717"/>
      <c r="AK8" s="717"/>
      <c r="AL8" s="717"/>
      <c r="CH8" s="793" t="s">
        <v>167</v>
      </c>
      <c r="CI8" s="730"/>
      <c r="CJ8" s="730"/>
      <c r="CK8" s="730"/>
      <c r="CL8" s="730"/>
      <c r="CM8" s="730"/>
      <c r="CN8" s="730"/>
      <c r="CO8" s="730"/>
      <c r="CP8" s="730"/>
      <c r="CQ8" s="730"/>
      <c r="CR8" s="730"/>
      <c r="CS8" s="730"/>
      <c r="CT8" s="794">
        <f>IF($CT$6="","",(ROUNDDOWN($CT$6/$CT$7,0)))</f>
        <v>3</v>
      </c>
      <c r="CU8" s="795"/>
      <c r="CV8" s="796"/>
      <c r="CY8" s="250">
        <v>3</v>
      </c>
      <c r="CZ8" s="784" t="s">
        <v>183</v>
      </c>
      <c r="DA8" s="785"/>
      <c r="DB8" s="785"/>
      <c r="DC8" s="785"/>
      <c r="DD8" s="785"/>
      <c r="DE8" s="785"/>
      <c r="DF8" s="785"/>
      <c r="DG8" s="785"/>
      <c r="DH8" s="785"/>
      <c r="DI8" s="785"/>
      <c r="DJ8" s="785"/>
      <c r="DK8" s="785"/>
      <c r="DL8" s="811"/>
      <c r="DM8" s="809"/>
      <c r="HV8" s="243"/>
    </row>
    <row r="9" spans="1:230" x14ac:dyDescent="0.25">
      <c r="AM9" s="244"/>
      <c r="AN9" s="244"/>
      <c r="CH9" s="793" t="s">
        <v>180</v>
      </c>
      <c r="CI9" s="730"/>
      <c r="CJ9" s="730"/>
      <c r="CK9" s="730"/>
      <c r="CL9" s="730"/>
      <c r="CM9" s="730"/>
      <c r="CN9" s="730"/>
      <c r="CO9" s="730"/>
      <c r="CP9" s="730"/>
      <c r="CQ9" s="730"/>
      <c r="CR9" s="730"/>
      <c r="CS9" s="730"/>
      <c r="CT9" s="794">
        <v>8</v>
      </c>
      <c r="CU9" s="795"/>
      <c r="CV9" s="796"/>
      <c r="HV9" s="243"/>
    </row>
    <row r="10" spans="1:230" x14ac:dyDescent="0.25">
      <c r="CH10" s="793" t="s">
        <v>168</v>
      </c>
      <c r="CI10" s="730"/>
      <c r="CJ10" s="730"/>
      <c r="CK10" s="730"/>
      <c r="CL10" s="730"/>
      <c r="CM10" s="730"/>
      <c r="CN10" s="730"/>
      <c r="CO10" s="730"/>
      <c r="CP10" s="730"/>
      <c r="CQ10" s="730"/>
      <c r="CR10" s="730"/>
      <c r="CS10" s="730"/>
      <c r="CT10" s="794">
        <v>1</v>
      </c>
      <c r="CU10" s="795"/>
      <c r="CV10" s="796"/>
      <c r="CZ10" s="784" t="s">
        <v>207</v>
      </c>
      <c r="DA10" s="785"/>
      <c r="DB10" s="785"/>
      <c r="DC10" s="785"/>
      <c r="DD10" s="785"/>
      <c r="DE10" s="785"/>
      <c r="DF10" s="785"/>
      <c r="DG10" s="785"/>
      <c r="DH10" s="785"/>
      <c r="DI10" s="785"/>
      <c r="DJ10" s="785"/>
      <c r="DK10" s="785"/>
      <c r="DL10" s="803"/>
      <c r="DM10" s="804"/>
      <c r="HV10" s="243"/>
    </row>
    <row r="11" spans="1:230" x14ac:dyDescent="0.25">
      <c r="A11" s="532" t="s">
        <v>6</v>
      </c>
      <c r="B11" s="717"/>
      <c r="C11" s="717"/>
      <c r="D11" s="717"/>
      <c r="E11" s="717"/>
      <c r="F11" s="717"/>
      <c r="G11" s="717"/>
      <c r="H11" s="245"/>
      <c r="I11" s="246"/>
      <c r="J11" s="824">
        <v>4800</v>
      </c>
      <c r="K11" s="825"/>
      <c r="L11" s="825"/>
      <c r="M11" s="825"/>
      <c r="N11" s="825"/>
      <c r="O11" s="826"/>
      <c r="Q11" s="824"/>
      <c r="R11" s="825"/>
      <c r="S11" s="825"/>
      <c r="T11" s="825"/>
      <c r="U11" s="825"/>
      <c r="V11" s="826"/>
      <c r="X11" s="824"/>
      <c r="Y11" s="825"/>
      <c r="Z11" s="825"/>
      <c r="AA11" s="825"/>
      <c r="AB11" s="825"/>
      <c r="AC11" s="826"/>
      <c r="AG11" s="830" t="s">
        <v>211</v>
      </c>
      <c r="AH11" s="785"/>
      <c r="AI11" s="785"/>
      <c r="AJ11" s="785"/>
      <c r="AK11" s="785"/>
      <c r="AL11" s="785"/>
      <c r="AM11" s="785">
        <v>700</v>
      </c>
      <c r="AN11" s="785"/>
      <c r="AO11" s="247" t="s">
        <v>91</v>
      </c>
      <c r="AP11" s="785">
        <v>500</v>
      </c>
      <c r="AQ11" s="785"/>
      <c r="AS11" s="716" t="s">
        <v>212</v>
      </c>
      <c r="AT11" s="717"/>
      <c r="AU11" s="717"/>
      <c r="AV11" s="750">
        <v>2</v>
      </c>
      <c r="AW11" s="724"/>
      <c r="CY11" s="250">
        <v>1</v>
      </c>
      <c r="CZ11" s="784" t="s">
        <v>185</v>
      </c>
      <c r="DA11" s="784"/>
      <c r="DB11" s="784"/>
      <c r="DC11" s="785"/>
      <c r="DD11" s="785"/>
      <c r="DE11" s="785"/>
      <c r="DF11" s="785"/>
      <c r="DG11" s="785"/>
      <c r="DH11" s="785"/>
      <c r="DI11" s="785"/>
      <c r="DJ11" s="785"/>
      <c r="DK11" s="786"/>
      <c r="DL11" s="787"/>
      <c r="DM11" s="788"/>
    </row>
    <row r="12" spans="1:230" x14ac:dyDescent="0.25">
      <c r="A12" s="827" t="s">
        <v>40</v>
      </c>
      <c r="B12" s="717"/>
      <c r="C12" s="717"/>
      <c r="D12" s="717"/>
      <c r="E12" s="717"/>
      <c r="F12" s="717"/>
      <c r="G12" s="248"/>
      <c r="H12" s="248"/>
      <c r="I12" s="246"/>
      <c r="J12" s="823">
        <f>IF(J11="","",SUM(U28,H43,AA69,J62,T37))</f>
        <v>1257.3314285714287</v>
      </c>
      <c r="K12" s="823"/>
      <c r="L12" s="823"/>
      <c r="M12" s="823"/>
      <c r="N12" s="823"/>
      <c r="O12" s="823"/>
      <c r="Q12" s="823" t="str">
        <f>IF(Q11="","",SUM(AS43,BL69,AT62,BE37,BF28))</f>
        <v/>
      </c>
      <c r="R12" s="823"/>
      <c r="S12" s="823"/>
      <c r="T12" s="823"/>
      <c r="U12" s="823"/>
      <c r="V12" s="823"/>
      <c r="X12" s="823" t="str">
        <f>IF(X11="","",SUM(CQ28,CP37,CD43,CW69,CE62))</f>
        <v/>
      </c>
      <c r="Y12" s="823"/>
      <c r="Z12" s="823"/>
      <c r="AA12" s="823"/>
      <c r="AB12" s="823"/>
      <c r="AC12" s="823"/>
      <c r="AG12" s="793" t="s">
        <v>210</v>
      </c>
      <c r="AH12" s="730"/>
      <c r="AI12" s="730"/>
      <c r="AJ12" s="730"/>
      <c r="AK12" s="730"/>
      <c r="AL12" s="730"/>
      <c r="AM12" s="730">
        <v>700</v>
      </c>
      <c r="AN12" s="730"/>
      <c r="AO12" s="249" t="s">
        <v>91</v>
      </c>
      <c r="AP12" s="730">
        <v>500</v>
      </c>
      <c r="AQ12" s="730"/>
      <c r="AS12" s="716" t="s">
        <v>212</v>
      </c>
      <c r="AT12" s="717"/>
      <c r="AU12" s="717"/>
      <c r="AV12" s="750">
        <v>2</v>
      </c>
      <c r="AW12" s="724"/>
      <c r="CY12" s="250">
        <v>2</v>
      </c>
      <c r="CZ12" s="784" t="s">
        <v>186</v>
      </c>
      <c r="DA12" s="784"/>
      <c r="DB12" s="784"/>
      <c r="DC12" s="785"/>
      <c r="DD12" s="785"/>
      <c r="DE12" s="785"/>
      <c r="DF12" s="785"/>
      <c r="DG12" s="785"/>
      <c r="DH12" s="785"/>
      <c r="DI12" s="785"/>
      <c r="DJ12" s="785"/>
      <c r="DK12" s="786"/>
      <c r="DL12" s="828"/>
      <c r="DM12" s="829"/>
    </row>
    <row r="13" spans="1:230" x14ac:dyDescent="0.25">
      <c r="A13" s="814" t="s">
        <v>41</v>
      </c>
      <c r="B13" s="717"/>
      <c r="C13" s="717"/>
      <c r="D13" s="717"/>
      <c r="E13" s="717"/>
      <c r="F13" s="717"/>
      <c r="G13" s="717"/>
      <c r="H13" s="717"/>
      <c r="I13" s="236"/>
      <c r="J13" s="815">
        <f>IF(J11="","",J12/J11)</f>
        <v>0.26194404761904766</v>
      </c>
      <c r="K13" s="816"/>
      <c r="L13" s="816"/>
      <c r="M13" s="816"/>
      <c r="N13" s="816"/>
      <c r="O13" s="816"/>
      <c r="P13" s="279"/>
      <c r="Q13" s="815" t="str">
        <f>IF(Q11="","",Q12/Q11)</f>
        <v/>
      </c>
      <c r="R13" s="816"/>
      <c r="S13" s="816"/>
      <c r="T13" s="816"/>
      <c r="U13" s="816"/>
      <c r="V13" s="816"/>
      <c r="W13" s="279"/>
      <c r="X13" s="815" t="str">
        <f>IF(X11="","",X12/X11)</f>
        <v/>
      </c>
      <c r="Y13" s="816"/>
      <c r="Z13" s="816"/>
      <c r="AA13" s="816"/>
      <c r="AB13" s="816"/>
      <c r="AC13" s="816"/>
      <c r="CL13" s="243"/>
      <c r="CM13" s="243"/>
      <c r="CY13" s="250">
        <v>3</v>
      </c>
      <c r="CZ13" s="784" t="s">
        <v>188</v>
      </c>
      <c r="DA13" s="784"/>
      <c r="DB13" s="784"/>
      <c r="DC13" s="785"/>
      <c r="DD13" s="785"/>
      <c r="DE13" s="785"/>
      <c r="DF13" s="785"/>
      <c r="DG13" s="785"/>
      <c r="DH13" s="785"/>
      <c r="DI13" s="785"/>
      <c r="DJ13" s="785"/>
      <c r="DK13" s="786"/>
      <c r="DL13" s="787">
        <v>1</v>
      </c>
      <c r="DM13" s="788"/>
    </row>
    <row r="14" spans="1:230" ht="16.5" thickBot="1" x14ac:dyDescent="0.3">
      <c r="A14" s="266"/>
      <c r="B14" s="262"/>
      <c r="C14" s="262"/>
      <c r="D14" s="262"/>
      <c r="E14" s="262"/>
      <c r="F14" s="262"/>
      <c r="G14" s="262"/>
      <c r="H14" s="262"/>
      <c r="I14" s="262"/>
      <c r="J14" s="272"/>
      <c r="K14" s="273"/>
      <c r="L14" s="273"/>
      <c r="M14" s="273"/>
      <c r="N14" s="273"/>
      <c r="O14" s="273"/>
      <c r="Q14" s="274"/>
      <c r="R14" s="275"/>
      <c r="S14" s="275"/>
      <c r="T14" s="275"/>
      <c r="U14" s="275"/>
      <c r="V14" s="275"/>
      <c r="X14" s="274"/>
      <c r="Y14" s="275"/>
      <c r="Z14" s="275"/>
      <c r="AA14" s="275"/>
      <c r="AB14" s="275"/>
      <c r="AC14" s="275"/>
      <c r="AE14" s="276"/>
      <c r="AF14" s="277"/>
      <c r="AG14" s="817" t="s">
        <v>231</v>
      </c>
      <c r="AH14" s="817"/>
      <c r="AI14" s="817"/>
      <c r="AJ14" s="817"/>
      <c r="AK14" s="818" t="str">
        <f>IF(E23="","",E23)</f>
        <v>nivis mat 90g</v>
      </c>
      <c r="AL14" s="819"/>
      <c r="AM14" s="819"/>
      <c r="AN14" s="819"/>
      <c r="AO14" s="819"/>
      <c r="AP14" s="819"/>
      <c r="AQ14" s="819"/>
      <c r="AR14" s="819"/>
      <c r="AS14" s="819"/>
      <c r="AT14" s="819"/>
      <c r="AU14" s="819"/>
      <c r="AV14" s="819"/>
      <c r="AW14" s="819"/>
      <c r="CL14" s="243"/>
      <c r="CM14" s="243"/>
    </row>
    <row r="15" spans="1:230" ht="16.5" thickBot="1" x14ac:dyDescent="0.3">
      <c r="A15" s="532" t="s">
        <v>6</v>
      </c>
      <c r="B15" s="717"/>
      <c r="C15" s="717"/>
      <c r="D15" s="717"/>
      <c r="E15" s="717"/>
      <c r="F15" s="717"/>
      <c r="G15" s="717"/>
      <c r="H15" s="245"/>
      <c r="I15" s="262"/>
      <c r="J15" s="824"/>
      <c r="K15" s="825"/>
      <c r="L15" s="825"/>
      <c r="M15" s="825"/>
      <c r="N15" s="825"/>
      <c r="O15" s="826"/>
      <c r="P15" s="244"/>
      <c r="Q15" s="824"/>
      <c r="R15" s="825"/>
      <c r="S15" s="825"/>
      <c r="T15" s="825"/>
      <c r="U15" s="825"/>
      <c r="V15" s="826"/>
      <c r="X15" s="824"/>
      <c r="Y15" s="825"/>
      <c r="Z15" s="825"/>
      <c r="AA15" s="825"/>
      <c r="AB15" s="825"/>
      <c r="AC15" s="826"/>
      <c r="AE15" s="276"/>
      <c r="AG15" s="820" t="s">
        <v>228</v>
      </c>
      <c r="AH15" s="820"/>
      <c r="AI15" s="820"/>
      <c r="AJ15" s="820"/>
      <c r="AK15" s="821" t="str">
        <f>IF(E32="","",E32)</f>
        <v>incada 250g</v>
      </c>
      <c r="AL15" s="822"/>
      <c r="AM15" s="822"/>
      <c r="AN15" s="822"/>
      <c r="AO15" s="822"/>
      <c r="AP15" s="822"/>
      <c r="AQ15" s="822"/>
      <c r="AR15" s="822"/>
      <c r="AS15" s="822"/>
      <c r="AT15" s="822"/>
      <c r="AU15" s="822"/>
      <c r="AV15" s="822"/>
      <c r="AW15" s="822"/>
      <c r="CL15" s="243"/>
      <c r="CM15" s="243"/>
      <c r="CY15" s="250">
        <v>1</v>
      </c>
      <c r="CZ15" s="784" t="s">
        <v>189</v>
      </c>
      <c r="DA15" s="784"/>
      <c r="DB15" s="784"/>
      <c r="DC15" s="785"/>
      <c r="DD15" s="785"/>
      <c r="DE15" s="785"/>
      <c r="DF15" s="785"/>
      <c r="DG15" s="785"/>
      <c r="DH15" s="785"/>
      <c r="DI15" s="785"/>
      <c r="DJ15" s="785"/>
      <c r="DK15" s="786"/>
      <c r="DL15" s="791"/>
      <c r="DM15" s="792"/>
    </row>
    <row r="16" spans="1:230" x14ac:dyDescent="0.25">
      <c r="A16" s="827" t="s">
        <v>40</v>
      </c>
      <c r="B16" s="717"/>
      <c r="C16" s="717"/>
      <c r="D16" s="717"/>
      <c r="E16" s="717"/>
      <c r="F16" s="717"/>
      <c r="G16" s="248"/>
      <c r="H16" s="248"/>
      <c r="I16" s="262"/>
      <c r="J16" s="823" t="str">
        <f>IF(J15="","",SUM(EC28,EB37,DP43,EI69,DQ62))</f>
        <v/>
      </c>
      <c r="K16" s="730"/>
      <c r="L16" s="730"/>
      <c r="M16" s="730"/>
      <c r="N16" s="730"/>
      <c r="O16" s="730"/>
      <c r="P16" s="244"/>
      <c r="Q16" s="823" t="str">
        <f>IF(Q15="","",SUM(FP28,FO37,FC43,FD62,FV69))</f>
        <v/>
      </c>
      <c r="R16" s="730"/>
      <c r="S16" s="730"/>
      <c r="T16" s="730"/>
      <c r="U16" s="730"/>
      <c r="V16" s="730"/>
      <c r="X16" s="823" t="str">
        <f>IF(X15="","",SUM(HC28,HB37,GP43,GQ62,HI69))</f>
        <v/>
      </c>
      <c r="Y16" s="730"/>
      <c r="Z16" s="730"/>
      <c r="AA16" s="730"/>
      <c r="AB16" s="730"/>
      <c r="AC16" s="730"/>
      <c r="AE16" s="276"/>
      <c r="CL16" s="243"/>
      <c r="CM16" s="243"/>
      <c r="CY16" s="250">
        <v>2</v>
      </c>
      <c r="CZ16" s="784" t="s">
        <v>190</v>
      </c>
      <c r="DA16" s="784"/>
      <c r="DB16" s="784"/>
      <c r="DC16" s="785"/>
      <c r="DD16" s="785"/>
      <c r="DE16" s="785"/>
      <c r="DF16" s="785"/>
      <c r="DG16" s="785"/>
      <c r="DH16" s="785"/>
      <c r="DI16" s="785"/>
      <c r="DJ16" s="785"/>
      <c r="DK16" s="786"/>
      <c r="DL16" s="791"/>
      <c r="DM16" s="792"/>
    </row>
    <row r="17" spans="1:227" x14ac:dyDescent="0.25">
      <c r="A17" s="814" t="s">
        <v>41</v>
      </c>
      <c r="B17" s="717"/>
      <c r="C17" s="717"/>
      <c r="D17" s="717"/>
      <c r="E17" s="717"/>
      <c r="F17" s="717"/>
      <c r="G17" s="717"/>
      <c r="H17" s="717"/>
      <c r="I17" s="262"/>
      <c r="J17" s="815" t="str">
        <f>IF(J15="","",J16/J15)</f>
        <v/>
      </c>
      <c r="K17" s="816"/>
      <c r="L17" s="816"/>
      <c r="M17" s="816"/>
      <c r="N17" s="816"/>
      <c r="O17" s="816"/>
      <c r="P17" s="279"/>
      <c r="Q17" s="815" t="str">
        <f>IF(Q15="","",Q16/Q15)</f>
        <v/>
      </c>
      <c r="R17" s="816"/>
      <c r="S17" s="816"/>
      <c r="T17" s="816"/>
      <c r="U17" s="816"/>
      <c r="V17" s="816"/>
      <c r="W17" s="279"/>
      <c r="X17" s="815" t="str">
        <f>IF(X15="","",X16/X15)</f>
        <v/>
      </c>
      <c r="Y17" s="816"/>
      <c r="Z17" s="816"/>
      <c r="AA17" s="816"/>
      <c r="AB17" s="816"/>
      <c r="AC17" s="816"/>
      <c r="AE17" s="276"/>
      <c r="AF17" s="277"/>
      <c r="AG17" s="277"/>
      <c r="AH17" s="277"/>
      <c r="AI17" s="277"/>
      <c r="AJ17" s="277"/>
      <c r="AL17" s="276"/>
      <c r="AM17" s="277"/>
      <c r="AN17" s="277"/>
      <c r="AO17" s="277"/>
      <c r="AP17" s="277"/>
      <c r="AQ17" s="277"/>
      <c r="CL17" s="243"/>
      <c r="CM17" s="243"/>
      <c r="CY17" s="250">
        <v>3</v>
      </c>
      <c r="CZ17" s="784" t="s">
        <v>191</v>
      </c>
      <c r="DA17" s="784"/>
      <c r="DB17" s="784"/>
      <c r="DC17" s="785"/>
      <c r="DD17" s="785"/>
      <c r="DE17" s="785"/>
      <c r="DF17" s="785"/>
      <c r="DG17" s="785"/>
      <c r="DH17" s="785"/>
      <c r="DI17" s="785"/>
      <c r="DJ17" s="785"/>
      <c r="DK17" s="786"/>
      <c r="DL17" s="791"/>
      <c r="DM17" s="792"/>
    </row>
    <row r="18" spans="1:227" x14ac:dyDescent="0.25">
      <c r="A18" s="266"/>
      <c r="B18" s="262"/>
      <c r="C18" s="262"/>
      <c r="D18" s="262"/>
      <c r="E18" s="262"/>
      <c r="F18" s="262"/>
      <c r="G18" s="262"/>
      <c r="H18" s="262"/>
      <c r="I18" s="262"/>
      <c r="J18" s="272"/>
      <c r="K18" s="273"/>
      <c r="L18" s="273"/>
      <c r="M18" s="273"/>
      <c r="N18" s="273"/>
      <c r="O18" s="273"/>
      <c r="Q18" s="274"/>
      <c r="R18" s="275"/>
      <c r="S18" s="275"/>
      <c r="T18" s="275"/>
      <c r="U18" s="275"/>
      <c r="V18" s="275"/>
      <c r="X18" s="274"/>
      <c r="Y18" s="275"/>
      <c r="Z18" s="275"/>
      <c r="AA18" s="275"/>
      <c r="AB18" s="275"/>
      <c r="AC18" s="275"/>
      <c r="AE18" s="276"/>
      <c r="AF18" s="277"/>
      <c r="AG18" s="277"/>
      <c r="AH18" s="277"/>
      <c r="AI18" s="277"/>
      <c r="AJ18" s="277"/>
      <c r="AL18" s="276"/>
      <c r="AM18" s="277"/>
      <c r="AN18" s="277"/>
      <c r="AO18" s="277"/>
      <c r="AP18" s="277"/>
      <c r="AQ18" s="277"/>
      <c r="EJ18" s="243"/>
      <c r="EK18" s="243"/>
    </row>
    <row r="19" spans="1:227" x14ac:dyDescent="0.25">
      <c r="A19" s="251"/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Z19" s="244"/>
      <c r="AA19" s="244"/>
      <c r="AB19" s="244"/>
      <c r="AC19" s="244"/>
      <c r="AD19" s="244"/>
      <c r="AE19" s="244"/>
      <c r="AF19" s="244"/>
      <c r="AG19" s="244"/>
      <c r="AH19" s="244"/>
      <c r="AI19" s="244"/>
      <c r="AJ19" s="244"/>
      <c r="EJ19" s="243"/>
      <c r="EK19" s="243"/>
    </row>
    <row r="20" spans="1:227" x14ac:dyDescent="0.25">
      <c r="BO20" s="251"/>
      <c r="BP20" s="251"/>
      <c r="BQ20" s="251"/>
      <c r="BR20" s="251"/>
      <c r="BS20" s="251"/>
      <c r="BT20" s="251"/>
      <c r="BU20" s="251"/>
      <c r="BV20" s="251"/>
      <c r="BW20" s="251"/>
      <c r="BX20" s="251"/>
      <c r="BY20" s="251"/>
      <c r="BZ20" s="251"/>
      <c r="CA20" s="251"/>
      <c r="EJ20" s="243"/>
      <c r="EK20" s="243"/>
    </row>
    <row r="21" spans="1:227" x14ac:dyDescent="0.25">
      <c r="A21" s="770" t="s">
        <v>209</v>
      </c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71" t="str">
        <f>E23</f>
        <v>nivis mat 90g</v>
      </c>
      <c r="P21" s="771"/>
      <c r="Q21" s="771"/>
      <c r="R21" s="771"/>
      <c r="S21" s="771"/>
      <c r="T21" s="771"/>
      <c r="U21" s="771"/>
      <c r="V21" s="771"/>
      <c r="W21" s="771"/>
      <c r="X21" s="771"/>
      <c r="Y21" s="771"/>
      <c r="Z21" s="771"/>
      <c r="AA21" s="770" t="s">
        <v>206</v>
      </c>
      <c r="AB21" s="717"/>
      <c r="AC21" s="717"/>
      <c r="AD21" s="717"/>
      <c r="AE21" s="717"/>
      <c r="AF21" s="717"/>
      <c r="AG21" s="717"/>
      <c r="AH21" s="717"/>
      <c r="AI21" s="717"/>
      <c r="AJ21" s="717"/>
      <c r="AK21" s="717"/>
      <c r="AL21" s="771" t="str">
        <f>L30</f>
        <v>incada 250g</v>
      </c>
      <c r="AM21" s="771"/>
      <c r="AN21" s="771"/>
      <c r="AO21" s="771"/>
      <c r="AP21" s="771"/>
      <c r="AQ21" s="771"/>
      <c r="AR21" s="771"/>
      <c r="AS21" s="771"/>
      <c r="AT21" s="771"/>
      <c r="AU21" s="771"/>
      <c r="AV21" s="771"/>
      <c r="AW21" s="771"/>
      <c r="AX21" s="771"/>
      <c r="AY21" s="771"/>
      <c r="BK21" s="232"/>
      <c r="BL21" s="232"/>
      <c r="BM21" s="232"/>
      <c r="BN21" s="251"/>
      <c r="BO21" s="251"/>
      <c r="BP21" s="251"/>
      <c r="BQ21" s="251"/>
      <c r="BR21" s="251"/>
      <c r="BS21" s="251"/>
      <c r="BT21" s="251"/>
      <c r="BU21" s="251"/>
      <c r="BV21" s="251"/>
      <c r="BW21" s="251"/>
      <c r="BX21" s="251"/>
      <c r="BY21" s="251"/>
      <c r="BZ21" s="251"/>
      <c r="CA21" s="251"/>
      <c r="EJ21" s="243"/>
      <c r="EK21" s="243"/>
    </row>
    <row r="22" spans="1:227" x14ac:dyDescent="0.25">
      <c r="I22" s="767">
        <f>J11</f>
        <v>4800</v>
      </c>
      <c r="J22" s="768"/>
      <c r="K22" s="768"/>
      <c r="L22" s="768"/>
      <c r="M22" s="769"/>
      <c r="AT22" s="767">
        <f>Q11</f>
        <v>0</v>
      </c>
      <c r="AU22" s="768"/>
      <c r="AV22" s="768"/>
      <c r="AW22" s="768"/>
      <c r="AX22" s="769"/>
      <c r="BB22" s="251"/>
      <c r="BC22" s="251"/>
      <c r="BD22" s="251"/>
      <c r="BE22" s="251"/>
      <c r="BF22" s="251"/>
      <c r="BG22" s="251"/>
      <c r="BH22" s="251"/>
      <c r="BI22" s="251"/>
      <c r="BJ22" s="232"/>
      <c r="BK22" s="251"/>
      <c r="BL22" s="252"/>
      <c r="BM22" s="252"/>
      <c r="BN22" s="252"/>
      <c r="BO22" s="252"/>
      <c r="BP22" s="251"/>
      <c r="BQ22" s="210"/>
      <c r="BR22" s="210"/>
      <c r="BS22" s="210"/>
      <c r="BT22" s="232"/>
      <c r="BU22" s="232"/>
      <c r="BV22" s="232"/>
      <c r="CE22" s="767">
        <f>X11</f>
        <v>0</v>
      </c>
      <c r="CF22" s="768"/>
      <c r="CG22" s="768"/>
      <c r="CH22" s="768"/>
      <c r="CI22" s="769"/>
      <c r="CM22" s="251"/>
      <c r="CN22" s="251"/>
      <c r="CO22" s="251"/>
      <c r="CP22" s="251"/>
      <c r="CQ22" s="251"/>
      <c r="CR22" s="251"/>
      <c r="CS22" s="251"/>
      <c r="CT22" s="251"/>
      <c r="CU22" s="232"/>
      <c r="CV22" s="251"/>
      <c r="CW22" s="252"/>
      <c r="CX22" s="252"/>
      <c r="CY22" s="252"/>
      <c r="CZ22" s="252"/>
      <c r="DA22" s="251"/>
      <c r="DB22" s="210"/>
      <c r="DC22" s="210"/>
      <c r="DD22" s="210"/>
      <c r="DE22" s="232"/>
      <c r="DF22" s="232"/>
      <c r="DG22" s="232"/>
      <c r="DQ22" s="767" t="str">
        <f>IF(J15="","",J15)</f>
        <v/>
      </c>
      <c r="DR22" s="768"/>
      <c r="DS22" s="768"/>
      <c r="DT22" s="768"/>
      <c r="DU22" s="769"/>
      <c r="DY22" s="251"/>
      <c r="DZ22" s="251"/>
      <c r="EA22" s="251"/>
      <c r="EB22" s="251"/>
      <c r="EC22" s="251"/>
      <c r="ED22" s="251"/>
      <c r="EE22" s="251"/>
      <c r="EF22" s="251"/>
      <c r="EG22" s="232"/>
      <c r="EH22" s="251"/>
      <c r="EI22" s="252"/>
      <c r="EJ22" s="252"/>
      <c r="EK22" s="252"/>
      <c r="EL22" s="252"/>
      <c r="EM22" s="251"/>
      <c r="EN22" s="210"/>
      <c r="EO22" s="210"/>
      <c r="EP22" s="210"/>
      <c r="EQ22" s="232"/>
      <c r="ER22" s="232"/>
      <c r="ES22" s="232"/>
      <c r="FD22" s="767" t="str">
        <f>IF(Q15="","",Q15)</f>
        <v/>
      </c>
      <c r="FE22" s="768"/>
      <c r="FF22" s="768"/>
      <c r="FG22" s="768"/>
      <c r="FH22" s="769"/>
      <c r="FL22" s="251"/>
      <c r="FM22" s="251"/>
      <c r="FN22" s="251"/>
      <c r="FO22" s="251"/>
      <c r="FP22" s="251"/>
      <c r="FQ22" s="251"/>
      <c r="FR22" s="251"/>
      <c r="FS22" s="251"/>
      <c r="FT22" s="232"/>
      <c r="FU22" s="251"/>
      <c r="FV22" s="252"/>
      <c r="FW22" s="252"/>
      <c r="FX22" s="252"/>
      <c r="FY22" s="252"/>
      <c r="FZ22" s="251"/>
      <c r="GA22" s="210"/>
      <c r="GB22" s="210"/>
      <c r="GC22" s="210"/>
      <c r="GD22" s="232"/>
      <c r="GE22" s="232"/>
      <c r="GF22" s="232"/>
      <c r="GQ22" s="767" t="str">
        <f>IF(X15="","",X15)</f>
        <v/>
      </c>
      <c r="GR22" s="768"/>
      <c r="GS22" s="768"/>
      <c r="GT22" s="768"/>
      <c r="GU22" s="769"/>
      <c r="GY22" s="251"/>
      <c r="GZ22" s="251"/>
      <c r="HA22" s="251"/>
      <c r="HB22" s="251"/>
      <c r="HC22" s="251"/>
      <c r="HD22" s="251"/>
      <c r="HE22" s="251"/>
      <c r="HF22" s="251"/>
      <c r="HG22" s="232"/>
      <c r="HH22" s="251"/>
      <c r="HI22" s="252"/>
      <c r="HJ22" s="252"/>
      <c r="HK22" s="252"/>
      <c r="HL22" s="252"/>
      <c r="HM22" s="251"/>
      <c r="HN22" s="210"/>
      <c r="HO22" s="210"/>
      <c r="HP22" s="210"/>
      <c r="HQ22" s="232"/>
      <c r="HR22" s="232"/>
      <c r="HS22" s="232"/>
    </row>
    <row r="23" spans="1:227" x14ac:dyDescent="0.25">
      <c r="A23" s="757" t="s">
        <v>31</v>
      </c>
      <c r="B23" s="717"/>
      <c r="C23" s="717"/>
      <c r="D23" s="717"/>
      <c r="E23" s="710" t="s">
        <v>233</v>
      </c>
      <c r="F23" s="711"/>
      <c r="G23" s="711"/>
      <c r="H23" s="711"/>
      <c r="I23" s="711"/>
      <c r="J23" s="711"/>
      <c r="K23" s="711"/>
      <c r="L23" s="711"/>
      <c r="M23" s="712"/>
      <c r="N23" s="236"/>
      <c r="O23" s="758">
        <v>7.3999999999999996E-2</v>
      </c>
      <c r="P23" s="759"/>
      <c r="Q23" s="759"/>
      <c r="R23" s="760"/>
      <c r="T23" s="253">
        <v>1</v>
      </c>
      <c r="U23" s="761">
        <f>IF($T$23="","",IF($T$23=1,(($J$11*$DL$1)/$AV$11),IF($T$23=2,(($J$11/2)*$DL$2),IF($T$23=3,(($J$11/$AV$11)*$DL$8))))*$O$23*1.05)</f>
        <v>559.43999999999994</v>
      </c>
      <c r="V23" s="762"/>
      <c r="W23" s="762"/>
      <c r="X23" s="762"/>
      <c r="Y23" s="762"/>
      <c r="Z23" s="763"/>
      <c r="AA23" s="232"/>
      <c r="AC23" s="770" t="s">
        <v>213</v>
      </c>
      <c r="AD23" s="641"/>
      <c r="AE23" s="641"/>
      <c r="AF23" s="641"/>
      <c r="AG23" s="641"/>
      <c r="AH23" s="641"/>
      <c r="AI23" s="641"/>
      <c r="AJ23" s="641"/>
      <c r="AK23" s="641"/>
      <c r="AL23" s="757" t="s">
        <v>31</v>
      </c>
      <c r="AM23" s="717"/>
      <c r="AN23" s="717"/>
      <c r="AO23" s="717"/>
      <c r="AP23" s="710" t="str">
        <f>IF($E$23="","",$E$23)</f>
        <v>nivis mat 90g</v>
      </c>
      <c r="AQ23" s="711"/>
      <c r="AR23" s="711"/>
      <c r="AS23" s="711"/>
      <c r="AT23" s="711"/>
      <c r="AU23" s="711"/>
      <c r="AV23" s="711"/>
      <c r="AW23" s="711"/>
      <c r="AX23" s="712"/>
      <c r="AY23" s="258"/>
      <c r="AZ23" s="758">
        <f>IF($O$23="","",$O$23)</f>
        <v>7.3999999999999996E-2</v>
      </c>
      <c r="BA23" s="759"/>
      <c r="BB23" s="759"/>
      <c r="BC23" s="760"/>
      <c r="BE23" s="253">
        <f>IF($T$23="","",$T$23)</f>
        <v>1</v>
      </c>
      <c r="BF23" s="761">
        <f>IF($T$23="","",IF($T$23=1,(($Q$11*$DL$1)/$AV$11),IF($T$23=2,(($Q$11/2)*$DL$2),IF($T$23=3,(($Q$11/$AV$11)*$DL$3))))*$O$23*1.05)</f>
        <v>0</v>
      </c>
      <c r="BG23" s="762"/>
      <c r="BH23" s="762"/>
      <c r="BI23" s="762"/>
      <c r="BJ23" s="762"/>
      <c r="BK23" s="763"/>
      <c r="BL23" s="232"/>
      <c r="BN23" s="770" t="s">
        <v>213</v>
      </c>
      <c r="BO23" s="641"/>
      <c r="BP23" s="641"/>
      <c r="BQ23" s="641"/>
      <c r="BR23" s="641"/>
      <c r="BS23" s="641"/>
      <c r="BT23" s="641"/>
      <c r="BU23" s="641"/>
      <c r="BV23" s="641"/>
      <c r="BW23" s="757" t="s">
        <v>31</v>
      </c>
      <c r="BX23" s="717"/>
      <c r="BY23" s="717"/>
      <c r="BZ23" s="717"/>
      <c r="CA23" s="710" t="str">
        <f>IF($E$23="","",$E$23)</f>
        <v>nivis mat 90g</v>
      </c>
      <c r="CB23" s="711"/>
      <c r="CC23" s="711"/>
      <c r="CD23" s="711"/>
      <c r="CE23" s="711"/>
      <c r="CF23" s="711"/>
      <c r="CG23" s="711"/>
      <c r="CH23" s="711"/>
      <c r="CI23" s="712"/>
      <c r="CJ23" s="258"/>
      <c r="CK23" s="758">
        <f>IF($O$23="","",$O$23)</f>
        <v>7.3999999999999996E-2</v>
      </c>
      <c r="CL23" s="759"/>
      <c r="CM23" s="759"/>
      <c r="CN23" s="760"/>
      <c r="CP23" s="253">
        <f>IF($T$23="","",$T$23)</f>
        <v>1</v>
      </c>
      <c r="CQ23" s="761">
        <f>IF($T$23="","",IF($T$23=1,(($X$11*$DL$1)/$AV$11),IF($T$23=2,(($X$11/2)*$DL$2),IF($T$23=3,(($X$11/$AV$11)*$DL$8))))*$O$23*1.05)</f>
        <v>0</v>
      </c>
      <c r="CR23" s="762"/>
      <c r="CS23" s="762"/>
      <c r="CT23" s="762"/>
      <c r="CU23" s="762"/>
      <c r="CV23" s="763"/>
      <c r="CW23" s="232"/>
      <c r="CY23" s="770" t="s">
        <v>213</v>
      </c>
      <c r="CZ23" s="641"/>
      <c r="DA23" s="641"/>
      <c r="DB23" s="641"/>
      <c r="DC23" s="641"/>
      <c r="DD23" s="641"/>
      <c r="DE23" s="641"/>
      <c r="DF23" s="641"/>
      <c r="DG23" s="641"/>
      <c r="DI23" s="757" t="s">
        <v>31</v>
      </c>
      <c r="DJ23" s="717"/>
      <c r="DK23" s="717"/>
      <c r="DL23" s="717"/>
      <c r="DM23" s="710" t="str">
        <f>IF($E$23="","",$E$23)</f>
        <v>nivis mat 90g</v>
      </c>
      <c r="DN23" s="711"/>
      <c r="DO23" s="711"/>
      <c r="DP23" s="711"/>
      <c r="DQ23" s="711"/>
      <c r="DR23" s="711"/>
      <c r="DS23" s="711"/>
      <c r="DT23" s="711"/>
      <c r="DU23" s="712"/>
      <c r="DV23" s="262"/>
      <c r="DW23" s="758">
        <f>IF($O$23="","",$O$23)</f>
        <v>7.3999999999999996E-2</v>
      </c>
      <c r="DX23" s="759"/>
      <c r="DY23" s="759"/>
      <c r="DZ23" s="760"/>
      <c r="EB23" s="253">
        <f>IF($T$23="","",$T$23)</f>
        <v>1</v>
      </c>
      <c r="EC23" s="761">
        <f>IF($T$23="","",IF($T$23=1,(($J$15*$DL$1)/$AV$11),IF($T$23=2,(($J$15/2)*$DL$2),IF($T$23=3,(($J$15/$AV$11)*$DL$8))))*$O$23*1.05)</f>
        <v>0</v>
      </c>
      <c r="ED23" s="762"/>
      <c r="EE23" s="762"/>
      <c r="EF23" s="762"/>
      <c r="EG23" s="762"/>
      <c r="EH23" s="763"/>
      <c r="EI23" s="232"/>
      <c r="EK23" s="770" t="s">
        <v>213</v>
      </c>
      <c r="EL23" s="641"/>
      <c r="EM23" s="641"/>
      <c r="EN23" s="641"/>
      <c r="EO23" s="641"/>
      <c r="EP23" s="641"/>
      <c r="EQ23" s="641"/>
      <c r="ER23" s="641"/>
      <c r="ES23" s="641"/>
      <c r="EV23" s="757" t="s">
        <v>31</v>
      </c>
      <c r="EW23" s="717"/>
      <c r="EX23" s="717"/>
      <c r="EY23" s="717"/>
      <c r="EZ23" s="710" t="str">
        <f>IF($E$23="","",$E$23)</f>
        <v>nivis mat 90g</v>
      </c>
      <c r="FA23" s="711"/>
      <c r="FB23" s="711"/>
      <c r="FC23" s="711"/>
      <c r="FD23" s="711"/>
      <c r="FE23" s="711"/>
      <c r="FF23" s="711"/>
      <c r="FG23" s="711"/>
      <c r="FH23" s="712"/>
      <c r="FI23" s="262"/>
      <c r="FJ23" s="758">
        <f>IF($O$23="","",$O$23)</f>
        <v>7.3999999999999996E-2</v>
      </c>
      <c r="FK23" s="759"/>
      <c r="FL23" s="759"/>
      <c r="FM23" s="760"/>
      <c r="FO23" s="253">
        <f>IF($T$23="","",$T$23)</f>
        <v>1</v>
      </c>
      <c r="FP23" s="761">
        <f>IF($T$23="","",IF($T$23=1,(($Q$11*$DL$1)/$AV$11),IF($T$23=2,(($Q$11/2)*$DL$2),IF($T$23=3,(($Q$11/$AV$11)*$DL$3))))*$O$23*1.05)</f>
        <v>0</v>
      </c>
      <c r="FQ23" s="762"/>
      <c r="FR23" s="762"/>
      <c r="FS23" s="762"/>
      <c r="FT23" s="762"/>
      <c r="FU23" s="763"/>
      <c r="FV23" s="232"/>
      <c r="FX23" s="770" t="s">
        <v>213</v>
      </c>
      <c r="FY23" s="641"/>
      <c r="FZ23" s="641"/>
      <c r="GA23" s="641"/>
      <c r="GB23" s="641"/>
      <c r="GC23" s="641"/>
      <c r="GD23" s="641"/>
      <c r="GE23" s="641"/>
      <c r="GF23" s="641"/>
      <c r="GI23" s="757" t="s">
        <v>31</v>
      </c>
      <c r="GJ23" s="717"/>
      <c r="GK23" s="717"/>
      <c r="GL23" s="717"/>
      <c r="GM23" s="710" t="str">
        <f>IF($E$23="","",$E$23)</f>
        <v>nivis mat 90g</v>
      </c>
      <c r="GN23" s="711"/>
      <c r="GO23" s="711"/>
      <c r="GP23" s="711"/>
      <c r="GQ23" s="711"/>
      <c r="GR23" s="711"/>
      <c r="GS23" s="711"/>
      <c r="GT23" s="711"/>
      <c r="GU23" s="712"/>
      <c r="GV23" s="262"/>
      <c r="GW23" s="758">
        <f>IF($O$23="","",$O$23)</f>
        <v>7.3999999999999996E-2</v>
      </c>
      <c r="GX23" s="759"/>
      <c r="GY23" s="759"/>
      <c r="GZ23" s="760"/>
      <c r="HB23" s="253">
        <f>IF($T$23="","",$T$23)</f>
        <v>1</v>
      </c>
      <c r="HC23" s="761">
        <f>IF($T$23="","",IF($T$23=1,(($X$11*$DL$1)/$AV$11),IF($T$23=2,(($X$11/2)*$DL$2),IF($T$23=3,(($X$11/$AV$11)*$DL$8))))*$O$23*1.05)</f>
        <v>0</v>
      </c>
      <c r="HD23" s="762"/>
      <c r="HE23" s="762"/>
      <c r="HF23" s="762"/>
      <c r="HG23" s="762"/>
      <c r="HH23" s="763"/>
      <c r="HI23" s="232"/>
      <c r="HK23" s="770" t="s">
        <v>213</v>
      </c>
      <c r="HL23" s="641"/>
      <c r="HM23" s="641"/>
      <c r="HN23" s="641"/>
      <c r="HO23" s="641"/>
      <c r="HP23" s="641"/>
      <c r="HQ23" s="641"/>
      <c r="HR23" s="641"/>
      <c r="HS23" s="641"/>
    </row>
    <row r="24" spans="1:227" x14ac:dyDescent="0.25">
      <c r="A24" s="757" t="s">
        <v>187</v>
      </c>
      <c r="B24" s="717"/>
      <c r="C24" s="717"/>
      <c r="D24" s="717"/>
      <c r="E24" s="710"/>
      <c r="F24" s="711"/>
      <c r="G24" s="711"/>
      <c r="H24" s="711"/>
      <c r="I24" s="711"/>
      <c r="J24" s="711"/>
      <c r="K24" s="711"/>
      <c r="L24" s="711"/>
      <c r="M24" s="712"/>
      <c r="N24" s="236"/>
      <c r="O24" s="758"/>
      <c r="P24" s="759"/>
      <c r="Q24" s="759"/>
      <c r="R24" s="760"/>
      <c r="S24" s="246"/>
      <c r="T24" s="243"/>
      <c r="U24" s="789"/>
      <c r="V24" s="790"/>
      <c r="W24" s="790"/>
      <c r="X24" s="790"/>
      <c r="Y24" s="722"/>
      <c r="Z24" s="756"/>
      <c r="AA24" s="232"/>
      <c r="AC24" s="757" t="s">
        <v>31</v>
      </c>
      <c r="AD24" s="717"/>
      <c r="AE24" s="717"/>
      <c r="AF24" s="717"/>
      <c r="AG24" s="764">
        <f>IF($O$23="","",(($J$11/$AV$11)/3500)*17*CT8*CT10)</f>
        <v>34.971428571428568</v>
      </c>
      <c r="AH24" s="765"/>
      <c r="AI24" s="765"/>
      <c r="AJ24" s="766"/>
      <c r="AL24" s="757" t="s">
        <v>187</v>
      </c>
      <c r="AM24" s="717"/>
      <c r="AN24" s="717"/>
      <c r="AO24" s="717"/>
      <c r="AP24" s="710" t="str">
        <f>IF($E$24="","",$E$24)</f>
        <v/>
      </c>
      <c r="AQ24" s="711"/>
      <c r="AR24" s="711"/>
      <c r="AS24" s="711"/>
      <c r="AT24" s="711"/>
      <c r="AU24" s="711"/>
      <c r="AV24" s="711"/>
      <c r="AW24" s="711"/>
      <c r="AX24" s="712"/>
      <c r="AY24" s="258"/>
      <c r="AZ24" s="758" t="str">
        <f>IF($O$24="","",$O$24)</f>
        <v/>
      </c>
      <c r="BA24" s="759"/>
      <c r="BB24" s="759"/>
      <c r="BC24" s="760"/>
      <c r="BD24" s="259"/>
      <c r="BE24" s="243"/>
      <c r="BF24" s="761"/>
      <c r="BG24" s="762"/>
      <c r="BH24" s="762"/>
      <c r="BI24" s="762"/>
      <c r="BJ24" s="762"/>
      <c r="BK24" s="763"/>
      <c r="BL24" s="232"/>
      <c r="BN24" s="757" t="s">
        <v>31</v>
      </c>
      <c r="BO24" s="717"/>
      <c r="BP24" s="717"/>
      <c r="BQ24" s="717"/>
      <c r="BR24" s="764">
        <f>IF($O$23="","",(($Q$11/$AV$11)/3500)*17)</f>
        <v>0</v>
      </c>
      <c r="BS24" s="765"/>
      <c r="BT24" s="765"/>
      <c r="BU24" s="766"/>
      <c r="BW24" s="757" t="s">
        <v>187</v>
      </c>
      <c r="BX24" s="717"/>
      <c r="BY24" s="717"/>
      <c r="BZ24" s="717"/>
      <c r="CA24" s="710" t="str">
        <f>IF($E$24="","",$E$24)</f>
        <v/>
      </c>
      <c r="CB24" s="711"/>
      <c r="CC24" s="711"/>
      <c r="CD24" s="711"/>
      <c r="CE24" s="711"/>
      <c r="CF24" s="711"/>
      <c r="CG24" s="711"/>
      <c r="CH24" s="711"/>
      <c r="CI24" s="712"/>
      <c r="CJ24" s="258"/>
      <c r="CK24" s="758" t="str">
        <f>IF($O$24="","",$O$24)</f>
        <v/>
      </c>
      <c r="CL24" s="759"/>
      <c r="CM24" s="759"/>
      <c r="CN24" s="760"/>
      <c r="CO24" s="259"/>
      <c r="CP24" s="243"/>
      <c r="CQ24" s="761"/>
      <c r="CR24" s="762"/>
      <c r="CS24" s="762"/>
      <c r="CT24" s="762"/>
      <c r="CU24" s="762"/>
      <c r="CV24" s="763"/>
      <c r="CW24" s="232"/>
      <c r="CY24" s="757" t="s">
        <v>31</v>
      </c>
      <c r="CZ24" s="717"/>
      <c r="DA24" s="717"/>
      <c r="DB24" s="717"/>
      <c r="DC24" s="764">
        <f>IF($O$23="","",(($X$11/$AV$11)/3500)*17)</f>
        <v>0</v>
      </c>
      <c r="DD24" s="765"/>
      <c r="DE24" s="765"/>
      <c r="DF24" s="766"/>
      <c r="DI24" s="757" t="s">
        <v>187</v>
      </c>
      <c r="DJ24" s="717"/>
      <c r="DK24" s="717"/>
      <c r="DL24" s="717"/>
      <c r="DM24" s="710" t="str">
        <f>IF($E$24="","",$E$24)</f>
        <v/>
      </c>
      <c r="DN24" s="711"/>
      <c r="DO24" s="711"/>
      <c r="DP24" s="711"/>
      <c r="DQ24" s="711"/>
      <c r="DR24" s="711"/>
      <c r="DS24" s="711"/>
      <c r="DT24" s="711"/>
      <c r="DU24" s="712"/>
      <c r="DV24" s="262"/>
      <c r="DW24" s="758" t="str">
        <f>IF($O$24="","",$O$24)</f>
        <v/>
      </c>
      <c r="DX24" s="759"/>
      <c r="DY24" s="759"/>
      <c r="DZ24" s="760"/>
      <c r="EA24" s="265"/>
      <c r="EB24" s="243"/>
      <c r="EC24" s="761"/>
      <c r="ED24" s="842"/>
      <c r="EE24" s="842"/>
      <c r="EF24" s="842"/>
      <c r="EG24" s="842"/>
      <c r="EH24" s="843"/>
      <c r="EI24" s="232"/>
      <c r="EK24" s="757" t="s">
        <v>31</v>
      </c>
      <c r="EL24" s="717"/>
      <c r="EM24" s="717"/>
      <c r="EN24" s="717"/>
      <c r="EO24" s="764">
        <f>IF($O$23="","",(($J$15/$AV$11)/3500)*17)</f>
        <v>0</v>
      </c>
      <c r="EP24" s="765"/>
      <c r="EQ24" s="765"/>
      <c r="ER24" s="766"/>
      <c r="EV24" s="757" t="s">
        <v>187</v>
      </c>
      <c r="EW24" s="717"/>
      <c r="EX24" s="717"/>
      <c r="EY24" s="717"/>
      <c r="EZ24" s="710" t="str">
        <f>IF($E$24="","",$E$24)</f>
        <v/>
      </c>
      <c r="FA24" s="711"/>
      <c r="FB24" s="711"/>
      <c r="FC24" s="711"/>
      <c r="FD24" s="711"/>
      <c r="FE24" s="711"/>
      <c r="FF24" s="711"/>
      <c r="FG24" s="711"/>
      <c r="FH24" s="712"/>
      <c r="FI24" s="262"/>
      <c r="FJ24" s="758" t="str">
        <f>IF($O$24="","",$O$24)</f>
        <v/>
      </c>
      <c r="FK24" s="759"/>
      <c r="FL24" s="759"/>
      <c r="FM24" s="760"/>
      <c r="FN24" s="265"/>
      <c r="FO24" s="243"/>
      <c r="FP24" s="761"/>
      <c r="FQ24" s="762"/>
      <c r="FR24" s="762"/>
      <c r="FS24" s="762"/>
      <c r="FT24" s="762"/>
      <c r="FU24" s="763"/>
      <c r="FV24" s="232"/>
      <c r="FX24" s="757" t="s">
        <v>31</v>
      </c>
      <c r="FY24" s="717"/>
      <c r="FZ24" s="717"/>
      <c r="GA24" s="717"/>
      <c r="GB24" s="764">
        <f>IF($O$23="","",(($Q$15/$AV$11)/3500)*17)</f>
        <v>0</v>
      </c>
      <c r="GC24" s="765"/>
      <c r="GD24" s="765"/>
      <c r="GE24" s="766"/>
      <c r="GI24" s="757" t="s">
        <v>187</v>
      </c>
      <c r="GJ24" s="717"/>
      <c r="GK24" s="717"/>
      <c r="GL24" s="717"/>
      <c r="GM24" s="710" t="str">
        <f>IF($E$24="","",$E$24)</f>
        <v/>
      </c>
      <c r="GN24" s="711"/>
      <c r="GO24" s="711"/>
      <c r="GP24" s="711"/>
      <c r="GQ24" s="711"/>
      <c r="GR24" s="711"/>
      <c r="GS24" s="711"/>
      <c r="GT24" s="711"/>
      <c r="GU24" s="712"/>
      <c r="GV24" s="262"/>
      <c r="GW24" s="758" t="str">
        <f>IF($O$24="","",$O$24)</f>
        <v/>
      </c>
      <c r="GX24" s="759"/>
      <c r="GY24" s="759"/>
      <c r="GZ24" s="760"/>
      <c r="HA24" s="265"/>
      <c r="HB24" s="243"/>
      <c r="HC24" s="761"/>
      <c r="HD24" s="762"/>
      <c r="HE24" s="762"/>
      <c r="HF24" s="762"/>
      <c r="HG24" s="762"/>
      <c r="HH24" s="763"/>
      <c r="HI24" s="232"/>
      <c r="HK24" s="757" t="s">
        <v>31</v>
      </c>
      <c r="HL24" s="717"/>
      <c r="HM24" s="717"/>
      <c r="HN24" s="717"/>
      <c r="HO24" s="764">
        <f>IF($O$23="","",(($X$15/$AV$11)/3500)*17)</f>
        <v>0</v>
      </c>
      <c r="HP24" s="765"/>
      <c r="HQ24" s="765"/>
      <c r="HR24" s="766"/>
    </row>
    <row r="25" spans="1:227" x14ac:dyDescent="0.25">
      <c r="A25" s="757" t="s">
        <v>208</v>
      </c>
      <c r="B25" s="717"/>
      <c r="C25" s="717"/>
      <c r="D25" s="717"/>
      <c r="E25" s="710"/>
      <c r="F25" s="711"/>
      <c r="G25" s="711"/>
      <c r="H25" s="711"/>
      <c r="I25" s="711"/>
      <c r="J25" s="711"/>
      <c r="K25" s="711"/>
      <c r="L25" s="711"/>
      <c r="M25" s="712"/>
      <c r="N25" s="236"/>
      <c r="O25" s="758"/>
      <c r="P25" s="759"/>
      <c r="Q25" s="759"/>
      <c r="R25" s="760"/>
      <c r="S25" s="246"/>
      <c r="T25" s="243"/>
      <c r="U25" s="789"/>
      <c r="V25" s="790"/>
      <c r="W25" s="790"/>
      <c r="X25" s="790"/>
      <c r="Y25" s="722"/>
      <c r="Z25" s="756"/>
      <c r="AA25" s="232"/>
      <c r="AC25" s="757" t="s">
        <v>32</v>
      </c>
      <c r="AD25" s="717"/>
      <c r="AE25" s="717"/>
      <c r="AF25" s="717"/>
      <c r="AG25" s="764">
        <f>IF($O$32="","",(($J$11/$AV$12)/2500)*17)</f>
        <v>16.32</v>
      </c>
      <c r="AH25" s="765"/>
      <c r="AI25" s="765"/>
      <c r="AJ25" s="766"/>
      <c r="AL25" s="757" t="s">
        <v>208</v>
      </c>
      <c r="AM25" s="717"/>
      <c r="AN25" s="717"/>
      <c r="AO25" s="717"/>
      <c r="AP25" s="710" t="str">
        <f>IF($E$25="","",$E$25)</f>
        <v/>
      </c>
      <c r="AQ25" s="711"/>
      <c r="AR25" s="711"/>
      <c r="AS25" s="711"/>
      <c r="AT25" s="711"/>
      <c r="AU25" s="711"/>
      <c r="AV25" s="711"/>
      <c r="AW25" s="711"/>
      <c r="AX25" s="712"/>
      <c r="AY25" s="258"/>
      <c r="AZ25" s="758" t="str">
        <f>IF($O$25="","",$O$25)</f>
        <v/>
      </c>
      <c r="BA25" s="759"/>
      <c r="BB25" s="759"/>
      <c r="BC25" s="760"/>
      <c r="BD25" s="259"/>
      <c r="BE25" s="243"/>
      <c r="BF25" s="761"/>
      <c r="BG25" s="762"/>
      <c r="BH25" s="762"/>
      <c r="BI25" s="762"/>
      <c r="BJ25" s="762"/>
      <c r="BK25" s="763"/>
      <c r="BL25" s="232"/>
      <c r="BN25" s="757" t="s">
        <v>32</v>
      </c>
      <c r="BO25" s="717"/>
      <c r="BP25" s="717"/>
      <c r="BQ25" s="717"/>
      <c r="BR25" s="764">
        <f>IF($O$32="","",(($Q$11/$AV$12)/2500)*17)</f>
        <v>0</v>
      </c>
      <c r="BS25" s="765"/>
      <c r="BT25" s="765"/>
      <c r="BU25" s="766"/>
      <c r="BW25" s="757" t="s">
        <v>208</v>
      </c>
      <c r="BX25" s="717"/>
      <c r="BY25" s="717"/>
      <c r="BZ25" s="717"/>
      <c r="CA25" s="710" t="str">
        <f>IF($E$25="","",$E$25)</f>
        <v/>
      </c>
      <c r="CB25" s="711"/>
      <c r="CC25" s="711"/>
      <c r="CD25" s="711"/>
      <c r="CE25" s="711"/>
      <c r="CF25" s="711"/>
      <c r="CG25" s="711"/>
      <c r="CH25" s="711"/>
      <c r="CI25" s="712"/>
      <c r="CJ25" s="258"/>
      <c r="CK25" s="758" t="str">
        <f>IF($O$25="","",$O$25)</f>
        <v/>
      </c>
      <c r="CL25" s="759"/>
      <c r="CM25" s="759"/>
      <c r="CN25" s="760"/>
      <c r="CO25" s="259"/>
      <c r="CP25" s="243"/>
      <c r="CQ25" s="761"/>
      <c r="CR25" s="762"/>
      <c r="CS25" s="762"/>
      <c r="CT25" s="762"/>
      <c r="CU25" s="762"/>
      <c r="CV25" s="763"/>
      <c r="CW25" s="232"/>
      <c r="CY25" s="757" t="s">
        <v>32</v>
      </c>
      <c r="CZ25" s="717"/>
      <c r="DA25" s="717"/>
      <c r="DB25" s="717"/>
      <c r="DC25" s="764">
        <f>IF($O$32="","",(($X$11/$AV$12)/2500)*17)</f>
        <v>0</v>
      </c>
      <c r="DD25" s="765"/>
      <c r="DE25" s="765"/>
      <c r="DF25" s="766"/>
      <c r="DI25" s="757" t="s">
        <v>208</v>
      </c>
      <c r="DJ25" s="717"/>
      <c r="DK25" s="717"/>
      <c r="DL25" s="717"/>
      <c r="DM25" s="710" t="str">
        <f>IF($E$25="","",$E$25)</f>
        <v/>
      </c>
      <c r="DN25" s="711"/>
      <c r="DO25" s="711"/>
      <c r="DP25" s="711"/>
      <c r="DQ25" s="711"/>
      <c r="DR25" s="711"/>
      <c r="DS25" s="711"/>
      <c r="DT25" s="711"/>
      <c r="DU25" s="712"/>
      <c r="DV25" s="262"/>
      <c r="DW25" s="758" t="str">
        <f>IF($O$25="","",$O$25)</f>
        <v/>
      </c>
      <c r="DX25" s="759"/>
      <c r="DY25" s="759"/>
      <c r="DZ25" s="760"/>
      <c r="EA25" s="265"/>
      <c r="EB25" s="243"/>
      <c r="EC25" s="761"/>
      <c r="ED25" s="762"/>
      <c r="EE25" s="762"/>
      <c r="EF25" s="762"/>
      <c r="EG25" s="762"/>
      <c r="EH25" s="763"/>
      <c r="EI25" s="232"/>
      <c r="EK25" s="757" t="s">
        <v>32</v>
      </c>
      <c r="EL25" s="717"/>
      <c r="EM25" s="717"/>
      <c r="EN25" s="717"/>
      <c r="EO25" s="764">
        <f>IF($O$32="","",(($J$15/$AV$12)/2500)*17)</f>
        <v>0</v>
      </c>
      <c r="EP25" s="765"/>
      <c r="EQ25" s="765"/>
      <c r="ER25" s="766"/>
      <c r="EV25" s="757" t="s">
        <v>208</v>
      </c>
      <c r="EW25" s="717"/>
      <c r="EX25" s="717"/>
      <c r="EY25" s="717"/>
      <c r="EZ25" s="710" t="str">
        <f>IF($E$25="","",$E$25)</f>
        <v/>
      </c>
      <c r="FA25" s="711"/>
      <c r="FB25" s="711"/>
      <c r="FC25" s="711"/>
      <c r="FD25" s="711"/>
      <c r="FE25" s="711"/>
      <c r="FF25" s="711"/>
      <c r="FG25" s="711"/>
      <c r="FH25" s="712"/>
      <c r="FI25" s="262"/>
      <c r="FJ25" s="758" t="str">
        <f>IF($O$25="","",$O$25)</f>
        <v/>
      </c>
      <c r="FK25" s="759"/>
      <c r="FL25" s="759"/>
      <c r="FM25" s="760"/>
      <c r="FN25" s="265"/>
      <c r="FO25" s="243"/>
      <c r="FP25" s="761"/>
      <c r="FQ25" s="762"/>
      <c r="FR25" s="762"/>
      <c r="FS25" s="762"/>
      <c r="FT25" s="762"/>
      <c r="FU25" s="763"/>
      <c r="FV25" s="232"/>
      <c r="FX25" s="757" t="s">
        <v>32</v>
      </c>
      <c r="FY25" s="717"/>
      <c r="FZ25" s="717"/>
      <c r="GA25" s="717"/>
      <c r="GB25" s="764">
        <f>IF($O$32="","",(($Q$15/$AV$12)/2500)*17)</f>
        <v>0</v>
      </c>
      <c r="GC25" s="765"/>
      <c r="GD25" s="765"/>
      <c r="GE25" s="766"/>
      <c r="GI25" s="757" t="s">
        <v>208</v>
      </c>
      <c r="GJ25" s="717"/>
      <c r="GK25" s="717"/>
      <c r="GL25" s="717"/>
      <c r="GM25" s="710" t="str">
        <f>IF($E$25="","",$E$25)</f>
        <v/>
      </c>
      <c r="GN25" s="711"/>
      <c r="GO25" s="711"/>
      <c r="GP25" s="711"/>
      <c r="GQ25" s="711"/>
      <c r="GR25" s="711"/>
      <c r="GS25" s="711"/>
      <c r="GT25" s="711"/>
      <c r="GU25" s="712"/>
      <c r="GV25" s="262"/>
      <c r="GW25" s="758" t="str">
        <f>IF($O$25="","",$O$25)</f>
        <v/>
      </c>
      <c r="GX25" s="759"/>
      <c r="GY25" s="759"/>
      <c r="GZ25" s="760"/>
      <c r="HA25" s="265"/>
      <c r="HB25" s="243"/>
      <c r="HC25" s="761"/>
      <c r="HD25" s="762"/>
      <c r="HE25" s="762"/>
      <c r="HF25" s="762"/>
      <c r="HG25" s="762"/>
      <c r="HH25" s="763"/>
      <c r="HI25" s="232"/>
      <c r="HK25" s="757" t="s">
        <v>32</v>
      </c>
      <c r="HL25" s="717"/>
      <c r="HM25" s="717"/>
      <c r="HN25" s="717"/>
      <c r="HO25" s="764">
        <f>IF($O$32="","",(($X$15/$AV$12)/2500)*17)</f>
        <v>0</v>
      </c>
      <c r="HP25" s="765"/>
      <c r="HQ25" s="765"/>
      <c r="HR25" s="766"/>
    </row>
    <row r="26" spans="1:227" x14ac:dyDescent="0.25">
      <c r="A26" s="757" t="s">
        <v>83</v>
      </c>
      <c r="B26" s="717"/>
      <c r="C26" s="717"/>
      <c r="D26" s="717"/>
      <c r="E26" s="710"/>
      <c r="F26" s="711"/>
      <c r="G26" s="711"/>
      <c r="H26" s="711"/>
      <c r="I26" s="711"/>
      <c r="J26" s="711"/>
      <c r="K26" s="711"/>
      <c r="L26" s="711"/>
      <c r="M26" s="712"/>
      <c r="N26" s="236"/>
      <c r="O26" s="758"/>
      <c r="P26" s="759"/>
      <c r="Q26" s="759"/>
      <c r="R26" s="760"/>
      <c r="S26" s="246"/>
      <c r="T26" s="243"/>
      <c r="U26" s="789"/>
      <c r="V26" s="790"/>
      <c r="W26" s="790"/>
      <c r="X26" s="790"/>
      <c r="Y26" s="722"/>
      <c r="Z26" s="756"/>
      <c r="AA26" s="232"/>
      <c r="AL26" s="757" t="s">
        <v>83</v>
      </c>
      <c r="AM26" s="717"/>
      <c r="AN26" s="717"/>
      <c r="AO26" s="717"/>
      <c r="AP26" s="710" t="str">
        <f>IF($E$26="","",$E$26)</f>
        <v/>
      </c>
      <c r="AQ26" s="711"/>
      <c r="AR26" s="711"/>
      <c r="AS26" s="711"/>
      <c r="AT26" s="711"/>
      <c r="AU26" s="711"/>
      <c r="AV26" s="711"/>
      <c r="AW26" s="711"/>
      <c r="AX26" s="712"/>
      <c r="AY26" s="258"/>
      <c r="AZ26" s="758" t="str">
        <f>IF($O$26="","",$O$26)</f>
        <v/>
      </c>
      <c r="BA26" s="759"/>
      <c r="BB26" s="759"/>
      <c r="BC26" s="760"/>
      <c r="BD26" s="259"/>
      <c r="BE26" s="243"/>
      <c r="BF26" s="761"/>
      <c r="BG26" s="762"/>
      <c r="BH26" s="762"/>
      <c r="BI26" s="762"/>
      <c r="BJ26" s="762"/>
      <c r="BK26" s="763"/>
      <c r="BL26" s="232"/>
      <c r="BW26" s="757" t="s">
        <v>83</v>
      </c>
      <c r="BX26" s="717"/>
      <c r="BY26" s="717"/>
      <c r="BZ26" s="717"/>
      <c r="CA26" s="710" t="str">
        <f>IF($E$26="","",$E$26)</f>
        <v/>
      </c>
      <c r="CB26" s="711"/>
      <c r="CC26" s="711"/>
      <c r="CD26" s="711"/>
      <c r="CE26" s="711"/>
      <c r="CF26" s="711"/>
      <c r="CG26" s="711"/>
      <c r="CH26" s="711"/>
      <c r="CI26" s="712"/>
      <c r="CJ26" s="258"/>
      <c r="CK26" s="758" t="str">
        <f>IF($O$26="","",$O$26)</f>
        <v/>
      </c>
      <c r="CL26" s="759"/>
      <c r="CM26" s="759"/>
      <c r="CN26" s="760"/>
      <c r="CO26" s="259"/>
      <c r="CP26" s="243"/>
      <c r="CQ26" s="761"/>
      <c r="CR26" s="762"/>
      <c r="CS26" s="762"/>
      <c r="CT26" s="762"/>
      <c r="CU26" s="762"/>
      <c r="CV26" s="763"/>
      <c r="CW26" s="232"/>
      <c r="DI26" s="757" t="s">
        <v>83</v>
      </c>
      <c r="DJ26" s="717"/>
      <c r="DK26" s="717"/>
      <c r="DL26" s="717"/>
      <c r="DM26" s="710" t="str">
        <f>IF($E$26="","",$E$26)</f>
        <v/>
      </c>
      <c r="DN26" s="711"/>
      <c r="DO26" s="711"/>
      <c r="DP26" s="711"/>
      <c r="DQ26" s="711"/>
      <c r="DR26" s="711"/>
      <c r="DS26" s="711"/>
      <c r="DT26" s="711"/>
      <c r="DU26" s="712"/>
      <c r="DV26" s="262"/>
      <c r="DW26" s="758" t="str">
        <f>IF($O$26="","",$O$26)</f>
        <v/>
      </c>
      <c r="DX26" s="759"/>
      <c r="DY26" s="759"/>
      <c r="DZ26" s="760"/>
      <c r="EA26" s="265"/>
      <c r="EB26" s="243"/>
      <c r="EC26" s="761"/>
      <c r="ED26" s="762"/>
      <c r="EE26" s="762"/>
      <c r="EF26" s="762"/>
      <c r="EG26" s="762"/>
      <c r="EH26" s="763"/>
      <c r="EI26" s="232"/>
      <c r="EV26" s="757" t="s">
        <v>83</v>
      </c>
      <c r="EW26" s="717"/>
      <c r="EX26" s="717"/>
      <c r="EY26" s="717"/>
      <c r="EZ26" s="710" t="str">
        <f>IF($E$26="","",$E$26)</f>
        <v/>
      </c>
      <c r="FA26" s="711"/>
      <c r="FB26" s="711"/>
      <c r="FC26" s="711"/>
      <c r="FD26" s="711"/>
      <c r="FE26" s="711"/>
      <c r="FF26" s="711"/>
      <c r="FG26" s="711"/>
      <c r="FH26" s="712"/>
      <c r="FI26" s="262"/>
      <c r="FJ26" s="758" t="str">
        <f>IF($O$26="","",$O$26)</f>
        <v/>
      </c>
      <c r="FK26" s="759"/>
      <c r="FL26" s="759"/>
      <c r="FM26" s="760"/>
      <c r="FN26" s="265"/>
      <c r="FO26" s="243"/>
      <c r="FP26" s="761"/>
      <c r="FQ26" s="762"/>
      <c r="FR26" s="762"/>
      <c r="FS26" s="762"/>
      <c r="FT26" s="762"/>
      <c r="FU26" s="763"/>
      <c r="FV26" s="232"/>
      <c r="GI26" s="757" t="s">
        <v>83</v>
      </c>
      <c r="GJ26" s="717"/>
      <c r="GK26" s="717"/>
      <c r="GL26" s="717"/>
      <c r="GM26" s="710" t="str">
        <f>IF($E$26="","",$E$26)</f>
        <v/>
      </c>
      <c r="GN26" s="711"/>
      <c r="GO26" s="711"/>
      <c r="GP26" s="711"/>
      <c r="GQ26" s="711"/>
      <c r="GR26" s="711"/>
      <c r="GS26" s="711"/>
      <c r="GT26" s="711"/>
      <c r="GU26" s="712"/>
      <c r="GV26" s="262"/>
      <c r="GW26" s="758" t="str">
        <f>IF($O$26="","",$O$26)</f>
        <v/>
      </c>
      <c r="GX26" s="759"/>
      <c r="GY26" s="759"/>
      <c r="GZ26" s="760"/>
      <c r="HA26" s="265"/>
      <c r="HB26" s="243"/>
      <c r="HC26" s="761"/>
      <c r="HD26" s="762"/>
      <c r="HE26" s="762"/>
      <c r="HF26" s="762"/>
      <c r="HG26" s="762"/>
      <c r="HH26" s="763"/>
      <c r="HI26" s="232"/>
    </row>
    <row r="27" spans="1:227" x14ac:dyDescent="0.25">
      <c r="Z27" s="251"/>
      <c r="AA27" s="244"/>
      <c r="AC27" s="732" t="s">
        <v>214</v>
      </c>
      <c r="AD27" s="733"/>
      <c r="AE27" s="733"/>
      <c r="AF27" s="733"/>
      <c r="AG27" s="749">
        <f>SUM(AG24:AJ25)</f>
        <v>51.291428571428568</v>
      </c>
      <c r="AH27" s="751"/>
      <c r="AI27" s="751"/>
      <c r="AJ27" s="751"/>
      <c r="BK27" s="251"/>
      <c r="BL27" s="244"/>
      <c r="BN27" s="732" t="s">
        <v>214</v>
      </c>
      <c r="BO27" s="733"/>
      <c r="BP27" s="733"/>
      <c r="BQ27" s="733"/>
      <c r="BR27" s="749">
        <f>SUM(BR24:BU25)</f>
        <v>0</v>
      </c>
      <c r="BS27" s="751"/>
      <c r="BT27" s="751"/>
      <c r="BU27" s="751"/>
      <c r="CV27" s="251"/>
      <c r="CW27" s="244"/>
      <c r="CY27" s="732" t="s">
        <v>214</v>
      </c>
      <c r="CZ27" s="733"/>
      <c r="DA27" s="733"/>
      <c r="DB27" s="733"/>
      <c r="DC27" s="749">
        <f>SUM(DC24:DF25)</f>
        <v>0</v>
      </c>
      <c r="DD27" s="751"/>
      <c r="DE27" s="751"/>
      <c r="DF27" s="751"/>
      <c r="EH27" s="251"/>
      <c r="EI27" s="244"/>
      <c r="EK27" s="732" t="s">
        <v>214</v>
      </c>
      <c r="EL27" s="733"/>
      <c r="EM27" s="733"/>
      <c r="EN27" s="733"/>
      <c r="EO27" s="749">
        <f>SUM(EO24:ER25)</f>
        <v>0</v>
      </c>
      <c r="EP27" s="751"/>
      <c r="EQ27" s="751"/>
      <c r="ER27" s="751"/>
      <c r="FU27" s="251"/>
      <c r="FV27" s="244"/>
      <c r="FX27" s="732" t="s">
        <v>214</v>
      </c>
      <c r="FY27" s="733"/>
      <c r="FZ27" s="733"/>
      <c r="GA27" s="733"/>
      <c r="GB27" s="749">
        <f>SUM(GB24:GE25)</f>
        <v>0</v>
      </c>
      <c r="GC27" s="751"/>
      <c r="GD27" s="751"/>
      <c r="GE27" s="751"/>
      <c r="HH27" s="251"/>
      <c r="HI27" s="244"/>
      <c r="HK27" s="732" t="s">
        <v>214</v>
      </c>
      <c r="HL27" s="733"/>
      <c r="HM27" s="733"/>
      <c r="HN27" s="733"/>
      <c r="HO27" s="749">
        <f>SUM(HO24:HR25)</f>
        <v>0</v>
      </c>
      <c r="HP27" s="751"/>
      <c r="HQ27" s="751"/>
      <c r="HR27" s="751"/>
    </row>
    <row r="28" spans="1:227" x14ac:dyDescent="0.25">
      <c r="Q28" s="732" t="s">
        <v>214</v>
      </c>
      <c r="R28" s="717"/>
      <c r="S28" s="717"/>
      <c r="T28" s="717"/>
      <c r="U28" s="739">
        <f>SUM(U23:Z26)</f>
        <v>559.43999999999994</v>
      </c>
      <c r="V28" s="749"/>
      <c r="W28" s="749"/>
      <c r="X28" s="749"/>
      <c r="Y28" s="749"/>
      <c r="Z28" s="749"/>
      <c r="AA28" s="244"/>
      <c r="BB28" s="732" t="s">
        <v>214</v>
      </c>
      <c r="BC28" s="717"/>
      <c r="BD28" s="717"/>
      <c r="BE28" s="717"/>
      <c r="BF28" s="739">
        <f>SUM(BF23:BK26)</f>
        <v>0</v>
      </c>
      <c r="BG28" s="749"/>
      <c r="BH28" s="749"/>
      <c r="BI28" s="749"/>
      <c r="BJ28" s="749"/>
      <c r="BK28" s="749"/>
      <c r="BL28" s="244"/>
      <c r="CM28" s="732" t="s">
        <v>214</v>
      </c>
      <c r="CN28" s="717"/>
      <c r="CO28" s="717"/>
      <c r="CP28" s="717"/>
      <c r="CQ28" s="739">
        <f>SUM(CQ23:CV26)</f>
        <v>0</v>
      </c>
      <c r="CR28" s="749"/>
      <c r="CS28" s="749"/>
      <c r="CT28" s="749"/>
      <c r="CU28" s="749"/>
      <c r="CV28" s="749"/>
      <c r="CW28" s="244"/>
      <c r="DY28" s="732" t="s">
        <v>214</v>
      </c>
      <c r="DZ28" s="717"/>
      <c r="EA28" s="717"/>
      <c r="EB28" s="717"/>
      <c r="EC28" s="739">
        <f>SUM(EC23:EH26)</f>
        <v>0</v>
      </c>
      <c r="ED28" s="749"/>
      <c r="EE28" s="749"/>
      <c r="EF28" s="749"/>
      <c r="EG28" s="749"/>
      <c r="EH28" s="749"/>
      <c r="EI28" s="244"/>
      <c r="FL28" s="732" t="s">
        <v>214</v>
      </c>
      <c r="FM28" s="717"/>
      <c r="FN28" s="717"/>
      <c r="FO28" s="717"/>
      <c r="FP28" s="739">
        <f>SUM(FP23:FU26)</f>
        <v>0</v>
      </c>
      <c r="FQ28" s="749"/>
      <c r="FR28" s="749"/>
      <c r="FS28" s="749"/>
      <c r="FT28" s="749"/>
      <c r="FU28" s="749"/>
      <c r="FV28" s="244"/>
      <c r="GY28" s="732" t="s">
        <v>214</v>
      </c>
      <c r="GZ28" s="717"/>
      <c r="HA28" s="717"/>
      <c r="HB28" s="717"/>
      <c r="HC28" s="739">
        <f>SUM(HC23:HH26)</f>
        <v>0</v>
      </c>
      <c r="HD28" s="749"/>
      <c r="HE28" s="749"/>
      <c r="HF28" s="749"/>
      <c r="HG28" s="749"/>
      <c r="HH28" s="749"/>
      <c r="HI28" s="244"/>
    </row>
    <row r="30" spans="1:227" x14ac:dyDescent="0.25">
      <c r="A30" s="770" t="s">
        <v>206</v>
      </c>
      <c r="B30" s="717"/>
      <c r="C30" s="717"/>
      <c r="D30" s="717"/>
      <c r="E30" s="717"/>
      <c r="F30" s="717"/>
      <c r="G30" s="717"/>
      <c r="H30" s="717"/>
      <c r="I30" s="717"/>
      <c r="J30" s="717"/>
      <c r="K30" s="717"/>
      <c r="L30" s="771" t="str">
        <f>E32</f>
        <v>incada 250g</v>
      </c>
      <c r="M30" s="771"/>
      <c r="N30" s="771"/>
      <c r="O30" s="771"/>
      <c r="P30" s="771"/>
      <c r="Q30" s="771"/>
      <c r="R30" s="771"/>
      <c r="S30" s="771"/>
      <c r="T30" s="771"/>
      <c r="U30" s="771"/>
      <c r="V30" s="771"/>
      <c r="W30" s="771"/>
      <c r="X30" s="771"/>
      <c r="Y30" s="771"/>
      <c r="AL30" s="770" t="s">
        <v>206</v>
      </c>
      <c r="AM30" s="717"/>
      <c r="AN30" s="717"/>
      <c r="AO30" s="717"/>
      <c r="AP30" s="717"/>
      <c r="AQ30" s="717"/>
      <c r="AR30" s="717"/>
      <c r="AS30" s="717"/>
      <c r="AT30" s="717"/>
      <c r="AU30" s="717"/>
      <c r="AV30" s="717"/>
      <c r="AW30" s="771" t="str">
        <f>AP32</f>
        <v>incada 250g</v>
      </c>
      <c r="AX30" s="771"/>
      <c r="AY30" s="771"/>
      <c r="AZ30" s="771"/>
      <c r="BA30" s="771"/>
      <c r="BB30" s="771"/>
      <c r="BC30" s="771"/>
      <c r="BD30" s="771"/>
      <c r="BE30" s="771"/>
      <c r="BF30" s="771"/>
      <c r="BG30" s="771"/>
      <c r="BH30" s="771"/>
      <c r="BI30" s="771"/>
      <c r="BJ30" s="771"/>
      <c r="BW30" s="770" t="s">
        <v>206</v>
      </c>
      <c r="BX30" s="717"/>
      <c r="BY30" s="717"/>
      <c r="BZ30" s="717"/>
      <c r="CA30" s="717"/>
      <c r="CB30" s="717"/>
      <c r="CC30" s="717"/>
      <c r="CD30" s="717"/>
      <c r="CE30" s="717"/>
      <c r="CF30" s="717"/>
      <c r="CG30" s="717"/>
      <c r="CH30" s="771" t="str">
        <f>CA32</f>
        <v>incada 250g</v>
      </c>
      <c r="CI30" s="771"/>
      <c r="CJ30" s="771"/>
      <c r="CK30" s="771"/>
      <c r="CL30" s="771"/>
      <c r="CM30" s="771"/>
      <c r="CN30" s="771"/>
      <c r="CO30" s="771"/>
      <c r="CP30" s="771"/>
      <c r="CQ30" s="771"/>
      <c r="CR30" s="771"/>
      <c r="CS30" s="771"/>
      <c r="CT30" s="771"/>
      <c r="CU30" s="771"/>
      <c r="DI30" s="770" t="s">
        <v>206</v>
      </c>
      <c r="DJ30" s="717"/>
      <c r="DK30" s="717"/>
      <c r="DL30" s="717"/>
      <c r="DM30" s="717"/>
      <c r="DN30" s="717"/>
      <c r="DO30" s="717"/>
      <c r="DP30" s="717"/>
      <c r="DQ30" s="717"/>
      <c r="DR30" s="717"/>
      <c r="DS30" s="717"/>
      <c r="DT30" s="771" t="str">
        <f>DM32</f>
        <v>incada 250g</v>
      </c>
      <c r="DU30" s="771"/>
      <c r="DV30" s="771"/>
      <c r="DW30" s="771"/>
      <c r="DX30" s="771"/>
      <c r="DY30" s="771"/>
      <c r="DZ30" s="771"/>
      <c r="EA30" s="771"/>
      <c r="EB30" s="771"/>
      <c r="EC30" s="771"/>
      <c r="ED30" s="771"/>
      <c r="EE30" s="771"/>
      <c r="EF30" s="771"/>
      <c r="EG30" s="771"/>
      <c r="EV30" s="770" t="s">
        <v>206</v>
      </c>
      <c r="EW30" s="717"/>
      <c r="EX30" s="717"/>
      <c r="EY30" s="717"/>
      <c r="EZ30" s="717"/>
      <c r="FA30" s="717"/>
      <c r="FB30" s="717"/>
      <c r="FC30" s="717"/>
      <c r="FD30" s="717"/>
      <c r="FE30" s="717"/>
      <c r="FF30" s="717"/>
      <c r="FG30" s="771" t="str">
        <f>EZ32</f>
        <v>incada 250g</v>
      </c>
      <c r="FH30" s="771"/>
      <c r="FI30" s="771"/>
      <c r="FJ30" s="771"/>
      <c r="FK30" s="771"/>
      <c r="FL30" s="771"/>
      <c r="FM30" s="771"/>
      <c r="FN30" s="771"/>
      <c r="FO30" s="771"/>
      <c r="FP30" s="771"/>
      <c r="FQ30" s="771"/>
      <c r="FR30" s="771"/>
      <c r="FS30" s="771"/>
      <c r="FT30" s="771"/>
      <c r="GI30" s="770" t="s">
        <v>206</v>
      </c>
      <c r="GJ30" s="717"/>
      <c r="GK30" s="717"/>
      <c r="GL30" s="717"/>
      <c r="GM30" s="717"/>
      <c r="GN30" s="717"/>
      <c r="GO30" s="717"/>
      <c r="GP30" s="717"/>
      <c r="GQ30" s="717"/>
      <c r="GR30" s="717"/>
      <c r="GS30" s="717"/>
      <c r="GT30" s="771" t="str">
        <f>GM32</f>
        <v>incada 250g</v>
      </c>
      <c r="GU30" s="771"/>
      <c r="GV30" s="771"/>
      <c r="GW30" s="771"/>
      <c r="GX30" s="771"/>
      <c r="GY30" s="771"/>
      <c r="GZ30" s="771"/>
      <c r="HA30" s="771"/>
      <c r="HB30" s="771"/>
      <c r="HC30" s="771"/>
      <c r="HD30" s="771"/>
      <c r="HE30" s="771"/>
      <c r="HF30" s="771"/>
      <c r="HG30" s="771"/>
    </row>
    <row r="31" spans="1:227" x14ac:dyDescent="0.25">
      <c r="V31" s="251"/>
      <c r="W31" s="251"/>
      <c r="X31" s="251"/>
      <c r="Y31" s="251"/>
      <c r="BG31" s="251"/>
      <c r="BH31" s="251"/>
      <c r="BI31" s="251"/>
      <c r="BJ31" s="251"/>
      <c r="CR31" s="251"/>
      <c r="CS31" s="251"/>
      <c r="CT31" s="251"/>
      <c r="CU31" s="251"/>
      <c r="ED31" s="251"/>
      <c r="EE31" s="251"/>
      <c r="EF31" s="251"/>
      <c r="EG31" s="251"/>
      <c r="FQ31" s="251"/>
      <c r="FR31" s="251"/>
      <c r="FS31" s="251"/>
      <c r="FT31" s="251"/>
      <c r="HD31" s="251"/>
      <c r="HE31" s="251"/>
      <c r="HF31" s="251"/>
      <c r="HG31" s="251"/>
    </row>
    <row r="32" spans="1:227" x14ac:dyDescent="0.25">
      <c r="A32" s="757" t="s">
        <v>32</v>
      </c>
      <c r="B32" s="717"/>
      <c r="C32" s="717"/>
      <c r="D32" s="717"/>
      <c r="E32" s="710" t="s">
        <v>237</v>
      </c>
      <c r="F32" s="711"/>
      <c r="G32" s="711"/>
      <c r="H32" s="711"/>
      <c r="I32" s="711"/>
      <c r="J32" s="711"/>
      <c r="K32" s="711"/>
      <c r="L32" s="711"/>
      <c r="M32" s="712"/>
      <c r="O32" s="758">
        <v>0.123</v>
      </c>
      <c r="P32" s="759"/>
      <c r="Q32" s="759"/>
      <c r="R32" s="760"/>
      <c r="T32" s="253">
        <v>2</v>
      </c>
      <c r="U32" s="761">
        <f>IF($T$32="","",IF($T$32=1,($DL$11*$J$11*$O$32)/$AV$12*1.05,IF($T$32=2,($J$11/2*$DL$12*$O$32)/$AV$12*1.05,IF($T$32=3,($J$11*$O$32*$DL$13)/$AV$12*1.05))))</f>
        <v>0</v>
      </c>
      <c r="V32" s="772"/>
      <c r="W32" s="772"/>
      <c r="X32" s="772"/>
      <c r="Y32" s="756"/>
      <c r="AL32" s="757" t="s">
        <v>32</v>
      </c>
      <c r="AM32" s="717"/>
      <c r="AN32" s="717"/>
      <c r="AO32" s="717"/>
      <c r="AP32" s="710" t="str">
        <f>IF($E$32="","",$E$32)</f>
        <v>incada 250g</v>
      </c>
      <c r="AQ32" s="711"/>
      <c r="AR32" s="711"/>
      <c r="AS32" s="711"/>
      <c r="AT32" s="711"/>
      <c r="AU32" s="711"/>
      <c r="AV32" s="711"/>
      <c r="AW32" s="711"/>
      <c r="AX32" s="712"/>
      <c r="AZ32" s="758">
        <f>IF($O$32="","",$O$32)</f>
        <v>0.123</v>
      </c>
      <c r="BA32" s="759"/>
      <c r="BB32" s="759"/>
      <c r="BC32" s="760"/>
      <c r="BE32" s="253">
        <f>IF($T$32="","",$T$32)</f>
        <v>2</v>
      </c>
      <c r="BF32" s="761">
        <f>IF($BE$32="","",IF($BE$32=1,($DL$11*$Q$11*$O$32)/$AV$12*1.05,IF($BE$32=2,($Q$11/2*$DL$12*$O$32)/$AV$12*1.05,IF($BE$32=3,($Q$11*$O$32*$DL$13)/$AV$12*1.05))))</f>
        <v>0</v>
      </c>
      <c r="BG32" s="772"/>
      <c r="BH32" s="772"/>
      <c r="BI32" s="772"/>
      <c r="BJ32" s="756"/>
      <c r="BW32" s="757" t="s">
        <v>32</v>
      </c>
      <c r="BX32" s="717"/>
      <c r="BY32" s="717"/>
      <c r="BZ32" s="717"/>
      <c r="CA32" s="710" t="str">
        <f>IF($E$32="","",$E$32)</f>
        <v>incada 250g</v>
      </c>
      <c r="CB32" s="711"/>
      <c r="CC32" s="711"/>
      <c r="CD32" s="711"/>
      <c r="CE32" s="711"/>
      <c r="CF32" s="711"/>
      <c r="CG32" s="711"/>
      <c r="CH32" s="711"/>
      <c r="CI32" s="712"/>
      <c r="CK32" s="758">
        <f>IF($O$32="","",$O$32)</f>
        <v>0.123</v>
      </c>
      <c r="CL32" s="759"/>
      <c r="CM32" s="759"/>
      <c r="CN32" s="760"/>
      <c r="CP32" s="253">
        <f>IF($T$32="","",$T$32)</f>
        <v>2</v>
      </c>
      <c r="CQ32" s="761">
        <f>IF($CP$32="","",IF($CP$32=1,($DL$11*$X$11*$O$32)/$AV$12*1.05,IF($CP$32=2,($X$11/2*$DL$12*$O$32)/$AV$12*1.05,IF($CP$32=3,($X$11*$O$32*$DL$13)/$AV$12*1.05))))</f>
        <v>0</v>
      </c>
      <c r="CR32" s="772"/>
      <c r="CS32" s="772"/>
      <c r="CT32" s="772"/>
      <c r="CU32" s="756"/>
      <c r="DI32" s="757" t="s">
        <v>32</v>
      </c>
      <c r="DJ32" s="717"/>
      <c r="DK32" s="717"/>
      <c r="DL32" s="717"/>
      <c r="DM32" s="710" t="str">
        <f>IF($E$32="","",$E$32)</f>
        <v>incada 250g</v>
      </c>
      <c r="DN32" s="711"/>
      <c r="DO32" s="711"/>
      <c r="DP32" s="711"/>
      <c r="DQ32" s="711"/>
      <c r="DR32" s="711"/>
      <c r="DS32" s="711"/>
      <c r="DT32" s="711"/>
      <c r="DU32" s="712"/>
      <c r="DW32" s="758">
        <f>IF($O$32="","",$O$32)</f>
        <v>0.123</v>
      </c>
      <c r="DX32" s="759"/>
      <c r="DY32" s="759"/>
      <c r="DZ32" s="760"/>
      <c r="EB32" s="253">
        <f>IF($T$32="","",$T$32)</f>
        <v>2</v>
      </c>
      <c r="EC32" s="761">
        <f>IF($T$32="","",IF($T$32=1,($DL$11*$J$15*$O$32)/$AV$12*1.05,IF($T$32=2,($J$15/2*$DL$12*$O$32)/$AV$12*1.05,IF($T$32=3,($J$15*$O$32*$DL$13)/$AV$12*1.05))))</f>
        <v>0</v>
      </c>
      <c r="ED32" s="772"/>
      <c r="EE32" s="772"/>
      <c r="EF32" s="772"/>
      <c r="EG32" s="756"/>
      <c r="EV32" s="757" t="s">
        <v>32</v>
      </c>
      <c r="EW32" s="717"/>
      <c r="EX32" s="717"/>
      <c r="EY32" s="717"/>
      <c r="EZ32" s="710" t="str">
        <f>IF($E$32="","",$E$32)</f>
        <v>incada 250g</v>
      </c>
      <c r="FA32" s="711"/>
      <c r="FB32" s="711"/>
      <c r="FC32" s="711"/>
      <c r="FD32" s="711"/>
      <c r="FE32" s="711"/>
      <c r="FF32" s="711"/>
      <c r="FG32" s="711"/>
      <c r="FH32" s="712"/>
      <c r="FJ32" s="758">
        <f>IF($O$32="","",$O$32)</f>
        <v>0.123</v>
      </c>
      <c r="FK32" s="759"/>
      <c r="FL32" s="759"/>
      <c r="FM32" s="760"/>
      <c r="FO32" s="253">
        <f>IF($T$32="","",$T$32)</f>
        <v>2</v>
      </c>
      <c r="FP32" s="761">
        <f>IF($BE$32="","",IF($BE$32=1,($DL$11*$Q$15*$O$32)/$AV$12*1.05,IF($BE$32=2,($Q$15/2*$DL$12*$O$32)/$AV$12*1.05,IF($BE$32=3,($Q$15*$O$32*$DL$13)/$AV$12*1.05))))</f>
        <v>0</v>
      </c>
      <c r="FQ32" s="772"/>
      <c r="FR32" s="772"/>
      <c r="FS32" s="772"/>
      <c r="FT32" s="756"/>
      <c r="GI32" s="757" t="s">
        <v>32</v>
      </c>
      <c r="GJ32" s="717"/>
      <c r="GK32" s="717"/>
      <c r="GL32" s="717"/>
      <c r="GM32" s="710" t="str">
        <f>IF($E$32="","",$E$32)</f>
        <v>incada 250g</v>
      </c>
      <c r="GN32" s="711"/>
      <c r="GO32" s="711"/>
      <c r="GP32" s="711"/>
      <c r="GQ32" s="711"/>
      <c r="GR32" s="711"/>
      <c r="GS32" s="711"/>
      <c r="GT32" s="711"/>
      <c r="GU32" s="712"/>
      <c r="GW32" s="758">
        <f>IF($O$32="","",$O$32)</f>
        <v>0.123</v>
      </c>
      <c r="GX32" s="759"/>
      <c r="GY32" s="759"/>
      <c r="GZ32" s="760"/>
      <c r="HB32" s="253">
        <f>IF($T$32="","",$T$32)</f>
        <v>2</v>
      </c>
      <c r="HC32" s="761">
        <f>IF($CP$32="","",IF($CP$32=1,($DL$11*$X$15*$O$32)/$AV$12*1.05,IF($CP$32=2,($X$15/2*$DL$12*$O$32)/$AV$12*1.05,IF($CP$32=3,($X$15*$O$32*$DL$13)/$AV$12*1.05))))</f>
        <v>0</v>
      </c>
      <c r="HD32" s="772"/>
      <c r="HE32" s="772"/>
      <c r="HF32" s="772"/>
      <c r="HG32" s="756"/>
    </row>
    <row r="33" spans="1:219" ht="14.25" customHeight="1" x14ac:dyDescent="0.25">
      <c r="A33" s="757" t="s">
        <v>187</v>
      </c>
      <c r="B33" s="717"/>
      <c r="C33" s="717"/>
      <c r="D33" s="717"/>
      <c r="E33" s="710"/>
      <c r="F33" s="711"/>
      <c r="G33" s="711"/>
      <c r="H33" s="711"/>
      <c r="I33" s="711"/>
      <c r="J33" s="711"/>
      <c r="K33" s="711"/>
      <c r="L33" s="711"/>
      <c r="M33" s="712"/>
      <c r="O33" s="758"/>
      <c r="P33" s="759"/>
      <c r="Q33" s="759"/>
      <c r="R33" s="760"/>
      <c r="S33" s="246"/>
      <c r="T33" s="243"/>
      <c r="U33" s="754"/>
      <c r="V33" s="755"/>
      <c r="W33" s="755"/>
      <c r="X33" s="755"/>
      <c r="Y33" s="756"/>
      <c r="AL33" s="757" t="s">
        <v>187</v>
      </c>
      <c r="AM33" s="717"/>
      <c r="AN33" s="717"/>
      <c r="AO33" s="717"/>
      <c r="AP33" s="710" t="str">
        <f>IF($E$33="","",$E$33)</f>
        <v/>
      </c>
      <c r="AQ33" s="711"/>
      <c r="AR33" s="711"/>
      <c r="AS33" s="711"/>
      <c r="AT33" s="711"/>
      <c r="AU33" s="711"/>
      <c r="AV33" s="711"/>
      <c r="AW33" s="711"/>
      <c r="AX33" s="712"/>
      <c r="AZ33" s="758" t="str">
        <f>IF($O$33="","",$O$33)</f>
        <v/>
      </c>
      <c r="BA33" s="759"/>
      <c r="BB33" s="759"/>
      <c r="BC33" s="760"/>
      <c r="BD33" s="259"/>
      <c r="BE33" s="243"/>
      <c r="BF33" s="754"/>
      <c r="BG33" s="755"/>
      <c r="BH33" s="755"/>
      <c r="BI33" s="755"/>
      <c r="BJ33" s="756"/>
      <c r="BW33" s="757" t="s">
        <v>187</v>
      </c>
      <c r="BX33" s="717"/>
      <c r="BY33" s="717"/>
      <c r="BZ33" s="717"/>
      <c r="CA33" s="710" t="str">
        <f>IF($E$33="","",$E$33)</f>
        <v/>
      </c>
      <c r="CB33" s="711"/>
      <c r="CC33" s="711"/>
      <c r="CD33" s="711"/>
      <c r="CE33" s="711"/>
      <c r="CF33" s="711"/>
      <c r="CG33" s="711"/>
      <c r="CH33" s="711"/>
      <c r="CI33" s="712"/>
      <c r="CK33" s="758" t="str">
        <f>IF($O$33="","",$O$33)</f>
        <v/>
      </c>
      <c r="CL33" s="759"/>
      <c r="CM33" s="759"/>
      <c r="CN33" s="760"/>
      <c r="CO33" s="259"/>
      <c r="CP33" s="243"/>
      <c r="CQ33" s="754"/>
      <c r="CR33" s="755"/>
      <c r="CS33" s="755"/>
      <c r="CT33" s="755"/>
      <c r="CU33" s="756"/>
      <c r="DI33" s="757" t="s">
        <v>187</v>
      </c>
      <c r="DJ33" s="717"/>
      <c r="DK33" s="717"/>
      <c r="DL33" s="717"/>
      <c r="DM33" s="710" t="str">
        <f>IF($E$33="","",$E$33)</f>
        <v/>
      </c>
      <c r="DN33" s="711"/>
      <c r="DO33" s="711"/>
      <c r="DP33" s="711"/>
      <c r="DQ33" s="711"/>
      <c r="DR33" s="711"/>
      <c r="DS33" s="711"/>
      <c r="DT33" s="711"/>
      <c r="DU33" s="712"/>
      <c r="DW33" s="758" t="str">
        <f>IF($O$33="","",$O$33)</f>
        <v/>
      </c>
      <c r="DX33" s="759"/>
      <c r="DY33" s="759"/>
      <c r="DZ33" s="760"/>
      <c r="EA33" s="265"/>
      <c r="EB33" s="243"/>
      <c r="EC33" s="754"/>
      <c r="ED33" s="755"/>
      <c r="EE33" s="755"/>
      <c r="EF33" s="755"/>
      <c r="EG33" s="756"/>
      <c r="EV33" s="757" t="s">
        <v>187</v>
      </c>
      <c r="EW33" s="717"/>
      <c r="EX33" s="717"/>
      <c r="EY33" s="717"/>
      <c r="EZ33" s="710" t="str">
        <f>IF($E$33="","",$E$33)</f>
        <v/>
      </c>
      <c r="FA33" s="711"/>
      <c r="FB33" s="711"/>
      <c r="FC33" s="711"/>
      <c r="FD33" s="711"/>
      <c r="FE33" s="711"/>
      <c r="FF33" s="711"/>
      <c r="FG33" s="711"/>
      <c r="FH33" s="712"/>
      <c r="FJ33" s="758" t="str">
        <f>IF($O$33="","",$O$33)</f>
        <v/>
      </c>
      <c r="FK33" s="759"/>
      <c r="FL33" s="759"/>
      <c r="FM33" s="760"/>
      <c r="FN33" s="265"/>
      <c r="FO33" s="243"/>
      <c r="FP33" s="754"/>
      <c r="FQ33" s="755"/>
      <c r="FR33" s="755"/>
      <c r="FS33" s="755"/>
      <c r="FT33" s="756"/>
      <c r="GI33" s="757" t="s">
        <v>187</v>
      </c>
      <c r="GJ33" s="717"/>
      <c r="GK33" s="717"/>
      <c r="GL33" s="717"/>
      <c r="GM33" s="710" t="str">
        <f>IF($E$33="","",$E$33)</f>
        <v/>
      </c>
      <c r="GN33" s="711"/>
      <c r="GO33" s="711"/>
      <c r="GP33" s="711"/>
      <c r="GQ33" s="711"/>
      <c r="GR33" s="711"/>
      <c r="GS33" s="711"/>
      <c r="GT33" s="711"/>
      <c r="GU33" s="712"/>
      <c r="GW33" s="758" t="str">
        <f>IF($O$33="","",$O$33)</f>
        <v/>
      </c>
      <c r="GX33" s="759"/>
      <c r="GY33" s="759"/>
      <c r="GZ33" s="760"/>
      <c r="HA33" s="265"/>
      <c r="HB33" s="243"/>
      <c r="HC33" s="754"/>
      <c r="HD33" s="755"/>
      <c r="HE33" s="755"/>
      <c r="HF33" s="755"/>
      <c r="HG33" s="756"/>
    </row>
    <row r="34" spans="1:219" x14ac:dyDescent="0.25">
      <c r="A34" s="757" t="s">
        <v>208</v>
      </c>
      <c r="B34" s="717"/>
      <c r="C34" s="717"/>
      <c r="D34" s="717"/>
      <c r="E34" s="710"/>
      <c r="F34" s="711"/>
      <c r="G34" s="711"/>
      <c r="H34" s="711"/>
      <c r="I34" s="711"/>
      <c r="J34" s="711"/>
      <c r="K34" s="711"/>
      <c r="L34" s="711"/>
      <c r="M34" s="712"/>
      <c r="N34" s="236"/>
      <c r="O34" s="758"/>
      <c r="P34" s="759"/>
      <c r="Q34" s="759"/>
      <c r="R34" s="760"/>
      <c r="S34" s="246"/>
      <c r="T34" s="243"/>
      <c r="U34" s="754"/>
      <c r="V34" s="755"/>
      <c r="W34" s="755"/>
      <c r="X34" s="755"/>
      <c r="Y34" s="756"/>
      <c r="AL34" s="757" t="s">
        <v>208</v>
      </c>
      <c r="AM34" s="717"/>
      <c r="AN34" s="717"/>
      <c r="AO34" s="717"/>
      <c r="AP34" s="710" t="str">
        <f>IF($E$34="","",$E$34)</f>
        <v/>
      </c>
      <c r="AQ34" s="711"/>
      <c r="AR34" s="711"/>
      <c r="AS34" s="711"/>
      <c r="AT34" s="711"/>
      <c r="AU34" s="711"/>
      <c r="AV34" s="711"/>
      <c r="AW34" s="711"/>
      <c r="AX34" s="712"/>
      <c r="AY34" s="258"/>
      <c r="AZ34" s="758" t="str">
        <f>IF($O$34="","",$O$34)</f>
        <v/>
      </c>
      <c r="BA34" s="759"/>
      <c r="BB34" s="759"/>
      <c r="BC34" s="760"/>
      <c r="BD34" s="259"/>
      <c r="BE34" s="243"/>
      <c r="BF34" s="754"/>
      <c r="BG34" s="755"/>
      <c r="BH34" s="755"/>
      <c r="BI34" s="755"/>
      <c r="BJ34" s="756"/>
      <c r="BW34" s="757" t="s">
        <v>208</v>
      </c>
      <c r="BX34" s="717"/>
      <c r="BY34" s="717"/>
      <c r="BZ34" s="717"/>
      <c r="CA34" s="710" t="str">
        <f>IF($E$34="","",$E$34)</f>
        <v/>
      </c>
      <c r="CB34" s="711"/>
      <c r="CC34" s="711"/>
      <c r="CD34" s="711"/>
      <c r="CE34" s="711"/>
      <c r="CF34" s="711"/>
      <c r="CG34" s="711"/>
      <c r="CH34" s="711"/>
      <c r="CI34" s="712"/>
      <c r="CJ34" s="258"/>
      <c r="CK34" s="758" t="str">
        <f>IF($O$34="","",$O$34)</f>
        <v/>
      </c>
      <c r="CL34" s="759"/>
      <c r="CM34" s="759"/>
      <c r="CN34" s="760"/>
      <c r="CO34" s="259"/>
      <c r="CP34" s="243"/>
      <c r="CQ34" s="754"/>
      <c r="CR34" s="755"/>
      <c r="CS34" s="755"/>
      <c r="CT34" s="755"/>
      <c r="CU34" s="756"/>
      <c r="DI34" s="757" t="s">
        <v>208</v>
      </c>
      <c r="DJ34" s="717"/>
      <c r="DK34" s="717"/>
      <c r="DL34" s="717"/>
      <c r="DM34" s="710" t="str">
        <f>IF($E$34="","",$E$34)</f>
        <v/>
      </c>
      <c r="DN34" s="711"/>
      <c r="DO34" s="711"/>
      <c r="DP34" s="711"/>
      <c r="DQ34" s="711"/>
      <c r="DR34" s="711"/>
      <c r="DS34" s="711"/>
      <c r="DT34" s="711"/>
      <c r="DU34" s="712"/>
      <c r="DV34" s="262"/>
      <c r="DW34" s="758" t="str">
        <f>IF($O$34="","",$O$34)</f>
        <v/>
      </c>
      <c r="DX34" s="759"/>
      <c r="DY34" s="759"/>
      <c r="DZ34" s="760"/>
      <c r="EA34" s="265"/>
      <c r="EB34" s="243"/>
      <c r="EC34" s="754"/>
      <c r="ED34" s="755"/>
      <c r="EE34" s="755"/>
      <c r="EF34" s="755"/>
      <c r="EG34" s="756"/>
      <c r="EV34" s="757" t="s">
        <v>208</v>
      </c>
      <c r="EW34" s="717"/>
      <c r="EX34" s="717"/>
      <c r="EY34" s="717"/>
      <c r="EZ34" s="710" t="str">
        <f>IF($E$34="","",$E$34)</f>
        <v/>
      </c>
      <c r="FA34" s="711"/>
      <c r="FB34" s="711"/>
      <c r="FC34" s="711"/>
      <c r="FD34" s="711"/>
      <c r="FE34" s="711"/>
      <c r="FF34" s="711"/>
      <c r="FG34" s="711"/>
      <c r="FH34" s="712"/>
      <c r="FI34" s="262"/>
      <c r="FJ34" s="758" t="str">
        <f>IF($O$34="","",$O$34)</f>
        <v/>
      </c>
      <c r="FK34" s="759"/>
      <c r="FL34" s="759"/>
      <c r="FM34" s="760"/>
      <c r="FN34" s="265"/>
      <c r="FO34" s="243"/>
      <c r="FP34" s="754"/>
      <c r="FQ34" s="755"/>
      <c r="FR34" s="755"/>
      <c r="FS34" s="755"/>
      <c r="FT34" s="756"/>
      <c r="GI34" s="757" t="s">
        <v>208</v>
      </c>
      <c r="GJ34" s="717"/>
      <c r="GK34" s="717"/>
      <c r="GL34" s="717"/>
      <c r="GM34" s="710" t="str">
        <f>IF($E$34="","",$E$34)</f>
        <v/>
      </c>
      <c r="GN34" s="711"/>
      <c r="GO34" s="711"/>
      <c r="GP34" s="711"/>
      <c r="GQ34" s="711"/>
      <c r="GR34" s="711"/>
      <c r="GS34" s="711"/>
      <c r="GT34" s="711"/>
      <c r="GU34" s="712"/>
      <c r="GV34" s="262"/>
      <c r="GW34" s="758" t="str">
        <f>IF($O$34="","",$O$34)</f>
        <v/>
      </c>
      <c r="GX34" s="759"/>
      <c r="GY34" s="759"/>
      <c r="GZ34" s="760"/>
      <c r="HA34" s="265"/>
      <c r="HB34" s="243"/>
      <c r="HC34" s="754"/>
      <c r="HD34" s="755"/>
      <c r="HE34" s="755"/>
      <c r="HF34" s="755"/>
      <c r="HG34" s="756"/>
    </row>
    <row r="35" spans="1:219" x14ac:dyDescent="0.25">
      <c r="A35" s="757" t="s">
        <v>83</v>
      </c>
      <c r="B35" s="717"/>
      <c r="C35" s="717"/>
      <c r="D35" s="717"/>
      <c r="E35" s="710"/>
      <c r="F35" s="711"/>
      <c r="G35" s="711"/>
      <c r="H35" s="711"/>
      <c r="I35" s="711"/>
      <c r="J35" s="711"/>
      <c r="K35" s="711"/>
      <c r="L35" s="711"/>
      <c r="M35" s="712"/>
      <c r="N35" s="236"/>
      <c r="O35" s="758"/>
      <c r="P35" s="759"/>
      <c r="Q35" s="759"/>
      <c r="R35" s="760"/>
      <c r="S35" s="246"/>
      <c r="T35" s="243"/>
      <c r="U35" s="754"/>
      <c r="V35" s="755"/>
      <c r="W35" s="755"/>
      <c r="X35" s="755"/>
      <c r="Y35" s="756"/>
      <c r="AL35" s="757" t="s">
        <v>83</v>
      </c>
      <c r="AM35" s="717"/>
      <c r="AN35" s="717"/>
      <c r="AO35" s="717"/>
      <c r="AP35" s="710" t="str">
        <f>IF($E$35="","",$E$35)</f>
        <v/>
      </c>
      <c r="AQ35" s="711"/>
      <c r="AR35" s="711"/>
      <c r="AS35" s="711"/>
      <c r="AT35" s="711"/>
      <c r="AU35" s="711"/>
      <c r="AV35" s="711"/>
      <c r="AW35" s="711"/>
      <c r="AX35" s="712"/>
      <c r="AY35" s="258"/>
      <c r="AZ35" s="758" t="str">
        <f>IF($O$35="","",$O$35)</f>
        <v/>
      </c>
      <c r="BA35" s="759"/>
      <c r="BB35" s="759"/>
      <c r="BC35" s="760"/>
      <c r="BD35" s="259"/>
      <c r="BE35" s="243"/>
      <c r="BF35" s="754"/>
      <c r="BG35" s="755"/>
      <c r="BH35" s="755"/>
      <c r="BI35" s="755"/>
      <c r="BJ35" s="756"/>
      <c r="BW35" s="757" t="s">
        <v>83</v>
      </c>
      <c r="BX35" s="717"/>
      <c r="BY35" s="717"/>
      <c r="BZ35" s="717"/>
      <c r="CA35" s="710" t="str">
        <f>IF($E$35="","",$E$35)</f>
        <v/>
      </c>
      <c r="CB35" s="711"/>
      <c r="CC35" s="711"/>
      <c r="CD35" s="711"/>
      <c r="CE35" s="711"/>
      <c r="CF35" s="711"/>
      <c r="CG35" s="711"/>
      <c r="CH35" s="711"/>
      <c r="CI35" s="712"/>
      <c r="CJ35" s="258"/>
      <c r="CK35" s="758" t="str">
        <f>IF($O$35="","",$O$35)</f>
        <v/>
      </c>
      <c r="CL35" s="759"/>
      <c r="CM35" s="759"/>
      <c r="CN35" s="760"/>
      <c r="CO35" s="259"/>
      <c r="CP35" s="243"/>
      <c r="CQ35" s="754"/>
      <c r="CR35" s="755"/>
      <c r="CS35" s="755"/>
      <c r="CT35" s="755"/>
      <c r="CU35" s="756"/>
      <c r="DI35" s="757" t="s">
        <v>83</v>
      </c>
      <c r="DJ35" s="717"/>
      <c r="DK35" s="717"/>
      <c r="DL35" s="717"/>
      <c r="DM35" s="710" t="str">
        <f>IF($E$35="","",$E$35)</f>
        <v/>
      </c>
      <c r="DN35" s="711"/>
      <c r="DO35" s="711"/>
      <c r="DP35" s="711"/>
      <c r="DQ35" s="711"/>
      <c r="DR35" s="711"/>
      <c r="DS35" s="711"/>
      <c r="DT35" s="711"/>
      <c r="DU35" s="712"/>
      <c r="DV35" s="262"/>
      <c r="DW35" s="758" t="str">
        <f>IF($O$35="","",$O$35)</f>
        <v/>
      </c>
      <c r="DX35" s="759"/>
      <c r="DY35" s="759"/>
      <c r="DZ35" s="760"/>
      <c r="EA35" s="265"/>
      <c r="EB35" s="243"/>
      <c r="EC35" s="754"/>
      <c r="ED35" s="755"/>
      <c r="EE35" s="755"/>
      <c r="EF35" s="755"/>
      <c r="EG35" s="756"/>
      <c r="EV35" s="757" t="s">
        <v>83</v>
      </c>
      <c r="EW35" s="717"/>
      <c r="EX35" s="717"/>
      <c r="EY35" s="717"/>
      <c r="EZ35" s="710" t="str">
        <f>IF($E$35="","",$E$35)</f>
        <v/>
      </c>
      <c r="FA35" s="711"/>
      <c r="FB35" s="711"/>
      <c r="FC35" s="711"/>
      <c r="FD35" s="711"/>
      <c r="FE35" s="711"/>
      <c r="FF35" s="711"/>
      <c r="FG35" s="711"/>
      <c r="FH35" s="712"/>
      <c r="FI35" s="262"/>
      <c r="FJ35" s="758" t="str">
        <f>IF($O$35="","",$O$35)</f>
        <v/>
      </c>
      <c r="FK35" s="759"/>
      <c r="FL35" s="759"/>
      <c r="FM35" s="760"/>
      <c r="FN35" s="265"/>
      <c r="FO35" s="243"/>
      <c r="FP35" s="754"/>
      <c r="FQ35" s="755"/>
      <c r="FR35" s="755"/>
      <c r="FS35" s="755"/>
      <c r="FT35" s="756"/>
      <c r="GI35" s="757" t="s">
        <v>83</v>
      </c>
      <c r="GJ35" s="717"/>
      <c r="GK35" s="717"/>
      <c r="GL35" s="717"/>
      <c r="GM35" s="710" t="str">
        <f>IF($E$35="","",$E$35)</f>
        <v/>
      </c>
      <c r="GN35" s="711"/>
      <c r="GO35" s="711"/>
      <c r="GP35" s="711"/>
      <c r="GQ35" s="711"/>
      <c r="GR35" s="711"/>
      <c r="GS35" s="711"/>
      <c r="GT35" s="711"/>
      <c r="GU35" s="712"/>
      <c r="GV35" s="262"/>
      <c r="GW35" s="758" t="str">
        <f>IF($O$35="","",$O$35)</f>
        <v/>
      </c>
      <c r="GX35" s="759"/>
      <c r="GY35" s="759"/>
      <c r="GZ35" s="760"/>
      <c r="HA35" s="265"/>
      <c r="HB35" s="243"/>
      <c r="HC35" s="754"/>
      <c r="HD35" s="755"/>
      <c r="HE35" s="755"/>
      <c r="HF35" s="755"/>
      <c r="HG35" s="756"/>
    </row>
    <row r="36" spans="1:219" x14ac:dyDescent="0.25">
      <c r="A36" s="244"/>
      <c r="B36" s="244"/>
      <c r="C36" s="244"/>
      <c r="AL36" s="244"/>
      <c r="AM36" s="244"/>
      <c r="AN36" s="244"/>
      <c r="BW36" s="244"/>
      <c r="BX36" s="244"/>
      <c r="BY36" s="244"/>
      <c r="DI36" s="244"/>
      <c r="DJ36" s="244"/>
      <c r="DK36" s="244"/>
      <c r="EV36" s="244"/>
      <c r="EW36" s="244"/>
      <c r="EX36" s="244"/>
      <c r="GI36" s="244"/>
      <c r="GJ36" s="244"/>
      <c r="GK36" s="244"/>
    </row>
    <row r="37" spans="1:219" x14ac:dyDescent="0.25">
      <c r="A37" s="244"/>
      <c r="N37" s="254"/>
      <c r="O37" s="234"/>
      <c r="P37" s="732" t="s">
        <v>214</v>
      </c>
      <c r="Q37" s="717"/>
      <c r="R37" s="717"/>
      <c r="S37" s="717"/>
      <c r="T37" s="739">
        <f>SUM(U32:Y34)</f>
        <v>0</v>
      </c>
      <c r="U37" s="749"/>
      <c r="V37" s="749"/>
      <c r="W37" s="749"/>
      <c r="X37" s="749"/>
      <c r="Y37" s="749"/>
      <c r="AL37" s="244"/>
      <c r="AY37" s="255"/>
      <c r="AZ37" s="256"/>
      <c r="BA37" s="732" t="s">
        <v>214</v>
      </c>
      <c r="BB37" s="717"/>
      <c r="BC37" s="717"/>
      <c r="BD37" s="717"/>
      <c r="BE37" s="739">
        <f>SUM(BF32:BJ34)</f>
        <v>0</v>
      </c>
      <c r="BF37" s="749"/>
      <c r="BG37" s="749"/>
      <c r="BH37" s="749"/>
      <c r="BI37" s="749"/>
      <c r="BJ37" s="749"/>
      <c r="BW37" s="244"/>
      <c r="CJ37" s="255"/>
      <c r="CK37" s="256"/>
      <c r="CL37" s="732" t="s">
        <v>214</v>
      </c>
      <c r="CM37" s="717"/>
      <c r="CN37" s="717"/>
      <c r="CO37" s="717"/>
      <c r="CP37" s="739">
        <f>SUM(CQ32:CU35)</f>
        <v>0</v>
      </c>
      <c r="CQ37" s="749"/>
      <c r="CR37" s="749"/>
      <c r="CS37" s="749"/>
      <c r="CT37" s="749"/>
      <c r="CU37" s="749"/>
      <c r="DI37" s="244"/>
      <c r="DV37" s="261"/>
      <c r="DW37" s="270"/>
      <c r="DX37" s="732" t="s">
        <v>214</v>
      </c>
      <c r="DY37" s="717"/>
      <c r="DZ37" s="717"/>
      <c r="EA37" s="717"/>
      <c r="EB37" s="739">
        <f>SUM(EC32:EG35)</f>
        <v>0</v>
      </c>
      <c r="EC37" s="749"/>
      <c r="ED37" s="749"/>
      <c r="EE37" s="749"/>
      <c r="EF37" s="749"/>
      <c r="EG37" s="749"/>
      <c r="EV37" s="244"/>
      <c r="FI37" s="261"/>
      <c r="FJ37" s="270"/>
      <c r="FK37" s="732" t="s">
        <v>214</v>
      </c>
      <c r="FL37" s="717"/>
      <c r="FM37" s="717"/>
      <c r="FN37" s="717"/>
      <c r="FO37" s="739">
        <f>SUM(FP32:FT35)</f>
        <v>0</v>
      </c>
      <c r="FP37" s="749"/>
      <c r="FQ37" s="749"/>
      <c r="FR37" s="749"/>
      <c r="FS37" s="749"/>
      <c r="FT37" s="749"/>
      <c r="GI37" s="244"/>
      <c r="GV37" s="261"/>
      <c r="GW37" s="270"/>
      <c r="GX37" s="732" t="s">
        <v>214</v>
      </c>
      <c r="GY37" s="717"/>
      <c r="GZ37" s="717"/>
      <c r="HA37" s="717"/>
      <c r="HB37" s="739">
        <f>SUM(HC32:HG35)</f>
        <v>0</v>
      </c>
      <c r="HC37" s="749"/>
      <c r="HD37" s="749"/>
      <c r="HE37" s="749"/>
      <c r="HF37" s="749"/>
      <c r="HG37" s="749"/>
    </row>
    <row r="39" spans="1:219" x14ac:dyDescent="0.25">
      <c r="A39" s="750" t="s">
        <v>215</v>
      </c>
      <c r="B39" s="724"/>
      <c r="C39" s="724"/>
      <c r="D39" s="724"/>
      <c r="E39" s="724"/>
      <c r="F39" s="724"/>
      <c r="G39" s="724"/>
      <c r="H39" s="724"/>
      <c r="M39" s="236"/>
      <c r="N39" s="236"/>
      <c r="AL39" s="750" t="s">
        <v>215</v>
      </c>
      <c r="AM39" s="724"/>
      <c r="AN39" s="724"/>
      <c r="AO39" s="724"/>
      <c r="AP39" s="724"/>
      <c r="AQ39" s="724"/>
      <c r="AR39" s="724"/>
      <c r="AS39" s="724"/>
      <c r="BW39" s="750" t="s">
        <v>215</v>
      </c>
      <c r="BX39" s="724"/>
      <c r="BY39" s="724"/>
      <c r="BZ39" s="724"/>
      <c r="CA39" s="724"/>
      <c r="CB39" s="724"/>
      <c r="CC39" s="724"/>
      <c r="CD39" s="724"/>
      <c r="DI39" s="750" t="s">
        <v>215</v>
      </c>
      <c r="DJ39" s="724"/>
      <c r="DK39" s="724"/>
      <c r="DL39" s="724"/>
      <c r="DM39" s="724"/>
      <c r="DN39" s="724"/>
      <c r="DO39" s="724"/>
      <c r="DP39" s="724"/>
      <c r="EV39" s="750" t="s">
        <v>215</v>
      </c>
      <c r="EW39" s="724"/>
      <c r="EX39" s="724"/>
      <c r="EY39" s="724"/>
      <c r="EZ39" s="724"/>
      <c r="FA39" s="724"/>
      <c r="FB39" s="724"/>
      <c r="FC39" s="724"/>
      <c r="GI39" s="750" t="s">
        <v>215</v>
      </c>
      <c r="GJ39" s="724"/>
      <c r="GK39" s="724"/>
      <c r="GL39" s="724"/>
      <c r="GM39" s="724"/>
      <c r="GN39" s="724"/>
      <c r="GO39" s="724"/>
      <c r="GP39" s="724"/>
    </row>
    <row r="40" spans="1:219" x14ac:dyDescent="0.25">
      <c r="A40" s="716" t="s">
        <v>28</v>
      </c>
      <c r="B40" s="717"/>
      <c r="C40" s="717"/>
      <c r="D40" s="717"/>
      <c r="E40" s="710">
        <v>8</v>
      </c>
      <c r="F40" s="712"/>
      <c r="H40" s="721">
        <f>IF($E$40="","",$E$40*6)</f>
        <v>48</v>
      </c>
      <c r="I40" s="722"/>
      <c r="J40" s="722"/>
      <c r="K40" s="730"/>
      <c r="L40" s="731"/>
      <c r="AL40" s="716" t="s">
        <v>28</v>
      </c>
      <c r="AM40" s="717"/>
      <c r="AN40" s="717"/>
      <c r="AO40" s="717"/>
      <c r="AP40" s="710">
        <f>IF($E$40="","",$E$40)</f>
        <v>8</v>
      </c>
      <c r="AQ40" s="712"/>
      <c r="AS40" s="721">
        <f>IF($H$40="","",$H$40)</f>
        <v>48</v>
      </c>
      <c r="AT40" s="722"/>
      <c r="AU40" s="722"/>
      <c r="AV40" s="730"/>
      <c r="AW40" s="731"/>
      <c r="BW40" s="716" t="s">
        <v>28</v>
      </c>
      <c r="BX40" s="717"/>
      <c r="BY40" s="717"/>
      <c r="BZ40" s="717"/>
      <c r="CA40" s="710">
        <f>IF($E$40="","",$E$40)</f>
        <v>8</v>
      </c>
      <c r="CB40" s="712"/>
      <c r="CD40" s="721">
        <f>IF($H$40="","",$H$40)</f>
        <v>48</v>
      </c>
      <c r="CE40" s="722"/>
      <c r="CF40" s="722"/>
      <c r="CG40" s="730"/>
      <c r="CH40" s="731"/>
      <c r="DI40" s="716" t="s">
        <v>28</v>
      </c>
      <c r="DJ40" s="717"/>
      <c r="DK40" s="717"/>
      <c r="DL40" s="717"/>
      <c r="DM40" s="710">
        <f>IF($E$40="","",$E$40)</f>
        <v>8</v>
      </c>
      <c r="DN40" s="712"/>
      <c r="DP40" s="721">
        <f>IF($H$40="","",$H$40)</f>
        <v>48</v>
      </c>
      <c r="DQ40" s="722"/>
      <c r="DR40" s="722"/>
      <c r="DS40" s="730"/>
      <c r="DT40" s="731"/>
      <c r="EV40" s="716" t="s">
        <v>28</v>
      </c>
      <c r="EW40" s="717"/>
      <c r="EX40" s="717"/>
      <c r="EY40" s="717"/>
      <c r="EZ40" s="710">
        <f>IF($E$40="","",$E$40)</f>
        <v>8</v>
      </c>
      <c r="FA40" s="712"/>
      <c r="FC40" s="721">
        <f>IF($H$40="","",$H$40)</f>
        <v>48</v>
      </c>
      <c r="FD40" s="722"/>
      <c r="FE40" s="722"/>
      <c r="FF40" s="730"/>
      <c r="FG40" s="731"/>
      <c r="GI40" s="716" t="s">
        <v>28</v>
      </c>
      <c r="GJ40" s="717"/>
      <c r="GK40" s="717"/>
      <c r="GL40" s="717"/>
      <c r="GM40" s="710">
        <f>IF($E$40="","",$E$40)</f>
        <v>8</v>
      </c>
      <c r="GN40" s="712"/>
      <c r="GP40" s="721">
        <f>IF($H$40="","",$H$40)</f>
        <v>48</v>
      </c>
      <c r="GQ40" s="722"/>
      <c r="GR40" s="722"/>
      <c r="GS40" s="730"/>
      <c r="GT40" s="731"/>
    </row>
    <row r="41" spans="1:219" x14ac:dyDescent="0.25">
      <c r="A41" s="716" t="s">
        <v>202</v>
      </c>
      <c r="B41" s="717"/>
      <c r="C41" s="717"/>
      <c r="D41" s="717"/>
      <c r="E41" s="710">
        <v>1</v>
      </c>
      <c r="F41" s="712"/>
      <c r="H41" s="721">
        <f>IF($E$41="","",$E$41*21)</f>
        <v>21</v>
      </c>
      <c r="I41" s="722"/>
      <c r="J41" s="722"/>
      <c r="K41" s="779"/>
      <c r="L41" s="731"/>
      <c r="AL41" s="716" t="s">
        <v>202</v>
      </c>
      <c r="AM41" s="717"/>
      <c r="AN41" s="717"/>
      <c r="AO41" s="717"/>
      <c r="AP41" s="710">
        <f>IF($E$41="","",$E$41)</f>
        <v>1</v>
      </c>
      <c r="AQ41" s="712"/>
      <c r="AS41" s="721">
        <f>IF($H$41="","",$H$41)</f>
        <v>21</v>
      </c>
      <c r="AT41" s="722"/>
      <c r="AU41" s="722"/>
      <c r="AV41" s="730"/>
      <c r="AW41" s="731"/>
      <c r="BW41" s="716" t="s">
        <v>202</v>
      </c>
      <c r="BX41" s="717"/>
      <c r="BY41" s="717"/>
      <c r="BZ41" s="717"/>
      <c r="CA41" s="710">
        <f>IF($E$41="","",$E$41)</f>
        <v>1</v>
      </c>
      <c r="CB41" s="712"/>
      <c r="CD41" s="721">
        <f>IF($H$41="","",$H$41)</f>
        <v>21</v>
      </c>
      <c r="CE41" s="722"/>
      <c r="CF41" s="722"/>
      <c r="CG41" s="730"/>
      <c r="CH41" s="731"/>
      <c r="DI41" s="716" t="s">
        <v>202</v>
      </c>
      <c r="DJ41" s="717"/>
      <c r="DK41" s="717"/>
      <c r="DL41" s="717"/>
      <c r="DM41" s="710">
        <f>IF($E$41="","",$E$41)</f>
        <v>1</v>
      </c>
      <c r="DN41" s="712"/>
      <c r="DP41" s="721">
        <f>IF($H$41="","",$H$41)</f>
        <v>21</v>
      </c>
      <c r="DQ41" s="722"/>
      <c r="DR41" s="722"/>
      <c r="DS41" s="730"/>
      <c r="DT41" s="731"/>
      <c r="EV41" s="716" t="s">
        <v>202</v>
      </c>
      <c r="EW41" s="717"/>
      <c r="EX41" s="717"/>
      <c r="EY41" s="717"/>
      <c r="EZ41" s="710">
        <f>IF($E$41="","",$E$41)</f>
        <v>1</v>
      </c>
      <c r="FA41" s="712"/>
      <c r="FC41" s="721">
        <f>IF($H$41="","",$H$41)</f>
        <v>21</v>
      </c>
      <c r="FD41" s="722"/>
      <c r="FE41" s="722"/>
      <c r="FF41" s="730"/>
      <c r="FG41" s="731"/>
      <c r="GI41" s="716" t="s">
        <v>202</v>
      </c>
      <c r="GJ41" s="717"/>
      <c r="GK41" s="717"/>
      <c r="GL41" s="717"/>
      <c r="GM41" s="710">
        <f>IF($E$41="","",$E$41)</f>
        <v>1</v>
      </c>
      <c r="GN41" s="712"/>
      <c r="GP41" s="721">
        <f>IF($H$41="","",$H$41)</f>
        <v>21</v>
      </c>
      <c r="GQ41" s="722"/>
      <c r="GR41" s="722"/>
      <c r="GS41" s="730"/>
      <c r="GT41" s="731"/>
    </row>
    <row r="43" spans="1:219" x14ac:dyDescent="0.25">
      <c r="D43" s="732" t="s">
        <v>214</v>
      </c>
      <c r="E43" s="733"/>
      <c r="F43" s="733"/>
      <c r="G43" s="733"/>
      <c r="H43" s="749">
        <f>SUM(H40:L41)</f>
        <v>69</v>
      </c>
      <c r="I43" s="751"/>
      <c r="J43" s="751"/>
      <c r="K43" s="751"/>
      <c r="L43" s="751"/>
      <c r="AO43" s="732" t="s">
        <v>214</v>
      </c>
      <c r="AP43" s="733"/>
      <c r="AQ43" s="733"/>
      <c r="AR43" s="733"/>
      <c r="AS43" s="749">
        <f>SUM(AS40:AW41)</f>
        <v>69</v>
      </c>
      <c r="AT43" s="751"/>
      <c r="AU43" s="751"/>
      <c r="AV43" s="751"/>
      <c r="AW43" s="751"/>
      <c r="BZ43" s="732" t="s">
        <v>214</v>
      </c>
      <c r="CA43" s="733"/>
      <c r="CB43" s="733"/>
      <c r="CC43" s="733"/>
      <c r="CD43" s="749">
        <f>SUM(CD40:CH41)</f>
        <v>69</v>
      </c>
      <c r="CE43" s="751"/>
      <c r="CF43" s="751"/>
      <c r="CG43" s="751"/>
      <c r="CH43" s="751"/>
      <c r="DL43" s="732" t="s">
        <v>214</v>
      </c>
      <c r="DM43" s="733"/>
      <c r="DN43" s="733"/>
      <c r="DO43" s="733"/>
      <c r="DP43" s="749">
        <f>SUM(DP40:DT41)</f>
        <v>69</v>
      </c>
      <c r="DQ43" s="751"/>
      <c r="DR43" s="751"/>
      <c r="DS43" s="751"/>
      <c r="DT43" s="751"/>
      <c r="EY43" s="732" t="s">
        <v>214</v>
      </c>
      <c r="EZ43" s="733"/>
      <c r="FA43" s="733"/>
      <c r="FB43" s="733"/>
      <c r="FC43" s="749">
        <f>SUM(FC40:FG41)</f>
        <v>69</v>
      </c>
      <c r="FD43" s="751"/>
      <c r="FE43" s="751"/>
      <c r="FF43" s="751"/>
      <c r="FG43" s="751"/>
      <c r="GL43" s="732" t="s">
        <v>214</v>
      </c>
      <c r="GM43" s="733"/>
      <c r="GN43" s="733"/>
      <c r="GO43" s="733"/>
      <c r="GP43" s="749">
        <f>SUM(GP40:GT41)</f>
        <v>69</v>
      </c>
      <c r="GQ43" s="751"/>
      <c r="GR43" s="751"/>
      <c r="GS43" s="751"/>
      <c r="GT43" s="751"/>
    </row>
    <row r="45" spans="1:219" x14ac:dyDescent="0.25">
      <c r="A45" s="781" t="s">
        <v>4</v>
      </c>
      <c r="B45" s="745"/>
      <c r="C45" s="745"/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Z45" s="243"/>
      <c r="AA45" s="243"/>
      <c r="AB45" s="243"/>
      <c r="AC45" s="243"/>
      <c r="AL45" s="732" t="s">
        <v>4</v>
      </c>
      <c r="AM45" s="733"/>
      <c r="AN45" s="733"/>
      <c r="BW45" s="732" t="s">
        <v>4</v>
      </c>
      <c r="BX45" s="733"/>
      <c r="BY45" s="733"/>
      <c r="DI45" s="732" t="s">
        <v>4</v>
      </c>
      <c r="DJ45" s="733"/>
      <c r="DK45" s="733"/>
      <c r="EV45" s="732" t="s">
        <v>4</v>
      </c>
      <c r="EW45" s="733"/>
      <c r="EX45" s="733"/>
      <c r="GI45" s="732" t="s">
        <v>4</v>
      </c>
      <c r="GJ45" s="733"/>
      <c r="GK45" s="733"/>
    </row>
    <row r="46" spans="1:219" x14ac:dyDescent="0.25">
      <c r="A46" s="831" t="s">
        <v>216</v>
      </c>
      <c r="B46" s="831"/>
      <c r="C46" s="831"/>
      <c r="D46" s="831"/>
      <c r="E46" s="831"/>
      <c r="F46" s="831"/>
      <c r="G46" s="832" t="s">
        <v>227</v>
      </c>
      <c r="H46" s="833"/>
      <c r="I46" s="833"/>
      <c r="J46" s="833"/>
      <c r="K46" s="833"/>
      <c r="L46" s="833"/>
      <c r="M46" s="833"/>
      <c r="N46" s="833"/>
      <c r="O46" s="243"/>
      <c r="P46" s="831" t="s">
        <v>216</v>
      </c>
      <c r="Q46" s="831"/>
      <c r="R46" s="831"/>
      <c r="S46" s="831"/>
      <c r="T46" s="831"/>
      <c r="U46" s="831"/>
      <c r="V46" s="832" t="s">
        <v>228</v>
      </c>
      <c r="W46" s="833"/>
      <c r="X46" s="833"/>
      <c r="Y46" s="833"/>
      <c r="Z46" s="833"/>
      <c r="AA46" s="833"/>
      <c r="AB46" s="833"/>
      <c r="AC46" s="833"/>
      <c r="AL46" s="724" t="s">
        <v>216</v>
      </c>
      <c r="AM46" s="724"/>
      <c r="AN46" s="724"/>
      <c r="AO46" s="724"/>
      <c r="AP46" s="724"/>
      <c r="AQ46" s="724"/>
      <c r="AR46" s="740" t="s">
        <v>227</v>
      </c>
      <c r="AS46" s="741"/>
      <c r="AT46" s="741"/>
      <c r="AU46" s="741"/>
      <c r="AV46" s="741"/>
      <c r="AW46" s="741"/>
      <c r="AX46" s="741"/>
      <c r="AY46" s="741"/>
      <c r="BA46" s="724" t="s">
        <v>216</v>
      </c>
      <c r="BB46" s="724"/>
      <c r="BC46" s="724"/>
      <c r="BD46" s="724"/>
      <c r="BE46" s="724"/>
      <c r="BF46" s="724"/>
      <c r="BG46" s="740" t="s">
        <v>228</v>
      </c>
      <c r="BH46" s="741"/>
      <c r="BI46" s="741"/>
      <c r="BJ46" s="741"/>
      <c r="BK46" s="741"/>
      <c r="BL46" s="741"/>
      <c r="BM46" s="741"/>
      <c r="BN46" s="741"/>
      <c r="BW46" s="724" t="s">
        <v>216</v>
      </c>
      <c r="BX46" s="724"/>
      <c r="BY46" s="724"/>
      <c r="BZ46" s="724"/>
      <c r="CA46" s="724"/>
      <c r="CB46" s="724"/>
      <c r="CC46" s="740" t="s">
        <v>227</v>
      </c>
      <c r="CD46" s="741"/>
      <c r="CE46" s="741"/>
      <c r="CF46" s="741"/>
      <c r="CG46" s="741"/>
      <c r="CH46" s="741"/>
      <c r="CI46" s="741"/>
      <c r="CJ46" s="741"/>
      <c r="CL46" s="724" t="s">
        <v>216</v>
      </c>
      <c r="CM46" s="724"/>
      <c r="CN46" s="724"/>
      <c r="CO46" s="724"/>
      <c r="CP46" s="724"/>
      <c r="CQ46" s="724"/>
      <c r="CR46" s="740" t="s">
        <v>228</v>
      </c>
      <c r="CS46" s="741"/>
      <c r="CT46" s="741"/>
      <c r="CU46" s="741"/>
      <c r="CV46" s="741"/>
      <c r="CW46" s="741"/>
      <c r="CX46" s="741"/>
      <c r="CY46" s="741"/>
      <c r="DI46" s="724" t="s">
        <v>216</v>
      </c>
      <c r="DJ46" s="724"/>
      <c r="DK46" s="724"/>
      <c r="DL46" s="724"/>
      <c r="DM46" s="724"/>
      <c r="DN46" s="724"/>
      <c r="DO46" s="740" t="s">
        <v>227</v>
      </c>
      <c r="DP46" s="741"/>
      <c r="DQ46" s="741"/>
      <c r="DR46" s="741"/>
      <c r="DS46" s="741"/>
      <c r="DT46" s="741"/>
      <c r="DU46" s="741"/>
      <c r="DV46" s="741"/>
      <c r="DX46" s="724" t="s">
        <v>216</v>
      </c>
      <c r="DY46" s="724"/>
      <c r="DZ46" s="724"/>
      <c r="EA46" s="724"/>
      <c r="EB46" s="724"/>
      <c r="EC46" s="724"/>
      <c r="ED46" s="740" t="s">
        <v>228</v>
      </c>
      <c r="EE46" s="741"/>
      <c r="EF46" s="741"/>
      <c r="EG46" s="741"/>
      <c r="EH46" s="741"/>
      <c r="EI46" s="741"/>
      <c r="EJ46" s="741"/>
      <c r="EK46" s="741"/>
      <c r="EV46" s="724" t="s">
        <v>216</v>
      </c>
      <c r="EW46" s="724"/>
      <c r="EX46" s="724"/>
      <c r="EY46" s="724"/>
      <c r="EZ46" s="724"/>
      <c r="FA46" s="724"/>
      <c r="FB46" s="740" t="s">
        <v>227</v>
      </c>
      <c r="FC46" s="741"/>
      <c r="FD46" s="741"/>
      <c r="FE46" s="741"/>
      <c r="FF46" s="741"/>
      <c r="FG46" s="741"/>
      <c r="FH46" s="741"/>
      <c r="FI46" s="741"/>
      <c r="FK46" s="724" t="s">
        <v>216</v>
      </c>
      <c r="FL46" s="724"/>
      <c r="FM46" s="724"/>
      <c r="FN46" s="724"/>
      <c r="FO46" s="724"/>
      <c r="FP46" s="724"/>
      <c r="FQ46" s="740" t="s">
        <v>228</v>
      </c>
      <c r="FR46" s="741"/>
      <c r="FS46" s="741"/>
      <c r="FT46" s="741"/>
      <c r="FU46" s="741"/>
      <c r="FV46" s="741"/>
      <c r="FW46" s="741"/>
      <c r="FX46" s="741"/>
      <c r="GI46" s="724" t="s">
        <v>216</v>
      </c>
      <c r="GJ46" s="724"/>
      <c r="GK46" s="724"/>
      <c r="GL46" s="724"/>
      <c r="GM46" s="724"/>
      <c r="GN46" s="724"/>
      <c r="GO46" s="740" t="s">
        <v>227</v>
      </c>
      <c r="GP46" s="741"/>
      <c r="GQ46" s="741"/>
      <c r="GR46" s="741"/>
      <c r="GS46" s="741"/>
      <c r="GT46" s="741"/>
      <c r="GU46" s="741"/>
      <c r="GV46" s="741"/>
      <c r="GX46" s="724" t="s">
        <v>216</v>
      </c>
      <c r="GY46" s="724"/>
      <c r="GZ46" s="724"/>
      <c r="HA46" s="724"/>
      <c r="HB46" s="724"/>
      <c r="HC46" s="724"/>
      <c r="HD46" s="740" t="s">
        <v>228</v>
      </c>
      <c r="HE46" s="741"/>
      <c r="HF46" s="741"/>
      <c r="HG46" s="741"/>
      <c r="HH46" s="741"/>
      <c r="HI46" s="741"/>
      <c r="HJ46" s="741"/>
      <c r="HK46" s="741"/>
    </row>
    <row r="47" spans="1:219" x14ac:dyDescent="0.25">
      <c r="A47" s="734" t="s">
        <v>10</v>
      </c>
      <c r="B47" s="780"/>
      <c r="C47" s="780"/>
      <c r="D47" s="780"/>
      <c r="E47" s="780"/>
      <c r="F47" s="729">
        <v>2</v>
      </c>
      <c r="G47" s="730"/>
      <c r="H47" s="731"/>
      <c r="I47" s="232"/>
      <c r="J47" s="721">
        <f>IF(F47="","",F47*67)</f>
        <v>134</v>
      </c>
      <c r="K47" s="722"/>
      <c r="L47" s="722"/>
      <c r="M47" s="722"/>
      <c r="N47" s="723"/>
      <c r="O47" s="243"/>
      <c r="P47" s="734" t="s">
        <v>10</v>
      </c>
      <c r="Q47" s="780"/>
      <c r="R47" s="780"/>
      <c r="S47" s="780"/>
      <c r="T47" s="780"/>
      <c r="U47" s="729">
        <v>0.5</v>
      </c>
      <c r="V47" s="730"/>
      <c r="W47" s="731"/>
      <c r="X47" s="232"/>
      <c r="Y47" s="721">
        <f>IF(U47="","",U47*67)</f>
        <v>33.5</v>
      </c>
      <c r="Z47" s="722"/>
      <c r="AA47" s="722"/>
      <c r="AB47" s="722"/>
      <c r="AC47" s="723"/>
      <c r="AL47" s="716" t="s">
        <v>10</v>
      </c>
      <c r="AM47" s="717"/>
      <c r="AN47" s="717"/>
      <c r="AO47" s="717"/>
      <c r="AP47" s="717"/>
      <c r="AQ47" s="729">
        <f>IF($F$47="","",$F$47)</f>
        <v>2</v>
      </c>
      <c r="AR47" s="730"/>
      <c r="AS47" s="731"/>
      <c r="AT47" s="232"/>
      <c r="AU47" s="721">
        <f>IF(AQ47="","",AQ47*67)</f>
        <v>134</v>
      </c>
      <c r="AV47" s="722"/>
      <c r="AW47" s="722"/>
      <c r="AX47" s="722"/>
      <c r="AY47" s="723"/>
      <c r="BA47" s="716" t="s">
        <v>10</v>
      </c>
      <c r="BB47" s="717"/>
      <c r="BC47" s="717"/>
      <c r="BD47" s="717"/>
      <c r="BE47" s="717"/>
      <c r="BF47" s="729">
        <f>IF($U$47="","",$U$47)</f>
        <v>0.5</v>
      </c>
      <c r="BG47" s="730"/>
      <c r="BH47" s="731"/>
      <c r="BI47" s="232"/>
      <c r="BJ47" s="721">
        <f>IF(BF47="","",BF47*67)</f>
        <v>33.5</v>
      </c>
      <c r="BK47" s="722"/>
      <c r="BL47" s="722"/>
      <c r="BM47" s="722"/>
      <c r="BN47" s="723"/>
      <c r="BW47" s="716" t="s">
        <v>10</v>
      </c>
      <c r="BX47" s="717"/>
      <c r="BY47" s="717"/>
      <c r="BZ47" s="717"/>
      <c r="CA47" s="717"/>
      <c r="CB47" s="729">
        <f>IF($F$47="","",$F$47)</f>
        <v>2</v>
      </c>
      <c r="CC47" s="730"/>
      <c r="CD47" s="731"/>
      <c r="CE47" s="232"/>
      <c r="CF47" s="721">
        <f>IF(CB47="","",CB47*67)</f>
        <v>134</v>
      </c>
      <c r="CG47" s="722"/>
      <c r="CH47" s="722"/>
      <c r="CI47" s="722"/>
      <c r="CJ47" s="723"/>
      <c r="CL47" s="716" t="s">
        <v>10</v>
      </c>
      <c r="CM47" s="717"/>
      <c r="CN47" s="717"/>
      <c r="CO47" s="717"/>
      <c r="CP47" s="717"/>
      <c r="CQ47" s="729">
        <f>IF($U$47="","",$U$47)</f>
        <v>0.5</v>
      </c>
      <c r="CR47" s="730"/>
      <c r="CS47" s="731"/>
      <c r="CT47" s="232"/>
      <c r="CU47" s="721">
        <f>IF(CQ47="","",CQ47*67)</f>
        <v>33.5</v>
      </c>
      <c r="CV47" s="722"/>
      <c r="CW47" s="722"/>
      <c r="CX47" s="722"/>
      <c r="CY47" s="723"/>
      <c r="DI47" s="716" t="s">
        <v>10</v>
      </c>
      <c r="DJ47" s="717"/>
      <c r="DK47" s="717"/>
      <c r="DL47" s="717"/>
      <c r="DM47" s="717"/>
      <c r="DN47" s="729">
        <f>IF($F$47="","",$F$47)</f>
        <v>2</v>
      </c>
      <c r="DO47" s="730"/>
      <c r="DP47" s="731"/>
      <c r="DQ47" s="232"/>
      <c r="DR47" s="721">
        <f>IF(DN47="","",DN47*67)</f>
        <v>134</v>
      </c>
      <c r="DS47" s="722"/>
      <c r="DT47" s="722"/>
      <c r="DU47" s="722"/>
      <c r="DV47" s="723"/>
      <c r="DX47" s="716" t="s">
        <v>10</v>
      </c>
      <c r="DY47" s="717"/>
      <c r="DZ47" s="717"/>
      <c r="EA47" s="717"/>
      <c r="EB47" s="717"/>
      <c r="EC47" s="729">
        <f>IF($U$47="","",$U$47)</f>
        <v>0.5</v>
      </c>
      <c r="ED47" s="730"/>
      <c r="EE47" s="731"/>
      <c r="EF47" s="232"/>
      <c r="EG47" s="721">
        <f>IF(EC47="","",EC47*67)</f>
        <v>33.5</v>
      </c>
      <c r="EH47" s="722"/>
      <c r="EI47" s="722"/>
      <c r="EJ47" s="722"/>
      <c r="EK47" s="723"/>
      <c r="EV47" s="716" t="s">
        <v>10</v>
      </c>
      <c r="EW47" s="717"/>
      <c r="EX47" s="717"/>
      <c r="EY47" s="717"/>
      <c r="EZ47" s="717"/>
      <c r="FA47" s="729">
        <f>IF($F$47="","",$F$47)</f>
        <v>2</v>
      </c>
      <c r="FB47" s="730"/>
      <c r="FC47" s="731"/>
      <c r="FD47" s="232"/>
      <c r="FE47" s="721">
        <f>IF(FA47="","",FA47*67)</f>
        <v>134</v>
      </c>
      <c r="FF47" s="722"/>
      <c r="FG47" s="722"/>
      <c r="FH47" s="722"/>
      <c r="FI47" s="723"/>
      <c r="FK47" s="716" t="s">
        <v>10</v>
      </c>
      <c r="FL47" s="717"/>
      <c r="FM47" s="717"/>
      <c r="FN47" s="717"/>
      <c r="FO47" s="717"/>
      <c r="FP47" s="729">
        <f>IF($U$47="","",$U$47)</f>
        <v>0.5</v>
      </c>
      <c r="FQ47" s="730"/>
      <c r="FR47" s="731"/>
      <c r="FS47" s="232"/>
      <c r="FT47" s="721">
        <f>IF(FP47="","",FP47*67)</f>
        <v>33.5</v>
      </c>
      <c r="FU47" s="722"/>
      <c r="FV47" s="722"/>
      <c r="FW47" s="722"/>
      <c r="FX47" s="723"/>
      <c r="GI47" s="716" t="s">
        <v>10</v>
      </c>
      <c r="GJ47" s="717"/>
      <c r="GK47" s="717"/>
      <c r="GL47" s="717"/>
      <c r="GM47" s="717"/>
      <c r="GN47" s="729">
        <f>IF($F$47="","",$F$47)</f>
        <v>2</v>
      </c>
      <c r="GO47" s="730"/>
      <c r="GP47" s="731"/>
      <c r="GQ47" s="232"/>
      <c r="GR47" s="721">
        <f>IF(GN47="","",GN47*67)</f>
        <v>134</v>
      </c>
      <c r="GS47" s="722"/>
      <c r="GT47" s="722"/>
      <c r="GU47" s="722"/>
      <c r="GV47" s="723"/>
      <c r="GX47" s="716" t="s">
        <v>10</v>
      </c>
      <c r="GY47" s="717"/>
      <c r="GZ47" s="717"/>
      <c r="HA47" s="717"/>
      <c r="HB47" s="717"/>
      <c r="HC47" s="729">
        <f>IF($U$47="","",$U$47)</f>
        <v>0.5</v>
      </c>
      <c r="HD47" s="730"/>
      <c r="HE47" s="731"/>
      <c r="HF47" s="232"/>
      <c r="HG47" s="721">
        <f>IF(HC47="","",HC47*67)</f>
        <v>33.5</v>
      </c>
      <c r="HH47" s="722"/>
      <c r="HI47" s="722"/>
      <c r="HJ47" s="722"/>
      <c r="HK47" s="723"/>
    </row>
    <row r="48" spans="1:219" x14ac:dyDescent="0.25">
      <c r="A48" s="734" t="s">
        <v>11</v>
      </c>
      <c r="B48" s="780"/>
      <c r="C48" s="780"/>
      <c r="D48" s="780"/>
      <c r="E48" s="780"/>
      <c r="F48" s="729">
        <v>5</v>
      </c>
      <c r="G48" s="730"/>
      <c r="H48" s="731"/>
      <c r="I48" s="243"/>
      <c r="J48" s="721">
        <f>IF(F48="","",F48*67)</f>
        <v>335</v>
      </c>
      <c r="K48" s="722"/>
      <c r="L48" s="722"/>
      <c r="M48" s="722"/>
      <c r="N48" s="723"/>
      <c r="O48" s="243"/>
      <c r="P48" s="734" t="s">
        <v>11</v>
      </c>
      <c r="Q48" s="780"/>
      <c r="R48" s="780"/>
      <c r="S48" s="780"/>
      <c r="T48" s="780"/>
      <c r="U48" s="729">
        <v>0.5</v>
      </c>
      <c r="V48" s="730"/>
      <c r="W48" s="731"/>
      <c r="X48" s="243"/>
      <c r="Y48" s="721">
        <f>IF(U48="","",U48*67)</f>
        <v>33.5</v>
      </c>
      <c r="Z48" s="722"/>
      <c r="AA48" s="722"/>
      <c r="AB48" s="722"/>
      <c r="AC48" s="723"/>
      <c r="AL48" s="716" t="s">
        <v>11</v>
      </c>
      <c r="AM48" s="717"/>
      <c r="AN48" s="717"/>
      <c r="AO48" s="717"/>
      <c r="AP48" s="717"/>
      <c r="AQ48" s="729" t="str">
        <f>IF($Q$11="","",(($Q$11*$DL$1*2+$Q$11*($DL$2/2)*2+$DL$8*$Q$11))/4000+0.25)</f>
        <v/>
      </c>
      <c r="AR48" s="730"/>
      <c r="AS48" s="731"/>
      <c r="AU48" s="721" t="str">
        <f>IF(AQ48="","",AQ48*67)</f>
        <v/>
      </c>
      <c r="AV48" s="722"/>
      <c r="AW48" s="722"/>
      <c r="AX48" s="722"/>
      <c r="AY48" s="723"/>
      <c r="BA48" s="716" t="s">
        <v>11</v>
      </c>
      <c r="BB48" s="717"/>
      <c r="BC48" s="717"/>
      <c r="BD48" s="717"/>
      <c r="BE48" s="717"/>
      <c r="BF48" s="729" t="str">
        <f>IF($Q$11="","",(($Q$11*$DL$11*2+$Q$11*($DL$12/2)*2+$Q$11*$DL$13))/4000+0.25)</f>
        <v/>
      </c>
      <c r="BG48" s="730"/>
      <c r="BH48" s="731"/>
      <c r="BJ48" s="721" t="str">
        <f>IF(BF48="","",BF48*67)</f>
        <v/>
      </c>
      <c r="BK48" s="722"/>
      <c r="BL48" s="722"/>
      <c r="BM48" s="722"/>
      <c r="BN48" s="723"/>
      <c r="BW48" s="716" t="s">
        <v>11</v>
      </c>
      <c r="BX48" s="717"/>
      <c r="BY48" s="717"/>
      <c r="BZ48" s="717"/>
      <c r="CA48" s="717"/>
      <c r="CB48" s="729" t="str">
        <f>IF($X$11="","",(($X$11*$DL$1*2+$X$11*($DL$2/2)*2+$DL$8*$X$11))/4000+0.25)</f>
        <v/>
      </c>
      <c r="CC48" s="730"/>
      <c r="CD48" s="731"/>
      <c r="CF48" s="721" t="str">
        <f>IF(CB48="","",CB48*67)</f>
        <v/>
      </c>
      <c r="CG48" s="722"/>
      <c r="CH48" s="722"/>
      <c r="CI48" s="722"/>
      <c r="CJ48" s="723"/>
      <c r="CL48" s="716" t="s">
        <v>11</v>
      </c>
      <c r="CM48" s="717"/>
      <c r="CN48" s="717"/>
      <c r="CO48" s="717"/>
      <c r="CP48" s="717"/>
      <c r="CQ48" s="729" t="str">
        <f>IF($X$11="","",(($X$11*$DL$11*2+$X$11*($DL$12/2)*2+$X$11*$DL$13))/4000+0.25)</f>
        <v/>
      </c>
      <c r="CR48" s="730"/>
      <c r="CS48" s="731"/>
      <c r="CU48" s="721" t="str">
        <f>IF(CQ48="","",CQ48*67)</f>
        <v/>
      </c>
      <c r="CV48" s="722"/>
      <c r="CW48" s="722"/>
      <c r="CX48" s="722"/>
      <c r="CY48" s="723"/>
      <c r="DI48" s="716" t="s">
        <v>11</v>
      </c>
      <c r="DJ48" s="717"/>
      <c r="DK48" s="717"/>
      <c r="DL48" s="717"/>
      <c r="DM48" s="717"/>
      <c r="DN48" s="729" t="str">
        <f>IF($J$15="","",(($J$15*$DL$1*2+$J$15*($DL$2/2)*2+$J$15*$DL$8))/4000+0.25)</f>
        <v/>
      </c>
      <c r="DO48" s="730"/>
      <c r="DP48" s="731"/>
      <c r="DR48" s="721" t="str">
        <f>IF(DN48="","",DN48*67)</f>
        <v/>
      </c>
      <c r="DS48" s="722"/>
      <c r="DT48" s="722"/>
      <c r="DU48" s="722"/>
      <c r="DV48" s="723"/>
      <c r="DX48" s="716" t="s">
        <v>11</v>
      </c>
      <c r="DY48" s="717"/>
      <c r="DZ48" s="717"/>
      <c r="EA48" s="717"/>
      <c r="EB48" s="717"/>
      <c r="EC48" s="729" t="str">
        <f>IF($Q$11="","",(($J$11*$DL$11*2+$J$11*($DL$12/2)*2+$J$11*$DL$13))/4000+0.25)</f>
        <v/>
      </c>
      <c r="ED48" s="730"/>
      <c r="EE48" s="731"/>
      <c r="EG48" s="721" t="str">
        <f>IF(EC48="","",EC48*67)</f>
        <v/>
      </c>
      <c r="EH48" s="722"/>
      <c r="EI48" s="722"/>
      <c r="EJ48" s="722"/>
      <c r="EK48" s="723"/>
      <c r="EV48" s="716" t="s">
        <v>11</v>
      </c>
      <c r="EW48" s="717"/>
      <c r="EX48" s="717"/>
      <c r="EY48" s="717"/>
      <c r="EZ48" s="717"/>
      <c r="FA48" s="729" t="str">
        <f>IF($Q$15="","",(($Q$15*$DL$1*2+$Q$15*($DL$2/2)*2+$DL$8*$Q$15))/4000+0.25)</f>
        <v/>
      </c>
      <c r="FB48" s="730"/>
      <c r="FC48" s="731"/>
      <c r="FE48" s="721" t="str">
        <f>IF(FA48="","",FA48*67)</f>
        <v/>
      </c>
      <c r="FF48" s="722"/>
      <c r="FG48" s="722"/>
      <c r="FH48" s="722"/>
      <c r="FI48" s="723"/>
      <c r="FK48" s="716" t="s">
        <v>11</v>
      </c>
      <c r="FL48" s="717"/>
      <c r="FM48" s="717"/>
      <c r="FN48" s="717"/>
      <c r="FO48" s="717"/>
      <c r="FP48" s="729" t="str">
        <f>IF($Q$11="","",(($Q$11*$DL$11*2+$Q$11*($DL$12/2)*2+$Q$11*$DL$13))/4000+0.25)</f>
        <v/>
      </c>
      <c r="FQ48" s="730"/>
      <c r="FR48" s="731"/>
      <c r="FT48" s="721" t="str">
        <f>IF(FP48="","",FP48*67)</f>
        <v/>
      </c>
      <c r="FU48" s="722"/>
      <c r="FV48" s="722"/>
      <c r="FW48" s="722"/>
      <c r="FX48" s="723"/>
      <c r="GI48" s="716" t="s">
        <v>11</v>
      </c>
      <c r="GJ48" s="717"/>
      <c r="GK48" s="717"/>
      <c r="GL48" s="717"/>
      <c r="GM48" s="717"/>
      <c r="GN48" s="729" t="str">
        <f>IF($X$15="","",(($X$15*$DL$1*2+$X$15*($DL$2/2)*2+$DL$8*$X$15))/4000+0.25)</f>
        <v/>
      </c>
      <c r="GO48" s="730"/>
      <c r="GP48" s="731"/>
      <c r="GR48" s="721" t="str">
        <f>IF(GN48="","",GN48*67)</f>
        <v/>
      </c>
      <c r="GS48" s="722"/>
      <c r="GT48" s="722"/>
      <c r="GU48" s="722"/>
      <c r="GV48" s="723"/>
      <c r="GX48" s="716" t="s">
        <v>11</v>
      </c>
      <c r="GY48" s="717"/>
      <c r="GZ48" s="717"/>
      <c r="HA48" s="717"/>
      <c r="HB48" s="717"/>
      <c r="HC48" s="729" t="str">
        <f>IF($X$15="","",(($X$15*$DL$11*2+$X$15*($DL$12/2)*2+$X$15*$DL$13))/4000+0.25)</f>
        <v/>
      </c>
      <c r="HD48" s="730"/>
      <c r="HE48" s="731"/>
      <c r="HG48" s="721" t="str">
        <f>IF(HC48="","",HC48*67)</f>
        <v/>
      </c>
      <c r="HH48" s="722"/>
      <c r="HI48" s="722"/>
      <c r="HJ48" s="722"/>
      <c r="HK48" s="723"/>
    </row>
    <row r="49" spans="1:222" x14ac:dyDescent="0.25">
      <c r="A49" s="243"/>
      <c r="B49" s="243"/>
      <c r="C49" s="243"/>
      <c r="D49" s="243"/>
      <c r="E49" s="243"/>
      <c r="F49" s="243"/>
      <c r="G49" s="243"/>
      <c r="H49" s="243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Y49" s="243"/>
      <c r="Z49" s="243"/>
      <c r="AA49" s="243"/>
      <c r="AB49" s="243"/>
      <c r="AC49" s="243"/>
    </row>
    <row r="50" spans="1:222" x14ac:dyDescent="0.25">
      <c r="A50" s="831" t="s">
        <v>217</v>
      </c>
      <c r="B50" s="831"/>
      <c r="C50" s="831"/>
      <c r="D50" s="831"/>
      <c r="E50" s="831"/>
      <c r="F50" s="831"/>
      <c r="G50" s="834" t="s">
        <v>227</v>
      </c>
      <c r="H50" s="835"/>
      <c r="I50" s="835"/>
      <c r="J50" s="835"/>
      <c r="K50" s="835"/>
      <c r="L50" s="835"/>
      <c r="M50" s="835"/>
      <c r="N50" s="835"/>
      <c r="O50" s="243"/>
      <c r="P50" s="831" t="s">
        <v>217</v>
      </c>
      <c r="Q50" s="831"/>
      <c r="R50" s="831"/>
      <c r="S50" s="831"/>
      <c r="T50" s="831"/>
      <c r="U50" s="831"/>
      <c r="V50" s="834" t="s">
        <v>228</v>
      </c>
      <c r="W50" s="835"/>
      <c r="X50" s="835"/>
      <c r="Y50" s="835"/>
      <c r="Z50" s="835"/>
      <c r="AA50" s="835"/>
      <c r="AB50" s="835"/>
      <c r="AC50" s="835"/>
      <c r="AL50" s="724" t="s">
        <v>217</v>
      </c>
      <c r="AM50" s="724"/>
      <c r="AN50" s="724"/>
      <c r="AO50" s="724"/>
      <c r="AP50" s="724"/>
      <c r="AQ50" s="724"/>
      <c r="AR50" s="747" t="s">
        <v>227</v>
      </c>
      <c r="AS50" s="748"/>
      <c r="AT50" s="748"/>
      <c r="AU50" s="748"/>
      <c r="AV50" s="748"/>
      <c r="AW50" s="748"/>
      <c r="AX50" s="748"/>
      <c r="AY50" s="748"/>
      <c r="BA50" s="724" t="s">
        <v>217</v>
      </c>
      <c r="BB50" s="724"/>
      <c r="BC50" s="724"/>
      <c r="BD50" s="724"/>
      <c r="BE50" s="724"/>
      <c r="BF50" s="724"/>
      <c r="BG50" s="747" t="s">
        <v>228</v>
      </c>
      <c r="BH50" s="748"/>
      <c r="BI50" s="748"/>
      <c r="BJ50" s="748"/>
      <c r="BK50" s="748"/>
      <c r="BL50" s="748"/>
      <c r="BM50" s="748"/>
      <c r="BN50" s="748"/>
      <c r="BW50" s="724" t="s">
        <v>217</v>
      </c>
      <c r="BX50" s="724"/>
      <c r="BY50" s="724"/>
      <c r="BZ50" s="724"/>
      <c r="CA50" s="724"/>
      <c r="CB50" s="724"/>
      <c r="CD50" s="257"/>
      <c r="CL50" s="724" t="s">
        <v>217</v>
      </c>
      <c r="CM50" s="724"/>
      <c r="CN50" s="724"/>
      <c r="CO50" s="724"/>
      <c r="CP50" s="724"/>
      <c r="CQ50" s="724"/>
      <c r="CR50" s="747" t="s">
        <v>228</v>
      </c>
      <c r="CS50" s="748"/>
      <c r="CT50" s="748"/>
      <c r="CU50" s="748"/>
      <c r="CV50" s="748"/>
      <c r="CW50" s="748"/>
      <c r="CX50" s="748"/>
      <c r="CY50" s="748"/>
      <c r="DI50" s="724" t="s">
        <v>217</v>
      </c>
      <c r="DJ50" s="724"/>
      <c r="DK50" s="724"/>
      <c r="DL50" s="724"/>
      <c r="DM50" s="724"/>
      <c r="DN50" s="724"/>
      <c r="DP50" s="267"/>
      <c r="DX50" s="724" t="s">
        <v>217</v>
      </c>
      <c r="DY50" s="724"/>
      <c r="DZ50" s="724"/>
      <c r="EA50" s="724"/>
      <c r="EB50" s="724"/>
      <c r="EC50" s="724"/>
      <c r="ED50" s="747" t="s">
        <v>228</v>
      </c>
      <c r="EE50" s="748"/>
      <c r="EF50" s="748"/>
      <c r="EG50" s="748"/>
      <c r="EH50" s="748"/>
      <c r="EI50" s="748"/>
      <c r="EJ50" s="748"/>
      <c r="EK50" s="748"/>
      <c r="EV50" s="724" t="s">
        <v>217</v>
      </c>
      <c r="EW50" s="724"/>
      <c r="EX50" s="724"/>
      <c r="EY50" s="724"/>
      <c r="EZ50" s="724"/>
      <c r="FA50" s="724"/>
      <c r="FC50" s="267"/>
      <c r="FK50" s="724" t="s">
        <v>217</v>
      </c>
      <c r="FL50" s="724"/>
      <c r="FM50" s="724"/>
      <c r="FN50" s="724"/>
      <c r="FO50" s="724"/>
      <c r="FP50" s="724"/>
      <c r="FQ50" s="747" t="s">
        <v>228</v>
      </c>
      <c r="FR50" s="748"/>
      <c r="FS50" s="748"/>
      <c r="FT50" s="748"/>
      <c r="FU50" s="748"/>
      <c r="FV50" s="748"/>
      <c r="FW50" s="748"/>
      <c r="FX50" s="748"/>
      <c r="GI50" s="724" t="s">
        <v>217</v>
      </c>
      <c r="GJ50" s="724"/>
      <c r="GK50" s="724"/>
      <c r="GL50" s="724"/>
      <c r="GM50" s="724"/>
      <c r="GN50" s="724"/>
      <c r="GP50" s="267"/>
      <c r="GX50" s="724" t="s">
        <v>217</v>
      </c>
      <c r="GY50" s="724"/>
      <c r="GZ50" s="724"/>
      <c r="HA50" s="724"/>
      <c r="HB50" s="724"/>
      <c r="HC50" s="724"/>
      <c r="HD50" s="747" t="s">
        <v>228</v>
      </c>
      <c r="HE50" s="748"/>
      <c r="HF50" s="748"/>
      <c r="HG50" s="748"/>
      <c r="HH50" s="748"/>
      <c r="HI50" s="748"/>
      <c r="HJ50" s="748"/>
      <c r="HK50" s="748"/>
    </row>
    <row r="51" spans="1:222" x14ac:dyDescent="0.25">
      <c r="A51" s="734" t="s">
        <v>10</v>
      </c>
      <c r="B51" s="780"/>
      <c r="C51" s="780"/>
      <c r="D51" s="780"/>
      <c r="E51" s="780"/>
      <c r="F51" s="718"/>
      <c r="G51" s="730"/>
      <c r="H51" s="731"/>
      <c r="I51" s="232"/>
      <c r="J51" s="721" t="str">
        <f>IF(F51="","",F51*60)</f>
        <v/>
      </c>
      <c r="K51" s="722"/>
      <c r="L51" s="722"/>
      <c r="M51" s="722"/>
      <c r="N51" s="723"/>
      <c r="O51" s="243"/>
      <c r="P51" s="734" t="s">
        <v>10</v>
      </c>
      <c r="Q51" s="780"/>
      <c r="R51" s="780"/>
      <c r="S51" s="780"/>
      <c r="T51" s="780"/>
      <c r="U51" s="718"/>
      <c r="V51" s="730"/>
      <c r="W51" s="731"/>
      <c r="X51" s="232"/>
      <c r="Y51" s="721" t="str">
        <f>IF(U51="","",U51*60)</f>
        <v/>
      </c>
      <c r="Z51" s="722"/>
      <c r="AA51" s="722"/>
      <c r="AB51" s="722"/>
      <c r="AC51" s="723"/>
      <c r="AL51" s="716" t="s">
        <v>10</v>
      </c>
      <c r="AM51" s="717"/>
      <c r="AN51" s="717"/>
      <c r="AO51" s="717"/>
      <c r="AP51" s="717"/>
      <c r="AQ51" s="746" t="str">
        <f>IF($F$51="","",$F$51)</f>
        <v/>
      </c>
      <c r="AR51" s="737"/>
      <c r="AS51" s="738"/>
      <c r="AT51" s="232"/>
      <c r="AU51" s="721" t="str">
        <f>IF(AQ51="","",AQ51*60)</f>
        <v/>
      </c>
      <c r="AV51" s="722"/>
      <c r="AW51" s="722"/>
      <c r="AX51" s="722"/>
      <c r="AY51" s="723"/>
      <c r="BA51" s="716" t="s">
        <v>10</v>
      </c>
      <c r="BB51" s="717"/>
      <c r="BC51" s="717"/>
      <c r="BD51" s="717"/>
      <c r="BE51" s="717"/>
      <c r="BF51" s="736" t="str">
        <f>IF($U$51="","",$U$51)</f>
        <v/>
      </c>
      <c r="BG51" s="737"/>
      <c r="BH51" s="738"/>
      <c r="BI51" s="232"/>
      <c r="BJ51" s="721" t="str">
        <f>IF(BF51="","",BF51*60)</f>
        <v/>
      </c>
      <c r="BK51" s="722"/>
      <c r="BL51" s="722"/>
      <c r="BM51" s="722"/>
      <c r="BN51" s="723"/>
      <c r="BW51" s="716" t="s">
        <v>10</v>
      </c>
      <c r="BX51" s="717"/>
      <c r="BY51" s="717"/>
      <c r="BZ51" s="717"/>
      <c r="CA51" s="717"/>
      <c r="CB51" s="746" t="str">
        <f>IF($F$51="","",$F$51)</f>
        <v/>
      </c>
      <c r="CC51" s="737"/>
      <c r="CD51" s="738"/>
      <c r="CE51" s="232"/>
      <c r="CF51" s="721" t="str">
        <f>IF(CB51="","",CB51*60)</f>
        <v/>
      </c>
      <c r="CG51" s="722"/>
      <c r="CH51" s="722"/>
      <c r="CI51" s="722"/>
      <c r="CJ51" s="723"/>
      <c r="CL51" s="716" t="s">
        <v>10</v>
      </c>
      <c r="CM51" s="717"/>
      <c r="CN51" s="717"/>
      <c r="CO51" s="717"/>
      <c r="CP51" s="717"/>
      <c r="CQ51" s="736" t="str">
        <f>IF($U$51="","",$U$51)</f>
        <v/>
      </c>
      <c r="CR51" s="737"/>
      <c r="CS51" s="738"/>
      <c r="CT51" s="232"/>
      <c r="CU51" s="721" t="str">
        <f>IF(CQ51="","",CQ51*60)</f>
        <v/>
      </c>
      <c r="CV51" s="722"/>
      <c r="CW51" s="722"/>
      <c r="CX51" s="722"/>
      <c r="CY51" s="723"/>
      <c r="DI51" s="716" t="s">
        <v>10</v>
      </c>
      <c r="DJ51" s="717"/>
      <c r="DK51" s="717"/>
      <c r="DL51" s="717"/>
      <c r="DM51" s="717"/>
      <c r="DN51" s="746" t="str">
        <f>IF($F$51="","",$F$51)</f>
        <v/>
      </c>
      <c r="DO51" s="737"/>
      <c r="DP51" s="738"/>
      <c r="DQ51" s="232"/>
      <c r="DR51" s="721" t="str">
        <f>IF(DN51="","",DN51*60)</f>
        <v/>
      </c>
      <c r="DS51" s="722"/>
      <c r="DT51" s="722"/>
      <c r="DU51" s="722"/>
      <c r="DV51" s="723"/>
      <c r="DX51" s="716" t="s">
        <v>10</v>
      </c>
      <c r="DY51" s="717"/>
      <c r="DZ51" s="717"/>
      <c r="EA51" s="717"/>
      <c r="EB51" s="717"/>
      <c r="EC51" s="736" t="str">
        <f>IF($U$51="","",$U$51)</f>
        <v/>
      </c>
      <c r="ED51" s="737"/>
      <c r="EE51" s="738"/>
      <c r="EF51" s="232"/>
      <c r="EG51" s="721" t="str">
        <f>IF(EC51="","",EC51*60)</f>
        <v/>
      </c>
      <c r="EH51" s="722"/>
      <c r="EI51" s="722"/>
      <c r="EJ51" s="722"/>
      <c r="EK51" s="723"/>
      <c r="EV51" s="716" t="s">
        <v>10</v>
      </c>
      <c r="EW51" s="717"/>
      <c r="EX51" s="717"/>
      <c r="EY51" s="717"/>
      <c r="EZ51" s="717"/>
      <c r="FA51" s="746" t="str">
        <f>IF($F$51="","",$F$51)</f>
        <v/>
      </c>
      <c r="FB51" s="737"/>
      <c r="FC51" s="738"/>
      <c r="FD51" s="232"/>
      <c r="FE51" s="721" t="str">
        <f>IF(FA51="","",FA51*60)</f>
        <v/>
      </c>
      <c r="FF51" s="722"/>
      <c r="FG51" s="722"/>
      <c r="FH51" s="722"/>
      <c r="FI51" s="723"/>
      <c r="FK51" s="716" t="s">
        <v>10</v>
      </c>
      <c r="FL51" s="717"/>
      <c r="FM51" s="717"/>
      <c r="FN51" s="717"/>
      <c r="FO51" s="717"/>
      <c r="FP51" s="718" t="str">
        <f>IF($U$51="","",$U$51)</f>
        <v/>
      </c>
      <c r="FQ51" s="730"/>
      <c r="FR51" s="731"/>
      <c r="FS51" s="232"/>
      <c r="FT51" s="721" t="str">
        <f>IF(FP51="","",FP51*60)</f>
        <v/>
      </c>
      <c r="FU51" s="722"/>
      <c r="FV51" s="722"/>
      <c r="FW51" s="722"/>
      <c r="FX51" s="723"/>
      <c r="GI51" s="716" t="s">
        <v>10</v>
      </c>
      <c r="GJ51" s="717"/>
      <c r="GK51" s="717"/>
      <c r="GL51" s="717"/>
      <c r="GM51" s="717"/>
      <c r="GN51" s="746" t="str">
        <f>IF($F$51="","",$F$51)</f>
        <v/>
      </c>
      <c r="GO51" s="737"/>
      <c r="GP51" s="738"/>
      <c r="GQ51" s="232"/>
      <c r="GR51" s="721" t="str">
        <f>IF(GN51="","",GN51*60)</f>
        <v/>
      </c>
      <c r="GS51" s="722"/>
      <c r="GT51" s="722"/>
      <c r="GU51" s="722"/>
      <c r="GV51" s="723"/>
      <c r="GX51" s="716" t="s">
        <v>10</v>
      </c>
      <c r="GY51" s="717"/>
      <c r="GZ51" s="717"/>
      <c r="HA51" s="717"/>
      <c r="HB51" s="717"/>
      <c r="HC51" s="718" t="str">
        <f>IF($U$51="","",$U$51)</f>
        <v/>
      </c>
      <c r="HD51" s="730"/>
      <c r="HE51" s="731"/>
      <c r="HF51" s="232"/>
      <c r="HG51" s="721" t="str">
        <f>IF(HC51="","",HC51*60)</f>
        <v/>
      </c>
      <c r="HH51" s="722"/>
      <c r="HI51" s="722"/>
      <c r="HJ51" s="722"/>
      <c r="HK51" s="723"/>
    </row>
    <row r="52" spans="1:222" x14ac:dyDescent="0.25">
      <c r="A52" s="734" t="s">
        <v>11</v>
      </c>
      <c r="B52" s="780"/>
      <c r="C52" s="780"/>
      <c r="D52" s="780"/>
      <c r="E52" s="278">
        <v>1</v>
      </c>
      <c r="F52" s="742" t="str">
        <f>IF($F$51="","",IF($E$52=1,($J$11*$DL$1*2+$J$11*($DL$2/2)+$J$11*$DL$8),IF($E$52=2,($J$11*$DL$1*2+$J$11*($DL$2/2)+$J$11*$DL$8)*2)))</f>
        <v/>
      </c>
      <c r="G52" s="730"/>
      <c r="H52" s="730"/>
      <c r="I52" s="743"/>
      <c r="J52" s="721" t="str">
        <f>IF(F52="","",F52*0.01)</f>
        <v/>
      </c>
      <c r="K52" s="722"/>
      <c r="L52" s="722"/>
      <c r="M52" s="722"/>
      <c r="N52" s="723"/>
      <c r="O52" s="243"/>
      <c r="P52" s="734" t="s">
        <v>11</v>
      </c>
      <c r="Q52" s="780"/>
      <c r="R52" s="780"/>
      <c r="S52" s="780"/>
      <c r="T52" s="278"/>
      <c r="U52" s="742" t="str">
        <f>IF($U$51="","",IF($T$52=1,($J$11*$DL$11*2+$J$11*($DL$12/2)+$DL$13*$J$11),IF($T$52=2,($J$11*$DL$11*2+$J$11*($DL$12/2)+$DL$13*$J$11)*2)))</f>
        <v/>
      </c>
      <c r="V52" s="730"/>
      <c r="W52" s="730"/>
      <c r="X52" s="743"/>
      <c r="Y52" s="721" t="str">
        <f>IF(U52="","",U52*0.01)</f>
        <v/>
      </c>
      <c r="Z52" s="722"/>
      <c r="AA52" s="722"/>
      <c r="AB52" s="722"/>
      <c r="AC52" s="723"/>
      <c r="AL52" s="716" t="s">
        <v>11</v>
      </c>
      <c r="AM52" s="717"/>
      <c r="AN52" s="717"/>
      <c r="AO52" s="717"/>
      <c r="AP52" s="258">
        <f>IF($E$52="","",$E$52)</f>
        <v>1</v>
      </c>
      <c r="AQ52" s="742" t="str">
        <f>IF($F$51="","",IF($E$52=1,($Q$11*$DL$1*2+$Q$11*($DL$2/2)+$Q$11*$DL$8),IF($E$52=2,($Q$11*$DL$1*2+$Q$11*($DL$2/2)+$Q$11*$DL$8)*2)))</f>
        <v/>
      </c>
      <c r="AR52" s="730"/>
      <c r="AS52" s="730"/>
      <c r="AT52" s="743"/>
      <c r="AU52" s="721" t="str">
        <f>IF(AQ52="","",AQ52*0.01)</f>
        <v/>
      </c>
      <c r="AV52" s="722"/>
      <c r="AW52" s="722"/>
      <c r="AX52" s="722"/>
      <c r="AY52" s="723"/>
      <c r="BA52" s="716" t="s">
        <v>11</v>
      </c>
      <c r="BB52" s="717"/>
      <c r="BC52" s="717"/>
      <c r="BD52" s="717"/>
      <c r="BE52" s="262" t="str">
        <f>IF($T$52="","",$T$52)</f>
        <v/>
      </c>
      <c r="BF52" s="742" t="str">
        <f>IF($U$51="","",IF($T$52=1,($Q$11*$DL$11*2+$Q$11*($DL$12/2)+$DL$13*$Q$11),IF($T$52=2,($Q$11*$DL$11*2+$Q$11*($DL$12/2)+$DL$13*$Q$11)*2)))</f>
        <v/>
      </c>
      <c r="BG52" s="730"/>
      <c r="BH52" s="730"/>
      <c r="BI52" s="743"/>
      <c r="BJ52" s="721" t="str">
        <f>IF(BF52="","",BF52*0.01)</f>
        <v/>
      </c>
      <c r="BK52" s="722"/>
      <c r="BL52" s="722"/>
      <c r="BM52" s="722"/>
      <c r="BN52" s="723"/>
      <c r="BW52" s="716" t="s">
        <v>11</v>
      </c>
      <c r="BX52" s="717"/>
      <c r="BY52" s="717"/>
      <c r="BZ52" s="717"/>
      <c r="CA52" s="258">
        <f>IF($E$52="","",$E$52)</f>
        <v>1</v>
      </c>
      <c r="CB52" s="742" t="str">
        <f>IF($F$51="","",IF($E$52=1,($X$11*$DL$1*2+$X$11*($DL$2/2)+$X$11*$DL$8),IF($E$52=2,($X$11*$DL$1*2+$X$11*($DL$2/2)+$X$11*$DL$8)*2)))</f>
        <v/>
      </c>
      <c r="CC52" s="730"/>
      <c r="CD52" s="730"/>
      <c r="CE52" s="743"/>
      <c r="CF52" s="721" t="str">
        <f>IF(CB52="","",CB52*0.01)</f>
        <v/>
      </c>
      <c r="CG52" s="722"/>
      <c r="CH52" s="722"/>
      <c r="CI52" s="722"/>
      <c r="CJ52" s="723"/>
      <c r="CL52" s="716" t="s">
        <v>11</v>
      </c>
      <c r="CM52" s="717"/>
      <c r="CN52" s="717"/>
      <c r="CO52" s="717"/>
      <c r="CP52" s="262" t="str">
        <f>IF($T$52="","",$T$52)</f>
        <v/>
      </c>
      <c r="CQ52" s="742" t="str">
        <f>IF(CQ51="","",IF(CP52=1,($X$11*$DL$11*2+$X$11*($DL$12/2)+$DL$13*$X$11),IF(CP52=2,($X$11*$DL$11*2+$X$11*($DL$12/2)+$DL$13*$X$11)*2)))</f>
        <v/>
      </c>
      <c r="CR52" s="730"/>
      <c r="CS52" s="730"/>
      <c r="CT52" s="743"/>
      <c r="CU52" s="721" t="str">
        <f>IF(CQ52="","",CQ52*0.01)</f>
        <v/>
      </c>
      <c r="CV52" s="722"/>
      <c r="CW52" s="722"/>
      <c r="CX52" s="722"/>
      <c r="CY52" s="723"/>
      <c r="DI52" s="716" t="s">
        <v>11</v>
      </c>
      <c r="DJ52" s="717"/>
      <c r="DK52" s="717"/>
      <c r="DL52" s="717"/>
      <c r="DM52" s="262">
        <f>IF($E$52="","",$E$52)</f>
        <v>1</v>
      </c>
      <c r="DN52" s="742" t="str">
        <f>IF($F$51="","",IF($E$52=1,($J$15*$DL$1*2+$J$15*($DL$2/2)+$J$15*$DL$8),IF($E$52=2,($J$15*$DL$1*2+$J$15*($DL$2/2)+$J$15*$DL$8)*2)))</f>
        <v/>
      </c>
      <c r="DO52" s="730"/>
      <c r="DP52" s="730"/>
      <c r="DQ52" s="743"/>
      <c r="DR52" s="721" t="str">
        <f>IF(DN52="","",DN52*0.01)</f>
        <v/>
      </c>
      <c r="DS52" s="722"/>
      <c r="DT52" s="722"/>
      <c r="DU52" s="722"/>
      <c r="DV52" s="723"/>
      <c r="DX52" s="716" t="s">
        <v>11</v>
      </c>
      <c r="DY52" s="717"/>
      <c r="DZ52" s="717"/>
      <c r="EA52" s="717"/>
      <c r="EB52" s="262" t="str">
        <f>IF($T$52="","",$T$52)</f>
        <v/>
      </c>
      <c r="EC52" s="742" t="str">
        <f>IF($U$51="","",IF($T$52=1,($J$15*$DL$11*2+$J$15*($DL$12/2)+$DL$13*$J$15),IF($T$52=2,($J$15*$DL$11*2+$J$15*($DL$12/2)+$DL$13*$J$15)*2)))</f>
        <v/>
      </c>
      <c r="ED52" s="730"/>
      <c r="EE52" s="730"/>
      <c r="EF52" s="743"/>
      <c r="EG52" s="721" t="str">
        <f>IF(EC52="","",EC52*0.01)</f>
        <v/>
      </c>
      <c r="EH52" s="722"/>
      <c r="EI52" s="722"/>
      <c r="EJ52" s="722"/>
      <c r="EK52" s="723"/>
      <c r="EV52" s="716" t="s">
        <v>11</v>
      </c>
      <c r="EW52" s="717"/>
      <c r="EX52" s="717"/>
      <c r="EY52" s="717"/>
      <c r="EZ52" s="262">
        <f>IF($E$52="","",$E$52)</f>
        <v>1</v>
      </c>
      <c r="FA52" s="742" t="str">
        <f>IF($F$51="","",IF($E$52=1,($Q$15*$DL$1*2+$Q$15*($DL$2/2)+$Q$15*$DL$8),IF($E$52=2,($Q$15*$DL$1*2+$Q$15*($DL$2/2)+$Q$15*$DL$8)*2)))</f>
        <v/>
      </c>
      <c r="FB52" s="730"/>
      <c r="FC52" s="730"/>
      <c r="FD52" s="743"/>
      <c r="FE52" s="721" t="str">
        <f>IF(FA52="","",FA52*0.01)</f>
        <v/>
      </c>
      <c r="FF52" s="722"/>
      <c r="FG52" s="722"/>
      <c r="FH52" s="722"/>
      <c r="FI52" s="723"/>
      <c r="FK52" s="716" t="s">
        <v>11</v>
      </c>
      <c r="FL52" s="717"/>
      <c r="FM52" s="717"/>
      <c r="FN52" s="717"/>
      <c r="FO52" s="262" t="str">
        <f>IF($T$52="","",$T$52)</f>
        <v/>
      </c>
      <c r="FP52" s="742" t="str">
        <f>IF($U$51="","",IF($T$52=1,($Q$15*$DL$11*2+$Q$15*($DL$12/2)+$DL$13*$Q$15),IF($T$52=2,($Q$15*$DL$11*2+$Q$15*($DL$12/2)+$DL$13*$Q$15)*2)))</f>
        <v/>
      </c>
      <c r="FQ52" s="730"/>
      <c r="FR52" s="730"/>
      <c r="FS52" s="743"/>
      <c r="FT52" s="721" t="str">
        <f>IF(FP52="","",FP52*0.01)</f>
        <v/>
      </c>
      <c r="FU52" s="722"/>
      <c r="FV52" s="722"/>
      <c r="FW52" s="722"/>
      <c r="FX52" s="723"/>
      <c r="GI52" s="716" t="s">
        <v>11</v>
      </c>
      <c r="GJ52" s="717"/>
      <c r="GK52" s="717"/>
      <c r="GL52" s="717"/>
      <c r="GM52" s="262">
        <f>IF($E$52="","",$E$52)</f>
        <v>1</v>
      </c>
      <c r="GN52" s="742" t="str">
        <f>IF($F$51="","",IF($E$52=1,($X$15*$DL$1*2+$X$15*($DL$2/2)+$X$15*$DL$8),IF($E$52=2,($X$15*$DL$1*2+$X$15*($DL$2/2)+$X$15*$DL$8)*2)))</f>
        <v/>
      </c>
      <c r="GO52" s="730"/>
      <c r="GP52" s="730"/>
      <c r="GQ52" s="743"/>
      <c r="GR52" s="721" t="str">
        <f>IF(GN52="","",GN52*0.01)</f>
        <v/>
      </c>
      <c r="GS52" s="722"/>
      <c r="GT52" s="722"/>
      <c r="GU52" s="722"/>
      <c r="GV52" s="723"/>
      <c r="GX52" s="716" t="s">
        <v>11</v>
      </c>
      <c r="GY52" s="717"/>
      <c r="GZ52" s="717"/>
      <c r="HA52" s="717"/>
      <c r="HB52" s="262" t="str">
        <f>IF($T$52="","",$T$52)</f>
        <v/>
      </c>
      <c r="HC52" s="742" t="str">
        <f>IF(HC51="","",IF(HB52=1,($X$15*$DL$11*2+$X$15*($DL$12/2)+$DL$13*$X$15),IF(HB52=2,($X$15*$DL$11*2+$X$15*($DL$12/2)+$DL$13*$X$15)*2)))</f>
        <v/>
      </c>
      <c r="HD52" s="730"/>
      <c r="HE52" s="730"/>
      <c r="HF52" s="743"/>
      <c r="HG52" s="721" t="str">
        <f>IF(HC52="","",HC52*0.01)</f>
        <v/>
      </c>
      <c r="HH52" s="722"/>
      <c r="HI52" s="722"/>
      <c r="HJ52" s="722"/>
      <c r="HK52" s="723"/>
    </row>
    <row r="54" spans="1:222" x14ac:dyDescent="0.25">
      <c r="A54" s="831" t="s">
        <v>218</v>
      </c>
      <c r="B54" s="780"/>
      <c r="C54" s="780"/>
      <c r="D54" s="780"/>
      <c r="E54" s="780"/>
      <c r="G54" s="243"/>
      <c r="H54" s="243"/>
      <c r="I54" s="243"/>
      <c r="K54" s="243"/>
      <c r="L54" s="243"/>
      <c r="M54" s="243"/>
      <c r="N54" s="243"/>
      <c r="Q54" s="752" t="s">
        <v>5</v>
      </c>
      <c r="R54" s="753"/>
      <c r="S54" s="753"/>
      <c r="T54" s="737"/>
      <c r="U54" s="737"/>
      <c r="V54" s="737"/>
      <c r="W54" s="737"/>
      <c r="X54" s="280"/>
      <c r="Y54" s="280"/>
      <c r="Z54" s="280"/>
      <c r="AA54" s="280"/>
      <c r="AB54" s="280"/>
      <c r="AC54" s="280"/>
      <c r="AD54" s="280"/>
      <c r="AE54" s="280"/>
      <c r="AF54" s="281"/>
      <c r="AL54" s="724" t="s">
        <v>218</v>
      </c>
      <c r="AM54" s="717"/>
      <c r="AN54" s="717"/>
      <c r="AO54" s="717"/>
      <c r="AP54" s="717"/>
      <c r="BB54" s="752" t="s">
        <v>5</v>
      </c>
      <c r="BC54" s="753"/>
      <c r="BD54" s="753"/>
      <c r="BE54" s="737"/>
      <c r="BF54" s="737"/>
      <c r="BG54" s="737"/>
      <c r="BH54" s="737"/>
      <c r="BI54" s="280"/>
      <c r="BJ54" s="280"/>
      <c r="BK54" s="280"/>
      <c r="BL54" s="280"/>
      <c r="BM54" s="280"/>
      <c r="BN54" s="280"/>
      <c r="BO54" s="280"/>
      <c r="BP54" s="280"/>
      <c r="BQ54" s="281"/>
      <c r="BW54" s="724" t="s">
        <v>218</v>
      </c>
      <c r="BX54" s="717"/>
      <c r="BY54" s="717"/>
      <c r="BZ54" s="717"/>
      <c r="CA54" s="717"/>
      <c r="CM54" s="752" t="s">
        <v>5</v>
      </c>
      <c r="CN54" s="753"/>
      <c r="CO54" s="753"/>
      <c r="CP54" s="737"/>
      <c r="CQ54" s="737"/>
      <c r="CR54" s="737"/>
      <c r="CS54" s="737"/>
      <c r="CT54" s="280"/>
      <c r="CU54" s="280"/>
      <c r="CV54" s="280"/>
      <c r="CW54" s="280"/>
      <c r="CX54" s="280"/>
      <c r="CY54" s="280"/>
      <c r="CZ54" s="280"/>
      <c r="DA54" s="280"/>
      <c r="DB54" s="281"/>
      <c r="DI54" s="724" t="s">
        <v>218</v>
      </c>
      <c r="DJ54" s="717"/>
      <c r="DK54" s="717"/>
      <c r="DL54" s="717"/>
      <c r="DM54" s="717"/>
      <c r="DY54" s="752" t="s">
        <v>5</v>
      </c>
      <c r="DZ54" s="753"/>
      <c r="EA54" s="753"/>
      <c r="EB54" s="737"/>
      <c r="EC54" s="737"/>
      <c r="ED54" s="737"/>
      <c r="EE54" s="737"/>
      <c r="EF54" s="280"/>
      <c r="EG54" s="280"/>
      <c r="EH54" s="280"/>
      <c r="EI54" s="280"/>
      <c r="EJ54" s="280"/>
      <c r="EK54" s="280"/>
      <c r="EL54" s="280"/>
      <c r="EM54" s="280"/>
      <c r="EN54" s="281"/>
      <c r="EV54" s="724" t="s">
        <v>218</v>
      </c>
      <c r="EW54" s="717"/>
      <c r="EX54" s="717"/>
      <c r="EY54" s="717"/>
      <c r="EZ54" s="717"/>
      <c r="FL54" s="752" t="s">
        <v>5</v>
      </c>
      <c r="FM54" s="753"/>
      <c r="FN54" s="753"/>
      <c r="FO54" s="737"/>
      <c r="FP54" s="737"/>
      <c r="FQ54" s="737"/>
      <c r="FR54" s="737"/>
      <c r="FS54" s="280"/>
      <c r="FT54" s="280"/>
      <c r="FU54" s="280"/>
      <c r="FV54" s="280"/>
      <c r="FW54" s="280"/>
      <c r="FX54" s="280"/>
      <c r="FY54" s="280"/>
      <c r="FZ54" s="280"/>
      <c r="GA54" s="281"/>
      <c r="GI54" s="724" t="s">
        <v>218</v>
      </c>
      <c r="GJ54" s="717"/>
      <c r="GK54" s="717"/>
      <c r="GL54" s="717"/>
      <c r="GM54" s="717"/>
      <c r="GY54" s="752" t="s">
        <v>5</v>
      </c>
      <c r="GZ54" s="753"/>
      <c r="HA54" s="753"/>
      <c r="HB54" s="737"/>
      <c r="HC54" s="737"/>
      <c r="HD54" s="737"/>
      <c r="HE54" s="737"/>
      <c r="HF54" s="280"/>
      <c r="HG54" s="280"/>
      <c r="HH54" s="280"/>
      <c r="HI54" s="280"/>
      <c r="HJ54" s="280"/>
      <c r="HK54" s="280"/>
      <c r="HL54" s="280"/>
      <c r="HM54" s="280"/>
      <c r="HN54" s="281"/>
    </row>
    <row r="55" spans="1:222" x14ac:dyDescent="0.25">
      <c r="A55" s="734" t="s">
        <v>10</v>
      </c>
      <c r="B55" s="780"/>
      <c r="C55" s="780"/>
      <c r="D55" s="780"/>
      <c r="E55" s="780"/>
      <c r="F55" s="729"/>
      <c r="G55" s="730"/>
      <c r="H55" s="731"/>
      <c r="J55" s="713" t="str">
        <f>IF(F55="","",F55*21)</f>
        <v/>
      </c>
      <c r="K55" s="722"/>
      <c r="L55" s="722"/>
      <c r="M55" s="722"/>
      <c r="N55" s="723"/>
      <c r="Q55" s="744" t="s">
        <v>219</v>
      </c>
      <c r="R55" s="745"/>
      <c r="S55" s="745"/>
      <c r="T55" s="745"/>
      <c r="U55" s="243"/>
      <c r="V55" s="243"/>
      <c r="W55" s="243"/>
      <c r="X55" s="243"/>
      <c r="Y55" s="243"/>
      <c r="Z55" s="243"/>
      <c r="AA55" s="243"/>
      <c r="AB55" s="243"/>
      <c r="AC55" s="243"/>
      <c r="AD55" s="243"/>
      <c r="AE55" s="243"/>
      <c r="AF55" s="282"/>
      <c r="AL55" s="716" t="s">
        <v>10</v>
      </c>
      <c r="AM55" s="717"/>
      <c r="AN55" s="717"/>
      <c r="AO55" s="717"/>
      <c r="AP55" s="717"/>
      <c r="AQ55" s="729" t="str">
        <f>IF($F$55="","",$F$55)</f>
        <v/>
      </c>
      <c r="AR55" s="730"/>
      <c r="AS55" s="731"/>
      <c r="AU55" s="713" t="str">
        <f>IF(AQ55="","",AQ55*21)</f>
        <v/>
      </c>
      <c r="AV55" s="722"/>
      <c r="AW55" s="722"/>
      <c r="AX55" s="722"/>
      <c r="AY55" s="723"/>
      <c r="BB55" s="744" t="s">
        <v>219</v>
      </c>
      <c r="BC55" s="745"/>
      <c r="BD55" s="745"/>
      <c r="BE55" s="745"/>
      <c r="BF55" s="243" t="str">
        <f>IF($U$55="","",$U$55)</f>
        <v/>
      </c>
      <c r="BG55" s="243"/>
      <c r="BH55" s="243"/>
      <c r="BI55" s="243"/>
      <c r="BJ55" s="243"/>
      <c r="BK55" s="243"/>
      <c r="BL55" s="243"/>
      <c r="BM55" s="243"/>
      <c r="BN55" s="243"/>
      <c r="BO55" s="243"/>
      <c r="BP55" s="243"/>
      <c r="BQ55" s="282"/>
      <c r="BW55" s="716" t="s">
        <v>10</v>
      </c>
      <c r="BX55" s="717"/>
      <c r="BY55" s="717"/>
      <c r="BZ55" s="717"/>
      <c r="CA55" s="717"/>
      <c r="CB55" s="729" t="str">
        <f>IF($F$55="","",$F$55)</f>
        <v/>
      </c>
      <c r="CC55" s="730"/>
      <c r="CD55" s="731"/>
      <c r="CF55" s="713" t="str">
        <f>IF(CB55="","",CB55*21)</f>
        <v/>
      </c>
      <c r="CG55" s="722"/>
      <c r="CH55" s="722"/>
      <c r="CI55" s="722"/>
      <c r="CJ55" s="723"/>
      <c r="CM55" s="744" t="s">
        <v>219</v>
      </c>
      <c r="CN55" s="745"/>
      <c r="CO55" s="745"/>
      <c r="CP55" s="745"/>
      <c r="CQ55" s="243" t="str">
        <f>IF($U$55="","",$U$55)</f>
        <v/>
      </c>
      <c r="CR55" s="243"/>
      <c r="CS55" s="243"/>
      <c r="CT55" s="243"/>
      <c r="CU55" s="243"/>
      <c r="CV55" s="243"/>
      <c r="CW55" s="243"/>
      <c r="CX55" s="243"/>
      <c r="CY55" s="243"/>
      <c r="CZ55" s="243"/>
      <c r="DA55" s="243"/>
      <c r="DB55" s="282"/>
      <c r="DI55" s="716" t="s">
        <v>10</v>
      </c>
      <c r="DJ55" s="717"/>
      <c r="DK55" s="717"/>
      <c r="DL55" s="717"/>
      <c r="DM55" s="717"/>
      <c r="DN55" s="729" t="str">
        <f>IF($F$55="","",$F$55)</f>
        <v/>
      </c>
      <c r="DO55" s="730"/>
      <c r="DP55" s="731"/>
      <c r="DR55" s="713" t="str">
        <f>IF(DN55="","",DN55*21)</f>
        <v/>
      </c>
      <c r="DS55" s="722"/>
      <c r="DT55" s="722"/>
      <c r="DU55" s="722"/>
      <c r="DV55" s="723"/>
      <c r="DY55" s="744" t="s">
        <v>219</v>
      </c>
      <c r="DZ55" s="745"/>
      <c r="EA55" s="745"/>
      <c r="EB55" s="745"/>
      <c r="EC55" s="243" t="str">
        <f>IF($U$55="","",$U$55)</f>
        <v/>
      </c>
      <c r="ED55" s="243"/>
      <c r="EE55" s="243"/>
      <c r="EF55" s="243"/>
      <c r="EG55" s="243"/>
      <c r="EH55" s="243"/>
      <c r="EI55" s="243"/>
      <c r="EJ55" s="243"/>
      <c r="EK55" s="243"/>
      <c r="EL55" s="243"/>
      <c r="EM55" s="243"/>
      <c r="EN55" s="282"/>
      <c r="EV55" s="716" t="s">
        <v>10</v>
      </c>
      <c r="EW55" s="717"/>
      <c r="EX55" s="717"/>
      <c r="EY55" s="717"/>
      <c r="EZ55" s="717"/>
      <c r="FA55" s="729" t="str">
        <f>IF($F$55="","",$F$55)</f>
        <v/>
      </c>
      <c r="FB55" s="730"/>
      <c r="FC55" s="731"/>
      <c r="FE55" s="713" t="str">
        <f>IF(FA55="","",FA55*21)</f>
        <v/>
      </c>
      <c r="FF55" s="722"/>
      <c r="FG55" s="722"/>
      <c r="FH55" s="722"/>
      <c r="FI55" s="723"/>
      <c r="FL55" s="744" t="s">
        <v>219</v>
      </c>
      <c r="FM55" s="745"/>
      <c r="FN55" s="745"/>
      <c r="FO55" s="745"/>
      <c r="FP55" s="243" t="str">
        <f>IF($U$55="","",$U$55)</f>
        <v/>
      </c>
      <c r="FQ55" s="243"/>
      <c r="FR55" s="243"/>
      <c r="FS55" s="243"/>
      <c r="FT55" s="243"/>
      <c r="FU55" s="243"/>
      <c r="FV55" s="243"/>
      <c r="FW55" s="243"/>
      <c r="FX55" s="243"/>
      <c r="FY55" s="243"/>
      <c r="FZ55" s="243"/>
      <c r="GA55" s="282"/>
      <c r="GI55" s="716" t="s">
        <v>10</v>
      </c>
      <c r="GJ55" s="717"/>
      <c r="GK55" s="717"/>
      <c r="GL55" s="717"/>
      <c r="GM55" s="717"/>
      <c r="GN55" s="729" t="str">
        <f>IF($F$55="","",$F$55)</f>
        <v/>
      </c>
      <c r="GO55" s="730"/>
      <c r="GP55" s="731"/>
      <c r="GR55" s="713" t="str">
        <f>IF(GN55="","",GN55*21)</f>
        <v/>
      </c>
      <c r="GS55" s="722"/>
      <c r="GT55" s="722"/>
      <c r="GU55" s="722"/>
      <c r="GV55" s="723"/>
      <c r="GY55" s="744" t="s">
        <v>219</v>
      </c>
      <c r="GZ55" s="745"/>
      <c r="HA55" s="745"/>
      <c r="HB55" s="745"/>
      <c r="HC55" s="243" t="str">
        <f>IF($U$55="","",$U$55)</f>
        <v/>
      </c>
      <c r="HD55" s="243"/>
      <c r="HE55" s="243"/>
      <c r="HF55" s="243"/>
      <c r="HG55" s="243"/>
      <c r="HH55" s="243"/>
      <c r="HI55" s="243"/>
      <c r="HJ55" s="243"/>
      <c r="HK55" s="243"/>
      <c r="HL55" s="243"/>
      <c r="HM55" s="243"/>
      <c r="HN55" s="282"/>
    </row>
    <row r="56" spans="1:222" x14ac:dyDescent="0.25">
      <c r="A56" s="734" t="s">
        <v>11</v>
      </c>
      <c r="B56" s="780"/>
      <c r="C56" s="780"/>
      <c r="D56" s="780"/>
      <c r="E56" s="236"/>
      <c r="F56" s="718" t="str">
        <f>IF($E$56="","",IF($E$56=1,($J$11*$DL$1*2)/2500,IF($E$56=2,(($DL$2*$J$11)/2)/2500,IF($E$56=3,($DL$8*$J$11)/2500))))</f>
        <v/>
      </c>
      <c r="G56" s="719"/>
      <c r="H56" s="720"/>
      <c r="J56" s="721" t="str">
        <f>IF(F56="","",F56*21)</f>
        <v/>
      </c>
      <c r="K56" s="722"/>
      <c r="L56" s="722"/>
      <c r="M56" s="722"/>
      <c r="N56" s="723"/>
      <c r="Q56" s="283"/>
      <c r="R56" s="243"/>
      <c r="S56" s="243"/>
      <c r="T56" s="243"/>
      <c r="U56" s="710">
        <v>8</v>
      </c>
      <c r="V56" s="711"/>
      <c r="W56" s="712"/>
      <c r="X56" s="243"/>
      <c r="Y56" s="713">
        <f>IF(U56="","",U56*17)</f>
        <v>136</v>
      </c>
      <c r="Z56" s="722"/>
      <c r="AA56" s="722"/>
      <c r="AB56" s="722"/>
      <c r="AC56" s="723"/>
      <c r="AD56" s="243"/>
      <c r="AE56" s="243"/>
      <c r="AF56" s="282"/>
      <c r="AL56" s="716" t="s">
        <v>11</v>
      </c>
      <c r="AM56" s="717"/>
      <c r="AN56" s="717"/>
      <c r="AO56" s="717"/>
      <c r="AP56" s="258" t="str">
        <f>IF($E$56="","",$E$56)</f>
        <v/>
      </c>
      <c r="AQ56" s="718" t="str">
        <f>IF($AP$56="","",IF($AP$56=1,($Q$11*$DL$1*2)/2500,IF($AP$56=2,(($DL$2*$Q$11)/2)/2500,IF($AP$56=3,($DL$8*$Q$11)/2500))))</f>
        <v/>
      </c>
      <c r="AR56" s="719"/>
      <c r="AS56" s="720"/>
      <c r="AU56" s="721" t="str">
        <f>IF(AQ56="","",AQ56*21)</f>
        <v/>
      </c>
      <c r="AV56" s="722"/>
      <c r="AW56" s="722"/>
      <c r="AX56" s="722"/>
      <c r="AY56" s="723"/>
      <c r="BB56" s="283"/>
      <c r="BC56" s="243"/>
      <c r="BD56" s="243"/>
      <c r="BE56" s="243"/>
      <c r="BF56" s="710" t="str">
        <f>IF($U$55="","",$Q$11/500+0.75)</f>
        <v/>
      </c>
      <c r="BG56" s="711"/>
      <c r="BH56" s="712"/>
      <c r="BI56" s="243"/>
      <c r="BJ56" s="713" t="str">
        <f>IF(BF56="","",BF56*17)</f>
        <v/>
      </c>
      <c r="BK56" s="722"/>
      <c r="BL56" s="722"/>
      <c r="BM56" s="722"/>
      <c r="BN56" s="723"/>
      <c r="BO56" s="243"/>
      <c r="BP56" s="243"/>
      <c r="BQ56" s="282"/>
      <c r="BW56" s="716" t="s">
        <v>11</v>
      </c>
      <c r="BX56" s="717"/>
      <c r="BY56" s="717"/>
      <c r="BZ56" s="717"/>
      <c r="CA56" s="262" t="str">
        <f>IF($E$56="","",$E$56)</f>
        <v/>
      </c>
      <c r="CB56" s="718" t="str">
        <f>IF($CA$56="","",IF($CA$56=1,($X$11*$DL$1*2)/2500,IF($CA$56=2,(($DL$2*$X$11)/2)/2500,IF($CA$56=3,($DL$8*$X$11)/2500))))</f>
        <v/>
      </c>
      <c r="CC56" s="719"/>
      <c r="CD56" s="720"/>
      <c r="CF56" s="721" t="str">
        <f>IF(CB56="","",CB56*21)</f>
        <v/>
      </c>
      <c r="CG56" s="722"/>
      <c r="CH56" s="722"/>
      <c r="CI56" s="722"/>
      <c r="CJ56" s="723"/>
      <c r="CM56" s="283"/>
      <c r="CN56" s="243"/>
      <c r="CO56" s="243"/>
      <c r="CP56" s="243"/>
      <c r="CQ56" s="710" t="str">
        <f>IF($U$55="","",$X$11/500+0.75)</f>
        <v/>
      </c>
      <c r="CR56" s="711"/>
      <c r="CS56" s="712"/>
      <c r="CT56" s="243"/>
      <c r="CU56" s="713" t="str">
        <f>IF(CQ56="","",CQ56*17)</f>
        <v/>
      </c>
      <c r="CV56" s="722"/>
      <c r="CW56" s="722"/>
      <c r="CX56" s="722"/>
      <c r="CY56" s="723"/>
      <c r="CZ56" s="243"/>
      <c r="DA56" s="243"/>
      <c r="DB56" s="282"/>
      <c r="DI56" s="716" t="s">
        <v>11</v>
      </c>
      <c r="DJ56" s="717"/>
      <c r="DK56" s="717"/>
      <c r="DL56" s="717"/>
      <c r="DM56" s="262" t="str">
        <f>IF($E$56="","",$E$56)</f>
        <v/>
      </c>
      <c r="DN56" s="718" t="str">
        <f>IF($E$56="","",IF($E$56=1,($J$15*$DL$1*2)/2500,IF($E$56=2,(($DL$2*$J$15)/2)/2500,IF($E$56=3,($DL$8*$J$15)/2500))))</f>
        <v/>
      </c>
      <c r="DO56" s="719"/>
      <c r="DP56" s="720"/>
      <c r="DR56" s="721" t="str">
        <f>IF(DN56="","",DN56*21)</f>
        <v/>
      </c>
      <c r="DS56" s="722"/>
      <c r="DT56" s="722"/>
      <c r="DU56" s="722"/>
      <c r="DV56" s="723"/>
      <c r="DY56" s="283"/>
      <c r="DZ56" s="243"/>
      <c r="EA56" s="243"/>
      <c r="EB56" s="243"/>
      <c r="EC56" s="710" t="str">
        <f>IF($U$55="","",$J$15/500+0.75)</f>
        <v/>
      </c>
      <c r="ED56" s="711"/>
      <c r="EE56" s="712"/>
      <c r="EF56" s="243"/>
      <c r="EG56" s="713" t="str">
        <f>IF(EC56="","",EC56*17)</f>
        <v/>
      </c>
      <c r="EH56" s="722"/>
      <c r="EI56" s="722"/>
      <c r="EJ56" s="722"/>
      <c r="EK56" s="723"/>
      <c r="EL56" s="243"/>
      <c r="EM56" s="243"/>
      <c r="EN56" s="282"/>
      <c r="EV56" s="716" t="s">
        <v>11</v>
      </c>
      <c r="EW56" s="717"/>
      <c r="EX56" s="717"/>
      <c r="EY56" s="717"/>
      <c r="EZ56" s="262" t="str">
        <f>IF($E$56="","",$E$56)</f>
        <v/>
      </c>
      <c r="FA56" s="718" t="str">
        <f>IF($AP$56="","",IF($AP$56=1,($Q$15*$DL$1*2)/2500,IF($AP$56=2,(($DL$2*$Q$15)/2)/2500,IF($AP$56=3,($DL$8*$Q$15)/2500))))</f>
        <v/>
      </c>
      <c r="FB56" s="719"/>
      <c r="FC56" s="720"/>
      <c r="FE56" s="721" t="str">
        <f>IF(FA56="","",FA56*21)</f>
        <v/>
      </c>
      <c r="FF56" s="722"/>
      <c r="FG56" s="722"/>
      <c r="FH56" s="722"/>
      <c r="FI56" s="723"/>
      <c r="FL56" s="283"/>
      <c r="FM56" s="243"/>
      <c r="FN56" s="243"/>
      <c r="FO56" s="243"/>
      <c r="FP56" s="710" t="str">
        <f>IF($U$55="","",$Q$15/500+0.75)</f>
        <v/>
      </c>
      <c r="FQ56" s="711"/>
      <c r="FR56" s="712"/>
      <c r="FS56" s="243"/>
      <c r="FT56" s="713" t="str">
        <f>IF(FP56="","",FP56*17)</f>
        <v/>
      </c>
      <c r="FU56" s="722"/>
      <c r="FV56" s="722"/>
      <c r="FW56" s="722"/>
      <c r="FX56" s="723"/>
      <c r="FY56" s="243"/>
      <c r="FZ56" s="243"/>
      <c r="GA56" s="282"/>
      <c r="GI56" s="716" t="s">
        <v>11</v>
      </c>
      <c r="GJ56" s="717"/>
      <c r="GK56" s="717"/>
      <c r="GL56" s="717"/>
      <c r="GM56" s="262" t="str">
        <f>IF($E$56="","",$E$56)</f>
        <v/>
      </c>
      <c r="GN56" s="718" t="str">
        <f>IF($CA$56="","",IF($CA$56=1,($X$15*$DL$1*2)/2500,IF($CA$56=2,(($DL$2*$X$15)/2)/2500,IF($CA$56=3,($DL$8*$X$15)/2500))))</f>
        <v/>
      </c>
      <c r="GO56" s="719"/>
      <c r="GP56" s="720"/>
      <c r="GR56" s="721" t="str">
        <f>IF(GN56="","",GN56*21)</f>
        <v/>
      </c>
      <c r="GS56" s="722"/>
      <c r="GT56" s="722"/>
      <c r="GU56" s="722"/>
      <c r="GV56" s="723"/>
      <c r="GY56" s="283"/>
      <c r="GZ56" s="243"/>
      <c r="HA56" s="243"/>
      <c r="HB56" s="243"/>
      <c r="HC56" s="710" t="str">
        <f>IF($U$55="","",$Q$15/500+0.75)</f>
        <v/>
      </c>
      <c r="HD56" s="711"/>
      <c r="HE56" s="712"/>
      <c r="HF56" s="243"/>
      <c r="HG56" s="713" t="str">
        <f>IF(HC56="","",HC56*17)</f>
        <v/>
      </c>
      <c r="HH56" s="722"/>
      <c r="HI56" s="722"/>
      <c r="HJ56" s="722"/>
      <c r="HK56" s="723"/>
      <c r="HL56" s="243"/>
      <c r="HM56" s="243"/>
      <c r="HN56" s="282"/>
    </row>
    <row r="57" spans="1:222" x14ac:dyDescent="0.25">
      <c r="A57" s="243"/>
      <c r="N57" s="243"/>
      <c r="Q57" s="283"/>
      <c r="R57" s="243"/>
      <c r="S57" s="243"/>
      <c r="T57" s="243"/>
      <c r="U57" s="243"/>
      <c r="V57" s="243"/>
      <c r="W57" s="243"/>
      <c r="X57" s="243"/>
      <c r="Y57" s="243"/>
      <c r="Z57" s="243"/>
      <c r="AA57" s="243"/>
      <c r="AB57" s="243"/>
      <c r="AC57" s="243"/>
      <c r="AD57" s="243"/>
      <c r="AE57" s="243"/>
      <c r="AF57" s="282"/>
      <c r="BB57" s="283"/>
      <c r="BC57" s="243"/>
      <c r="BD57" s="243"/>
      <c r="BE57" s="243"/>
      <c r="BF57" s="243"/>
      <c r="BG57" s="243"/>
      <c r="BH57" s="243"/>
      <c r="BI57" s="243"/>
      <c r="BJ57" s="243"/>
      <c r="BK57" s="243"/>
      <c r="BL57" s="243"/>
      <c r="BM57" s="243"/>
      <c r="BN57" s="243"/>
      <c r="BO57" s="243"/>
      <c r="BP57" s="243"/>
      <c r="BQ57" s="282"/>
      <c r="CM57" s="283"/>
      <c r="CN57" s="243"/>
      <c r="CO57" s="243"/>
      <c r="CP57" s="243"/>
      <c r="CQ57" s="243"/>
      <c r="CR57" s="243"/>
      <c r="CS57" s="243"/>
      <c r="CT57" s="243"/>
      <c r="CU57" s="243"/>
      <c r="CV57" s="243"/>
      <c r="CW57" s="243"/>
      <c r="CX57" s="243"/>
      <c r="CY57" s="243"/>
      <c r="CZ57" s="243"/>
      <c r="DA57" s="243"/>
      <c r="DB57" s="282"/>
      <c r="DY57" s="283"/>
      <c r="DZ57" s="243"/>
      <c r="EA57" s="243"/>
      <c r="EB57" s="243"/>
      <c r="EC57" s="243"/>
      <c r="ED57" s="243"/>
      <c r="EE57" s="243"/>
      <c r="EF57" s="243"/>
      <c r="EG57" s="243"/>
      <c r="EH57" s="243"/>
      <c r="EI57" s="243"/>
      <c r="EJ57" s="243"/>
      <c r="EK57" s="243"/>
      <c r="EL57" s="243"/>
      <c r="EM57" s="243"/>
      <c r="EN57" s="282"/>
      <c r="FL57" s="283"/>
      <c r="FM57" s="243"/>
      <c r="FN57" s="243"/>
      <c r="FO57" s="243"/>
      <c r="FP57" s="243"/>
      <c r="FQ57" s="243"/>
      <c r="FR57" s="243"/>
      <c r="FS57" s="243"/>
      <c r="FT57" s="243"/>
      <c r="FU57" s="243"/>
      <c r="FV57" s="243"/>
      <c r="FW57" s="243"/>
      <c r="FX57" s="243"/>
      <c r="FY57" s="243"/>
      <c r="FZ57" s="243"/>
      <c r="GA57" s="282"/>
      <c r="GY57" s="283"/>
      <c r="GZ57" s="243"/>
      <c r="HA57" s="243"/>
      <c r="HB57" s="243"/>
      <c r="HC57" s="243"/>
      <c r="HD57" s="243"/>
      <c r="HE57" s="243"/>
      <c r="HF57" s="243"/>
      <c r="HG57" s="243"/>
      <c r="HH57" s="243"/>
      <c r="HI57" s="243"/>
      <c r="HJ57" s="243"/>
      <c r="HK57" s="243"/>
      <c r="HL57" s="243"/>
      <c r="HM57" s="243"/>
      <c r="HN57" s="282"/>
    </row>
    <row r="58" spans="1:222" x14ac:dyDescent="0.25">
      <c r="A58" s="831" t="s">
        <v>187</v>
      </c>
      <c r="B58" s="780"/>
      <c r="C58" s="780"/>
      <c r="D58" s="780"/>
      <c r="E58" s="780"/>
      <c r="N58" s="243"/>
      <c r="Q58" s="744" t="s">
        <v>83</v>
      </c>
      <c r="R58" s="745"/>
      <c r="S58" s="745"/>
      <c r="T58" s="745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82"/>
      <c r="AL58" s="724" t="s">
        <v>187</v>
      </c>
      <c r="AM58" s="717"/>
      <c r="AN58" s="717"/>
      <c r="AO58" s="717"/>
      <c r="AP58" s="717"/>
      <c r="BB58" s="744" t="s">
        <v>83</v>
      </c>
      <c r="BC58" s="745"/>
      <c r="BD58" s="745"/>
      <c r="BE58" s="745"/>
      <c r="BF58" s="243"/>
      <c r="BG58" s="243"/>
      <c r="BH58" s="243"/>
      <c r="BI58" s="243"/>
      <c r="BJ58" s="243"/>
      <c r="BK58" s="243"/>
      <c r="BL58" s="243"/>
      <c r="BM58" s="243"/>
      <c r="BN58" s="243"/>
      <c r="BO58" s="243"/>
      <c r="BP58" s="243"/>
      <c r="BQ58" s="282"/>
      <c r="BW58" s="724" t="s">
        <v>187</v>
      </c>
      <c r="BX58" s="717"/>
      <c r="BY58" s="717"/>
      <c r="BZ58" s="717"/>
      <c r="CA58" s="717"/>
      <c r="CM58" s="744" t="s">
        <v>83</v>
      </c>
      <c r="CN58" s="745"/>
      <c r="CO58" s="745"/>
      <c r="CP58" s="745"/>
      <c r="CQ58" s="243"/>
      <c r="CR58" s="243"/>
      <c r="CS58" s="243"/>
      <c r="CT58" s="243"/>
      <c r="CU58" s="243"/>
      <c r="CV58" s="243"/>
      <c r="CW58" s="243"/>
      <c r="CX58" s="243"/>
      <c r="CY58" s="243"/>
      <c r="CZ58" s="243"/>
      <c r="DA58" s="243"/>
      <c r="DB58" s="282"/>
      <c r="DI58" s="724" t="s">
        <v>187</v>
      </c>
      <c r="DJ58" s="717"/>
      <c r="DK58" s="717"/>
      <c r="DL58" s="717"/>
      <c r="DM58" s="717"/>
      <c r="DY58" s="744" t="s">
        <v>83</v>
      </c>
      <c r="DZ58" s="745"/>
      <c r="EA58" s="745"/>
      <c r="EB58" s="745"/>
      <c r="EC58" s="243"/>
      <c r="ED58" s="243"/>
      <c r="EE58" s="243"/>
      <c r="EF58" s="243"/>
      <c r="EG58" s="243"/>
      <c r="EH58" s="243"/>
      <c r="EI58" s="243"/>
      <c r="EJ58" s="243"/>
      <c r="EK58" s="243"/>
      <c r="EL58" s="243"/>
      <c r="EM58" s="243"/>
      <c r="EN58" s="282"/>
      <c r="EV58" s="724" t="s">
        <v>187</v>
      </c>
      <c r="EW58" s="717"/>
      <c r="EX58" s="717"/>
      <c r="EY58" s="717"/>
      <c r="EZ58" s="717"/>
      <c r="FL58" s="744" t="s">
        <v>83</v>
      </c>
      <c r="FM58" s="745"/>
      <c r="FN58" s="745"/>
      <c r="FO58" s="745"/>
      <c r="FP58" s="243"/>
      <c r="FQ58" s="243"/>
      <c r="FR58" s="243"/>
      <c r="FS58" s="243"/>
      <c r="FT58" s="243"/>
      <c r="FU58" s="243"/>
      <c r="FV58" s="243"/>
      <c r="FW58" s="243"/>
      <c r="FX58" s="243"/>
      <c r="FY58" s="243"/>
      <c r="FZ58" s="243"/>
      <c r="GA58" s="282"/>
      <c r="GI58" s="724" t="s">
        <v>187</v>
      </c>
      <c r="GJ58" s="717"/>
      <c r="GK58" s="717"/>
      <c r="GL58" s="717"/>
      <c r="GM58" s="717"/>
      <c r="GY58" s="744" t="s">
        <v>83</v>
      </c>
      <c r="GZ58" s="745"/>
      <c r="HA58" s="745"/>
      <c r="HB58" s="745"/>
      <c r="HC58" s="243"/>
      <c r="HD58" s="243"/>
      <c r="HE58" s="243"/>
      <c r="HF58" s="243"/>
      <c r="HG58" s="243"/>
      <c r="HH58" s="243"/>
      <c r="HI58" s="243"/>
      <c r="HJ58" s="243"/>
      <c r="HK58" s="243"/>
      <c r="HL58" s="243"/>
      <c r="HM58" s="243"/>
      <c r="HN58" s="282"/>
    </row>
    <row r="59" spans="1:222" x14ac:dyDescent="0.25">
      <c r="A59" s="734" t="s">
        <v>10</v>
      </c>
      <c r="B59" s="780"/>
      <c r="C59" s="780"/>
      <c r="D59" s="780"/>
      <c r="E59" s="780"/>
      <c r="F59" s="836"/>
      <c r="G59" s="837"/>
      <c r="H59" s="838"/>
      <c r="J59" s="721" t="str">
        <f>IF(F59="","",F59*17)</f>
        <v/>
      </c>
      <c r="K59" s="722"/>
      <c r="L59" s="722"/>
      <c r="M59" s="722"/>
      <c r="N59" s="723"/>
      <c r="Q59" s="283"/>
      <c r="R59" s="243"/>
      <c r="S59" s="243"/>
      <c r="T59" s="243"/>
      <c r="U59" s="710"/>
      <c r="V59" s="711"/>
      <c r="W59" s="712"/>
      <c r="X59" s="243"/>
      <c r="Y59" s="713" t="str">
        <f>IF($U$59="","",IF(U59=1,PLASTIKA!P23,IF(U59=2,PLASTIKA!U23,IF(U59=3,PLASTIKA!P33,IF(U59=4,PLASTIKA!U33)))))</f>
        <v/>
      </c>
      <c r="Z59" s="722"/>
      <c r="AA59" s="722"/>
      <c r="AB59" s="722"/>
      <c r="AC59" s="723"/>
      <c r="AD59" s="243"/>
      <c r="AE59" s="243"/>
      <c r="AF59" s="282"/>
      <c r="AL59" s="716" t="s">
        <v>10</v>
      </c>
      <c r="AM59" s="717"/>
      <c r="AN59" s="717"/>
      <c r="AO59" s="717"/>
      <c r="AP59" s="717"/>
      <c r="AQ59" s="729" t="str">
        <f>IF($F$59="","",$F$59)</f>
        <v/>
      </c>
      <c r="AR59" s="730"/>
      <c r="AS59" s="731"/>
      <c r="AU59" s="721" t="str">
        <f>IF(AQ59="","",AQ59*17)</f>
        <v/>
      </c>
      <c r="AV59" s="722"/>
      <c r="AW59" s="722"/>
      <c r="AX59" s="722"/>
      <c r="AY59" s="723"/>
      <c r="BB59" s="283"/>
      <c r="BC59" s="243"/>
      <c r="BD59" s="243"/>
      <c r="BE59" s="243"/>
      <c r="BF59" s="710"/>
      <c r="BG59" s="711"/>
      <c r="BH59" s="712"/>
      <c r="BI59" s="243"/>
      <c r="BJ59" s="713" t="str">
        <f>IF(BF59="","",BF59*17)</f>
        <v/>
      </c>
      <c r="BK59" s="722"/>
      <c r="BL59" s="722"/>
      <c r="BM59" s="722"/>
      <c r="BN59" s="723"/>
      <c r="BO59" s="243"/>
      <c r="BP59" s="243"/>
      <c r="BQ59" s="282"/>
      <c r="BW59" s="716" t="s">
        <v>10</v>
      </c>
      <c r="BX59" s="717"/>
      <c r="BY59" s="717"/>
      <c r="BZ59" s="717"/>
      <c r="CA59" s="717"/>
      <c r="CB59" s="729" t="str">
        <f>IF($F$59="","",$F$59)</f>
        <v/>
      </c>
      <c r="CC59" s="730"/>
      <c r="CD59" s="731"/>
      <c r="CF59" s="721" t="str">
        <f>IF(CB59="","",CB59*17)</f>
        <v/>
      </c>
      <c r="CG59" s="722"/>
      <c r="CH59" s="722"/>
      <c r="CI59" s="722"/>
      <c r="CJ59" s="723"/>
      <c r="CM59" s="283"/>
      <c r="CN59" s="243"/>
      <c r="CO59" s="243"/>
      <c r="CP59" s="243"/>
      <c r="CQ59" s="710"/>
      <c r="CR59" s="711"/>
      <c r="CS59" s="712"/>
      <c r="CT59" s="243"/>
      <c r="CU59" s="713" t="str">
        <f>IF(CQ59="","",CQ59*17)</f>
        <v/>
      </c>
      <c r="CV59" s="722"/>
      <c r="CW59" s="722"/>
      <c r="CX59" s="722"/>
      <c r="CY59" s="723"/>
      <c r="CZ59" s="243"/>
      <c r="DA59" s="243"/>
      <c r="DB59" s="282"/>
      <c r="DI59" s="716" t="s">
        <v>10</v>
      </c>
      <c r="DJ59" s="717"/>
      <c r="DK59" s="717"/>
      <c r="DL59" s="717"/>
      <c r="DM59" s="717"/>
      <c r="DN59" s="729" t="str">
        <f>IF($F$59="","",$F$59)</f>
        <v/>
      </c>
      <c r="DO59" s="730"/>
      <c r="DP59" s="731"/>
      <c r="DR59" s="721" t="str">
        <f>IF(DN59="","",DN59*17)</f>
        <v/>
      </c>
      <c r="DS59" s="722"/>
      <c r="DT59" s="722"/>
      <c r="DU59" s="722"/>
      <c r="DV59" s="723"/>
      <c r="DY59" s="283"/>
      <c r="DZ59" s="243"/>
      <c r="EA59" s="243"/>
      <c r="EB59" s="243"/>
      <c r="EC59" s="710"/>
      <c r="ED59" s="711"/>
      <c r="EE59" s="712"/>
      <c r="EF59" s="243"/>
      <c r="EG59" s="713" t="str">
        <f>IF(EC59="","",EC59*17)</f>
        <v/>
      </c>
      <c r="EH59" s="722"/>
      <c r="EI59" s="722"/>
      <c r="EJ59" s="722"/>
      <c r="EK59" s="723"/>
      <c r="EL59" s="243"/>
      <c r="EM59" s="243"/>
      <c r="EN59" s="282"/>
      <c r="EV59" s="716" t="s">
        <v>10</v>
      </c>
      <c r="EW59" s="717"/>
      <c r="EX59" s="717"/>
      <c r="EY59" s="717"/>
      <c r="EZ59" s="717"/>
      <c r="FA59" s="729" t="str">
        <f>IF($F$59="","",$F$59)</f>
        <v/>
      </c>
      <c r="FB59" s="730"/>
      <c r="FC59" s="731"/>
      <c r="FE59" s="721" t="str">
        <f>IF(FA59="","",FA59*17)</f>
        <v/>
      </c>
      <c r="FF59" s="722"/>
      <c r="FG59" s="722"/>
      <c r="FH59" s="722"/>
      <c r="FI59" s="723"/>
      <c r="FL59" s="283"/>
      <c r="FM59" s="243"/>
      <c r="FN59" s="243"/>
      <c r="FO59" s="243"/>
      <c r="FP59" s="710"/>
      <c r="FQ59" s="711"/>
      <c r="FR59" s="712"/>
      <c r="FS59" s="243"/>
      <c r="FT59" s="713" t="str">
        <f>IF(FP59="","",FP59*17)</f>
        <v/>
      </c>
      <c r="FU59" s="722"/>
      <c r="FV59" s="722"/>
      <c r="FW59" s="722"/>
      <c r="FX59" s="723"/>
      <c r="FY59" s="243"/>
      <c r="FZ59" s="243"/>
      <c r="GA59" s="282"/>
      <c r="GI59" s="716" t="s">
        <v>10</v>
      </c>
      <c r="GJ59" s="717"/>
      <c r="GK59" s="717"/>
      <c r="GL59" s="717"/>
      <c r="GM59" s="717"/>
      <c r="GN59" s="729" t="str">
        <f>IF($F$59="","",$F$59)</f>
        <v/>
      </c>
      <c r="GO59" s="730"/>
      <c r="GP59" s="731"/>
      <c r="GR59" s="721" t="str">
        <f>IF(GN59="","",GN59*17)</f>
        <v/>
      </c>
      <c r="GS59" s="722"/>
      <c r="GT59" s="722"/>
      <c r="GU59" s="722"/>
      <c r="GV59" s="723"/>
      <c r="GY59" s="283"/>
      <c r="GZ59" s="243"/>
      <c r="HA59" s="243"/>
      <c r="HB59" s="243"/>
      <c r="HC59" s="710"/>
      <c r="HD59" s="711"/>
      <c r="HE59" s="712"/>
      <c r="HF59" s="243"/>
      <c r="HG59" s="713" t="str">
        <f>IF(HC59="","",HC59*17)</f>
        <v/>
      </c>
      <c r="HH59" s="722"/>
      <c r="HI59" s="722"/>
      <c r="HJ59" s="722"/>
      <c r="HK59" s="723"/>
      <c r="HL59" s="243"/>
      <c r="HM59" s="243"/>
      <c r="HN59" s="282"/>
    </row>
    <row r="60" spans="1:222" x14ac:dyDescent="0.25">
      <c r="A60" s="734" t="s">
        <v>11</v>
      </c>
      <c r="B60" s="780"/>
      <c r="C60" s="780"/>
      <c r="D60" s="780"/>
      <c r="E60" s="780"/>
      <c r="F60" s="839"/>
      <c r="G60" s="840"/>
      <c r="H60" s="841"/>
      <c r="J60" s="721" t="str">
        <f>IF(F60="","",F60*17)</f>
        <v/>
      </c>
      <c r="K60" s="722"/>
      <c r="L60" s="722"/>
      <c r="M60" s="722"/>
      <c r="N60" s="723"/>
      <c r="Q60" s="283"/>
      <c r="R60" s="243"/>
      <c r="S60" s="243"/>
      <c r="T60" s="243"/>
      <c r="U60" s="243"/>
      <c r="V60" s="243"/>
      <c r="W60" s="243"/>
      <c r="X60" s="243"/>
      <c r="Y60" s="243"/>
      <c r="Z60" s="243"/>
      <c r="AA60" s="243"/>
      <c r="AB60" s="243"/>
      <c r="AC60" s="243"/>
      <c r="AD60" s="243"/>
      <c r="AE60" s="243"/>
      <c r="AF60" s="282"/>
      <c r="AL60" s="716" t="s">
        <v>11</v>
      </c>
      <c r="AM60" s="717"/>
      <c r="AN60" s="717"/>
      <c r="AO60" s="717"/>
      <c r="AP60" s="717"/>
      <c r="AQ60" s="729"/>
      <c r="AR60" s="730"/>
      <c r="AS60" s="731"/>
      <c r="AU60" s="721" t="str">
        <f>IF(AQ60="","",AQ60*17)</f>
        <v/>
      </c>
      <c r="AV60" s="722"/>
      <c r="AW60" s="722"/>
      <c r="AX60" s="722"/>
      <c r="AY60" s="723"/>
      <c r="BB60" s="283"/>
      <c r="BC60" s="243"/>
      <c r="BD60" s="243"/>
      <c r="BE60" s="243"/>
      <c r="BF60" s="243"/>
      <c r="BG60" s="243"/>
      <c r="BH60" s="243"/>
      <c r="BI60" s="243"/>
      <c r="BJ60" s="243"/>
      <c r="BK60" s="243"/>
      <c r="BL60" s="243"/>
      <c r="BM60" s="243"/>
      <c r="BN60" s="243"/>
      <c r="BO60" s="243"/>
      <c r="BP60" s="243"/>
      <c r="BQ60" s="282"/>
      <c r="BW60" s="716" t="s">
        <v>11</v>
      </c>
      <c r="BX60" s="717"/>
      <c r="BY60" s="717"/>
      <c r="BZ60" s="717"/>
      <c r="CA60" s="717"/>
      <c r="CB60" s="729"/>
      <c r="CC60" s="730"/>
      <c r="CD60" s="731"/>
      <c r="CF60" s="721" t="str">
        <f>IF(CB60="","",CB60*17)</f>
        <v/>
      </c>
      <c r="CG60" s="722"/>
      <c r="CH60" s="722"/>
      <c r="CI60" s="722"/>
      <c r="CJ60" s="723"/>
      <c r="CM60" s="283"/>
      <c r="CN60" s="243"/>
      <c r="CO60" s="243"/>
      <c r="CP60" s="243"/>
      <c r="CQ60" s="243"/>
      <c r="CR60" s="243"/>
      <c r="CS60" s="243"/>
      <c r="CT60" s="243"/>
      <c r="CU60" s="243"/>
      <c r="CV60" s="243"/>
      <c r="CW60" s="243"/>
      <c r="CX60" s="243"/>
      <c r="CY60" s="243"/>
      <c r="CZ60" s="243"/>
      <c r="DA60" s="243"/>
      <c r="DB60" s="282"/>
      <c r="DI60" s="716" t="s">
        <v>11</v>
      </c>
      <c r="DJ60" s="717"/>
      <c r="DK60" s="717"/>
      <c r="DL60" s="717"/>
      <c r="DM60" s="717"/>
      <c r="DN60" s="729"/>
      <c r="DO60" s="730"/>
      <c r="DP60" s="731"/>
      <c r="DR60" s="721" t="str">
        <f>IF(DN60="","",DN60*17)</f>
        <v/>
      </c>
      <c r="DS60" s="722"/>
      <c r="DT60" s="722"/>
      <c r="DU60" s="722"/>
      <c r="DV60" s="723"/>
      <c r="DY60" s="283"/>
      <c r="DZ60" s="243"/>
      <c r="EA60" s="243"/>
      <c r="EB60" s="243"/>
      <c r="EC60" s="243"/>
      <c r="ED60" s="243"/>
      <c r="EE60" s="243"/>
      <c r="EF60" s="243"/>
      <c r="EG60" s="243"/>
      <c r="EH60" s="243"/>
      <c r="EI60" s="243"/>
      <c r="EJ60" s="243"/>
      <c r="EK60" s="243"/>
      <c r="EL60" s="243"/>
      <c r="EM60" s="243"/>
      <c r="EN60" s="282"/>
      <c r="EV60" s="716" t="s">
        <v>11</v>
      </c>
      <c r="EW60" s="717"/>
      <c r="EX60" s="717"/>
      <c r="EY60" s="717"/>
      <c r="EZ60" s="717"/>
      <c r="FA60" s="729"/>
      <c r="FB60" s="730"/>
      <c r="FC60" s="731"/>
      <c r="FE60" s="721" t="str">
        <f>IF(FA60="","",FA60*17)</f>
        <v/>
      </c>
      <c r="FF60" s="722"/>
      <c r="FG60" s="722"/>
      <c r="FH60" s="722"/>
      <c r="FI60" s="723"/>
      <c r="FL60" s="283"/>
      <c r="FM60" s="243"/>
      <c r="FN60" s="243"/>
      <c r="FO60" s="243"/>
      <c r="FP60" s="243"/>
      <c r="FQ60" s="243"/>
      <c r="FR60" s="243"/>
      <c r="FS60" s="243"/>
      <c r="FT60" s="243"/>
      <c r="FU60" s="243"/>
      <c r="FV60" s="243"/>
      <c r="FW60" s="243"/>
      <c r="FX60" s="243"/>
      <c r="FY60" s="243"/>
      <c r="FZ60" s="243"/>
      <c r="GA60" s="282"/>
      <c r="GI60" s="716" t="s">
        <v>11</v>
      </c>
      <c r="GJ60" s="717"/>
      <c r="GK60" s="717"/>
      <c r="GL60" s="717"/>
      <c r="GM60" s="717"/>
      <c r="GN60" s="729"/>
      <c r="GO60" s="730"/>
      <c r="GP60" s="731"/>
      <c r="GR60" s="721" t="str">
        <f>IF(GN60="","",GN60*17)</f>
        <v/>
      </c>
      <c r="GS60" s="722"/>
      <c r="GT60" s="722"/>
      <c r="GU60" s="722"/>
      <c r="GV60" s="723"/>
      <c r="GY60" s="283"/>
      <c r="GZ60" s="243"/>
      <c r="HA60" s="243"/>
      <c r="HB60" s="243"/>
      <c r="HC60" s="243"/>
      <c r="HD60" s="243"/>
      <c r="HE60" s="243"/>
      <c r="HF60" s="243"/>
      <c r="HG60" s="243"/>
      <c r="HH60" s="243"/>
      <c r="HI60" s="243"/>
      <c r="HJ60" s="243"/>
      <c r="HK60" s="243"/>
      <c r="HL60" s="243"/>
      <c r="HM60" s="243"/>
      <c r="HN60" s="282"/>
    </row>
    <row r="61" spans="1:222" x14ac:dyDescent="0.25">
      <c r="A61" s="243"/>
      <c r="N61" s="243"/>
      <c r="Q61" s="708" t="s">
        <v>220</v>
      </c>
      <c r="R61" s="734"/>
      <c r="S61" s="734"/>
      <c r="T61" s="734"/>
      <c r="U61" s="734"/>
      <c r="V61" s="734"/>
      <c r="W61" s="735"/>
      <c r="X61" s="710"/>
      <c r="Y61" s="711"/>
      <c r="Z61" s="712"/>
      <c r="AA61" s="243">
        <v>1</v>
      </c>
      <c r="AB61" s="713" t="str">
        <f>IF(X61="","",X61*11)</f>
        <v/>
      </c>
      <c r="AC61" s="714"/>
      <c r="AD61" s="714"/>
      <c r="AE61" s="714"/>
      <c r="AF61" s="715"/>
      <c r="BB61" s="708" t="s">
        <v>220</v>
      </c>
      <c r="BC61" s="734"/>
      <c r="BD61" s="734"/>
      <c r="BE61" s="734"/>
      <c r="BF61" s="734"/>
      <c r="BG61" s="734"/>
      <c r="BH61" s="735"/>
      <c r="BI61" s="710">
        <f>IF($AA$61="","",$Q$11/500)</f>
        <v>0</v>
      </c>
      <c r="BJ61" s="711"/>
      <c r="BK61" s="712"/>
      <c r="BL61" s="243"/>
      <c r="BM61" s="713">
        <f>IF(BI61="","",BI61*11)</f>
        <v>0</v>
      </c>
      <c r="BN61" s="714"/>
      <c r="BO61" s="714"/>
      <c r="BP61" s="714"/>
      <c r="BQ61" s="715"/>
      <c r="CM61" s="708" t="s">
        <v>220</v>
      </c>
      <c r="CN61" s="734"/>
      <c r="CO61" s="734"/>
      <c r="CP61" s="734"/>
      <c r="CQ61" s="734"/>
      <c r="CR61" s="734"/>
      <c r="CS61" s="735"/>
      <c r="CT61" s="710">
        <f>IF($AA$61="","",$X$11/500)</f>
        <v>0</v>
      </c>
      <c r="CU61" s="711"/>
      <c r="CV61" s="712"/>
      <c r="CW61" s="243"/>
      <c r="CX61" s="713">
        <f>IF(CT61="","",CT61*11)</f>
        <v>0</v>
      </c>
      <c r="CY61" s="714"/>
      <c r="CZ61" s="714"/>
      <c r="DA61" s="714"/>
      <c r="DB61" s="715"/>
      <c r="DY61" s="708" t="s">
        <v>220</v>
      </c>
      <c r="DZ61" s="734"/>
      <c r="EA61" s="734"/>
      <c r="EB61" s="734"/>
      <c r="EC61" s="734"/>
      <c r="ED61" s="734"/>
      <c r="EE61" s="735"/>
      <c r="EF61" s="710">
        <f>IF($AA$61="","",$J$15/500)</f>
        <v>0</v>
      </c>
      <c r="EG61" s="711"/>
      <c r="EH61" s="712"/>
      <c r="EI61" s="243"/>
      <c r="EJ61" s="713">
        <f>IF(EF61="","",EF61*11)</f>
        <v>0</v>
      </c>
      <c r="EK61" s="714"/>
      <c r="EL61" s="714"/>
      <c r="EM61" s="714"/>
      <c r="EN61" s="715"/>
      <c r="FL61" s="708" t="s">
        <v>220</v>
      </c>
      <c r="FM61" s="734"/>
      <c r="FN61" s="734"/>
      <c r="FO61" s="734"/>
      <c r="FP61" s="734"/>
      <c r="FQ61" s="734"/>
      <c r="FR61" s="735"/>
      <c r="FS61" s="710">
        <f>IF($AA$61="","",$Q$15/500)</f>
        <v>0</v>
      </c>
      <c r="FT61" s="711"/>
      <c r="FU61" s="712"/>
      <c r="FV61" s="243"/>
      <c r="FW61" s="713">
        <f>IF(FS61="","",FS61*11)</f>
        <v>0</v>
      </c>
      <c r="FX61" s="714"/>
      <c r="FY61" s="714"/>
      <c r="FZ61" s="714"/>
      <c r="GA61" s="715"/>
      <c r="GY61" s="708" t="s">
        <v>220</v>
      </c>
      <c r="GZ61" s="734"/>
      <c r="HA61" s="734"/>
      <c r="HB61" s="734"/>
      <c r="HC61" s="734"/>
      <c r="HD61" s="734"/>
      <c r="HE61" s="735"/>
      <c r="HF61" s="710">
        <f>IF($AA$61="","",$X$15/500)</f>
        <v>0</v>
      </c>
      <c r="HG61" s="711"/>
      <c r="HH61" s="712"/>
      <c r="HI61" s="243"/>
      <c r="HJ61" s="713">
        <f>IF(HF61="","",HF61*11)</f>
        <v>0</v>
      </c>
      <c r="HK61" s="714"/>
      <c r="HL61" s="714"/>
      <c r="HM61" s="714"/>
      <c r="HN61" s="715"/>
    </row>
    <row r="62" spans="1:222" x14ac:dyDescent="0.25">
      <c r="A62" s="243"/>
      <c r="B62" s="243"/>
      <c r="C62" s="243"/>
      <c r="D62" s="243"/>
      <c r="E62" s="781" t="s">
        <v>214</v>
      </c>
      <c r="F62" s="745"/>
      <c r="G62" s="745"/>
      <c r="H62" s="745"/>
      <c r="J62" s="782">
        <f>SUM(J59,J60,J56,J55,J52,J51,J48,J47,Y51,Y52,Y48,Y47)</f>
        <v>536</v>
      </c>
      <c r="K62" s="783"/>
      <c r="L62" s="783"/>
      <c r="M62" s="783"/>
      <c r="N62" s="783"/>
      <c r="Q62" s="708" t="s">
        <v>221</v>
      </c>
      <c r="R62" s="734"/>
      <c r="S62" s="734"/>
      <c r="T62" s="734"/>
      <c r="U62" s="734"/>
      <c r="V62" s="734"/>
      <c r="W62" s="735"/>
      <c r="X62" s="710" t="str">
        <f>IF($AA$62="","",$J$11/500)</f>
        <v/>
      </c>
      <c r="Y62" s="711"/>
      <c r="Z62" s="712"/>
      <c r="AA62" s="243"/>
      <c r="AB62" s="713" t="str">
        <f>IF(X62="","",X62*11)</f>
        <v/>
      </c>
      <c r="AC62" s="714"/>
      <c r="AD62" s="714"/>
      <c r="AE62" s="714"/>
      <c r="AF62" s="715"/>
      <c r="AP62" s="732" t="s">
        <v>214</v>
      </c>
      <c r="AQ62" s="733"/>
      <c r="AR62" s="733"/>
      <c r="AS62" s="733"/>
      <c r="AT62" s="739">
        <f>SUM(AU59,AU60,AU56,AU55,AU52,AU51,AU48,AU47,BJ52,BJ51,BJ48,BJ47)</f>
        <v>167.5</v>
      </c>
      <c r="AU62" s="641"/>
      <c r="AV62" s="641"/>
      <c r="AW62" s="641"/>
      <c r="AX62" s="641"/>
      <c r="AY62" s="641"/>
      <c r="BB62" s="708" t="s">
        <v>221</v>
      </c>
      <c r="BC62" s="734"/>
      <c r="BD62" s="734"/>
      <c r="BE62" s="734"/>
      <c r="BF62" s="734"/>
      <c r="BG62" s="734"/>
      <c r="BH62" s="735"/>
      <c r="BI62" s="710" t="str">
        <f>IF($AA$62="","",$Q$11/500)</f>
        <v/>
      </c>
      <c r="BJ62" s="711"/>
      <c r="BK62" s="712"/>
      <c r="BL62" s="243"/>
      <c r="BM62" s="713" t="str">
        <f>IF(BI62="","",BI62*11)</f>
        <v/>
      </c>
      <c r="BN62" s="714"/>
      <c r="BO62" s="714"/>
      <c r="BP62" s="714"/>
      <c r="BQ62" s="715"/>
      <c r="CA62" s="732" t="s">
        <v>214</v>
      </c>
      <c r="CB62" s="733"/>
      <c r="CC62" s="733"/>
      <c r="CD62" s="733"/>
      <c r="CE62" s="739">
        <f>SUM(CF60,CF59,CF56,CF55,CF52,CF51,CF48,CF47,CU52,CU51,CU48,CU47)</f>
        <v>167.5</v>
      </c>
      <c r="CF62" s="641"/>
      <c r="CG62" s="641"/>
      <c r="CH62" s="641"/>
      <c r="CI62" s="641"/>
      <c r="CJ62" s="641"/>
      <c r="CK62" s="260"/>
      <c r="CL62" s="260"/>
      <c r="CM62" s="708" t="s">
        <v>221</v>
      </c>
      <c r="CN62" s="734"/>
      <c r="CO62" s="734"/>
      <c r="CP62" s="734"/>
      <c r="CQ62" s="734"/>
      <c r="CR62" s="734"/>
      <c r="CS62" s="735"/>
      <c r="CT62" s="710" t="str">
        <f>IF($AA$62="","",$X$11/500)</f>
        <v/>
      </c>
      <c r="CU62" s="711"/>
      <c r="CV62" s="712"/>
      <c r="CW62" s="243"/>
      <c r="CX62" s="713" t="str">
        <f>IF(CT62="","",CT62*11)</f>
        <v/>
      </c>
      <c r="CY62" s="714"/>
      <c r="CZ62" s="714"/>
      <c r="DA62" s="714"/>
      <c r="DB62" s="715"/>
      <c r="DM62" s="732" t="s">
        <v>214</v>
      </c>
      <c r="DN62" s="733"/>
      <c r="DO62" s="733"/>
      <c r="DP62" s="733"/>
      <c r="DQ62" s="739">
        <f>SUM(DR60,DR59,DR56,DR55,DR52,DR51,DR48,DR47,EG52,EG51,EG48,EG47)</f>
        <v>167.5</v>
      </c>
      <c r="DR62" s="641"/>
      <c r="DS62" s="641"/>
      <c r="DT62" s="641"/>
      <c r="DU62" s="641"/>
      <c r="DV62" s="641"/>
      <c r="DW62" s="260"/>
      <c r="DX62" s="260"/>
      <c r="DY62" s="708" t="s">
        <v>221</v>
      </c>
      <c r="DZ62" s="734"/>
      <c r="EA62" s="734"/>
      <c r="EB62" s="734"/>
      <c r="EC62" s="734"/>
      <c r="ED62" s="734"/>
      <c r="EE62" s="735"/>
      <c r="EF62" s="710" t="str">
        <f>IF($AA$62="","",$J$15/500)</f>
        <v/>
      </c>
      <c r="EG62" s="711"/>
      <c r="EH62" s="712"/>
      <c r="EI62" s="243"/>
      <c r="EJ62" s="713" t="str">
        <f>IF(EF62="","",EF62*11)</f>
        <v/>
      </c>
      <c r="EK62" s="714"/>
      <c r="EL62" s="714"/>
      <c r="EM62" s="714"/>
      <c r="EN62" s="715"/>
      <c r="EZ62" s="732" t="s">
        <v>214</v>
      </c>
      <c r="FA62" s="733"/>
      <c r="FB62" s="733"/>
      <c r="FC62" s="733"/>
      <c r="FD62" s="739">
        <f>SUM(FE60,FE59,FE56,FE55,FE52,FE51,FE48,FE47,FT52,FT51,FT48,FT47)</f>
        <v>167.5</v>
      </c>
      <c r="FE62" s="641"/>
      <c r="FF62" s="641"/>
      <c r="FG62" s="641"/>
      <c r="FH62" s="641"/>
      <c r="FI62" s="641"/>
      <c r="FJ62" s="260"/>
      <c r="FK62" s="260"/>
      <c r="FL62" s="708" t="s">
        <v>221</v>
      </c>
      <c r="FM62" s="734"/>
      <c r="FN62" s="734"/>
      <c r="FO62" s="734"/>
      <c r="FP62" s="734"/>
      <c r="FQ62" s="734"/>
      <c r="FR62" s="735"/>
      <c r="FS62" s="710" t="str">
        <f>IF($AA$62="","",$Q$15/500)</f>
        <v/>
      </c>
      <c r="FT62" s="711"/>
      <c r="FU62" s="712"/>
      <c r="FV62" s="243"/>
      <c r="FW62" s="713" t="str">
        <f>IF(FS62="","",FS62*11)</f>
        <v/>
      </c>
      <c r="FX62" s="714"/>
      <c r="FY62" s="714"/>
      <c r="FZ62" s="714"/>
      <c r="GA62" s="715"/>
      <c r="GM62" s="732" t="s">
        <v>214</v>
      </c>
      <c r="GN62" s="733"/>
      <c r="GO62" s="733"/>
      <c r="GP62" s="733"/>
      <c r="GQ62" s="739">
        <f>SUM(GR60,GR59,GR56,GR55,GR52,GR51,GR48,GR47,HG52,HG51,HG48,HG47)</f>
        <v>167.5</v>
      </c>
      <c r="GR62" s="641"/>
      <c r="GS62" s="641"/>
      <c r="GT62" s="641"/>
      <c r="GU62" s="641"/>
      <c r="GV62" s="641"/>
      <c r="GW62" s="260"/>
      <c r="GX62" s="260"/>
      <c r="GY62" s="708" t="s">
        <v>221</v>
      </c>
      <c r="GZ62" s="734"/>
      <c r="HA62" s="734"/>
      <c r="HB62" s="734"/>
      <c r="HC62" s="734"/>
      <c r="HD62" s="734"/>
      <c r="HE62" s="735"/>
      <c r="HF62" s="710" t="str">
        <f>IF($AA$62="","",$X$15/500)</f>
        <v/>
      </c>
      <c r="HG62" s="711"/>
      <c r="HH62" s="712"/>
      <c r="HI62" s="243"/>
      <c r="HJ62" s="713" t="str">
        <f>IF(HF62="","",HF62*11)</f>
        <v/>
      </c>
      <c r="HK62" s="714"/>
      <c r="HL62" s="714"/>
      <c r="HM62" s="714"/>
      <c r="HN62" s="715"/>
    </row>
    <row r="63" spans="1:222" x14ac:dyDescent="0.25">
      <c r="Q63" s="708" t="s">
        <v>222</v>
      </c>
      <c r="R63" s="709"/>
      <c r="S63" s="709"/>
      <c r="T63" s="709"/>
      <c r="U63" s="709"/>
      <c r="V63" s="709"/>
      <c r="W63" s="709"/>
      <c r="X63" s="710" t="str">
        <f>IF($AA$63="","",$J$11/500)</f>
        <v/>
      </c>
      <c r="Y63" s="711"/>
      <c r="Z63" s="712"/>
      <c r="AA63" s="243"/>
      <c r="AB63" s="713" t="str">
        <f t="shared" ref="AB63:AB64" si="0">IF(X63="","",X63*11)</f>
        <v/>
      </c>
      <c r="AC63" s="714"/>
      <c r="AD63" s="714"/>
      <c r="AE63" s="714"/>
      <c r="AF63" s="715"/>
      <c r="BB63" s="708" t="s">
        <v>222</v>
      </c>
      <c r="BC63" s="709"/>
      <c r="BD63" s="709"/>
      <c r="BE63" s="709"/>
      <c r="BF63" s="709"/>
      <c r="BG63" s="709"/>
      <c r="BH63" s="709"/>
      <c r="BI63" s="710" t="str">
        <f>IF($AA$63="","",$Q$11/500)</f>
        <v/>
      </c>
      <c r="BJ63" s="711"/>
      <c r="BK63" s="712"/>
      <c r="BL63" s="243"/>
      <c r="BM63" s="713" t="str">
        <f t="shared" ref="BM63:BM64" si="1">IF(BI63="","",BI63*11)</f>
        <v/>
      </c>
      <c r="BN63" s="714"/>
      <c r="BO63" s="714"/>
      <c r="BP63" s="714"/>
      <c r="BQ63" s="715"/>
      <c r="CM63" s="708" t="s">
        <v>222</v>
      </c>
      <c r="CN63" s="709"/>
      <c r="CO63" s="709"/>
      <c r="CP63" s="709"/>
      <c r="CQ63" s="709"/>
      <c r="CR63" s="709"/>
      <c r="CS63" s="709"/>
      <c r="CT63" s="710" t="str">
        <f>IF($AA$63="","",$X$11/500)</f>
        <v/>
      </c>
      <c r="CU63" s="711"/>
      <c r="CV63" s="712"/>
      <c r="CW63" s="243"/>
      <c r="CX63" s="713" t="str">
        <f t="shared" ref="CX63:CX64" si="2">IF(CT63="","",CT63*11)</f>
        <v/>
      </c>
      <c r="CY63" s="714"/>
      <c r="CZ63" s="714"/>
      <c r="DA63" s="714"/>
      <c r="DB63" s="715"/>
      <c r="DY63" s="708" t="s">
        <v>222</v>
      </c>
      <c r="DZ63" s="709"/>
      <c r="EA63" s="709"/>
      <c r="EB63" s="709"/>
      <c r="EC63" s="709"/>
      <c r="ED63" s="709"/>
      <c r="EE63" s="709"/>
      <c r="EF63" s="710" t="str">
        <f>IF($AA$63="","",$J$15/500)</f>
        <v/>
      </c>
      <c r="EG63" s="711"/>
      <c r="EH63" s="712"/>
      <c r="EI63" s="243"/>
      <c r="EJ63" s="713" t="str">
        <f t="shared" ref="EJ63:EJ64" si="3">IF(EF63="","",EF63*11)</f>
        <v/>
      </c>
      <c r="EK63" s="714"/>
      <c r="EL63" s="714"/>
      <c r="EM63" s="714"/>
      <c r="EN63" s="715"/>
      <c r="FL63" s="708" t="s">
        <v>222</v>
      </c>
      <c r="FM63" s="709"/>
      <c r="FN63" s="709"/>
      <c r="FO63" s="709"/>
      <c r="FP63" s="709"/>
      <c r="FQ63" s="709"/>
      <c r="FR63" s="709"/>
      <c r="FS63" s="710" t="str">
        <f>IF($AA$63="","",$Q$15/500)</f>
        <v/>
      </c>
      <c r="FT63" s="711"/>
      <c r="FU63" s="712"/>
      <c r="FV63" s="243"/>
      <c r="FW63" s="713" t="str">
        <f t="shared" ref="FW63:FW64" si="4">IF(FS63="","",FS63*11)</f>
        <v/>
      </c>
      <c r="FX63" s="714"/>
      <c r="FY63" s="714"/>
      <c r="FZ63" s="714"/>
      <c r="GA63" s="715"/>
      <c r="GY63" s="708" t="s">
        <v>222</v>
      </c>
      <c r="GZ63" s="709"/>
      <c r="HA63" s="709"/>
      <c r="HB63" s="709"/>
      <c r="HC63" s="709"/>
      <c r="HD63" s="709"/>
      <c r="HE63" s="709"/>
      <c r="HF63" s="710" t="str">
        <f>IF($AA$63="","",$X$15/500)</f>
        <v/>
      </c>
      <c r="HG63" s="711"/>
      <c r="HH63" s="712"/>
      <c r="HI63" s="243"/>
      <c r="HJ63" s="713" t="str">
        <f t="shared" ref="HJ63:HJ64" si="5">IF(HF63="","",HF63*11)</f>
        <v/>
      </c>
      <c r="HK63" s="714"/>
      <c r="HL63" s="714"/>
      <c r="HM63" s="714"/>
      <c r="HN63" s="715"/>
    </row>
    <row r="64" spans="1:222" x14ac:dyDescent="0.25">
      <c r="Q64" s="708" t="s">
        <v>223</v>
      </c>
      <c r="R64" s="709"/>
      <c r="S64" s="709"/>
      <c r="T64" s="709"/>
      <c r="U64" s="709"/>
      <c r="V64" s="709"/>
      <c r="W64" s="709"/>
      <c r="X64" s="710" t="str">
        <f>IF($AA$64="","",$J$11/500)</f>
        <v/>
      </c>
      <c r="Y64" s="711"/>
      <c r="Z64" s="712"/>
      <c r="AA64" s="243"/>
      <c r="AB64" s="713" t="str">
        <f t="shared" si="0"/>
        <v/>
      </c>
      <c r="AC64" s="714"/>
      <c r="AD64" s="714"/>
      <c r="AE64" s="714"/>
      <c r="AF64" s="715"/>
      <c r="BB64" s="708" t="s">
        <v>223</v>
      </c>
      <c r="BC64" s="709"/>
      <c r="BD64" s="709"/>
      <c r="BE64" s="709"/>
      <c r="BF64" s="709"/>
      <c r="BG64" s="709"/>
      <c r="BH64" s="709"/>
      <c r="BI64" s="710" t="str">
        <f>IF($AA$64="","",$Q$11/500)</f>
        <v/>
      </c>
      <c r="BJ64" s="711"/>
      <c r="BK64" s="712"/>
      <c r="BL64" s="243"/>
      <c r="BM64" s="713" t="str">
        <f t="shared" si="1"/>
        <v/>
      </c>
      <c r="BN64" s="714"/>
      <c r="BO64" s="714"/>
      <c r="BP64" s="714"/>
      <c r="BQ64" s="715"/>
      <c r="CM64" s="708" t="s">
        <v>223</v>
      </c>
      <c r="CN64" s="709"/>
      <c r="CO64" s="709"/>
      <c r="CP64" s="709"/>
      <c r="CQ64" s="709"/>
      <c r="CR64" s="709"/>
      <c r="CS64" s="709"/>
      <c r="CT64" s="710" t="str">
        <f>IF($AA$64="","",$X$11/500)</f>
        <v/>
      </c>
      <c r="CU64" s="711"/>
      <c r="CV64" s="712"/>
      <c r="CW64" s="243"/>
      <c r="CX64" s="713" t="str">
        <f t="shared" si="2"/>
        <v/>
      </c>
      <c r="CY64" s="714"/>
      <c r="CZ64" s="714"/>
      <c r="DA64" s="714"/>
      <c r="DB64" s="715"/>
      <c r="DY64" s="708" t="s">
        <v>223</v>
      </c>
      <c r="DZ64" s="709"/>
      <c r="EA64" s="709"/>
      <c r="EB64" s="709"/>
      <c r="EC64" s="709"/>
      <c r="ED64" s="709"/>
      <c r="EE64" s="709"/>
      <c r="EF64" s="710" t="str">
        <f>IF($AA$64="","",$J$15/500)</f>
        <v/>
      </c>
      <c r="EG64" s="711"/>
      <c r="EH64" s="712"/>
      <c r="EI64" s="243"/>
      <c r="EJ64" s="713" t="str">
        <f t="shared" si="3"/>
        <v/>
      </c>
      <c r="EK64" s="714"/>
      <c r="EL64" s="714"/>
      <c r="EM64" s="714"/>
      <c r="EN64" s="715"/>
      <c r="FL64" s="708" t="s">
        <v>223</v>
      </c>
      <c r="FM64" s="709"/>
      <c r="FN64" s="709"/>
      <c r="FO64" s="709"/>
      <c r="FP64" s="709"/>
      <c r="FQ64" s="709"/>
      <c r="FR64" s="709"/>
      <c r="FS64" s="710" t="str">
        <f>IF($AA$64="","",$Q$15/500)</f>
        <v/>
      </c>
      <c r="FT64" s="711"/>
      <c r="FU64" s="712"/>
      <c r="FV64" s="243"/>
      <c r="FW64" s="713" t="str">
        <f t="shared" si="4"/>
        <v/>
      </c>
      <c r="FX64" s="714"/>
      <c r="FY64" s="714"/>
      <c r="FZ64" s="714"/>
      <c r="GA64" s="715"/>
      <c r="GY64" s="708" t="s">
        <v>223</v>
      </c>
      <c r="GZ64" s="709"/>
      <c r="HA64" s="709"/>
      <c r="HB64" s="709"/>
      <c r="HC64" s="709"/>
      <c r="HD64" s="709"/>
      <c r="HE64" s="709"/>
      <c r="HF64" s="710" t="str">
        <f>IF($AA$64="","",$X$15/500)</f>
        <v/>
      </c>
      <c r="HG64" s="711"/>
      <c r="HH64" s="712"/>
      <c r="HI64" s="243"/>
      <c r="HJ64" s="713" t="str">
        <f t="shared" si="5"/>
        <v/>
      </c>
      <c r="HK64" s="714"/>
      <c r="HL64" s="714"/>
      <c r="HM64" s="714"/>
      <c r="HN64" s="715"/>
    </row>
    <row r="65" spans="1:222" x14ac:dyDescent="0.25">
      <c r="Q65" s="708" t="s">
        <v>224</v>
      </c>
      <c r="R65" s="709"/>
      <c r="S65" s="709"/>
      <c r="T65" s="709"/>
      <c r="U65" s="709"/>
      <c r="V65" s="709"/>
      <c r="W65" s="709"/>
      <c r="X65" s="710" t="str">
        <f>IF($AA$65="","",$J$11/500)</f>
        <v/>
      </c>
      <c r="Y65" s="711"/>
      <c r="Z65" s="712"/>
      <c r="AA65" s="243"/>
      <c r="AB65" s="713" t="str">
        <f>IF(X65="","",X65*11)</f>
        <v/>
      </c>
      <c r="AC65" s="714"/>
      <c r="AD65" s="714"/>
      <c r="AE65" s="714"/>
      <c r="AF65" s="715"/>
      <c r="BB65" s="708" t="s">
        <v>224</v>
      </c>
      <c r="BC65" s="709"/>
      <c r="BD65" s="709"/>
      <c r="BE65" s="709"/>
      <c r="BF65" s="709"/>
      <c r="BG65" s="709"/>
      <c r="BH65" s="709"/>
      <c r="BI65" s="710" t="str">
        <f>IF($AA$65="","",$Q$11/500)</f>
        <v/>
      </c>
      <c r="BJ65" s="711"/>
      <c r="BK65" s="712"/>
      <c r="BL65" s="243"/>
      <c r="BM65" s="713" t="str">
        <f>IF(BI65="","",BI65*11)</f>
        <v/>
      </c>
      <c r="BN65" s="714"/>
      <c r="BO65" s="714"/>
      <c r="BP65" s="714"/>
      <c r="BQ65" s="715"/>
      <c r="CM65" s="708" t="s">
        <v>224</v>
      </c>
      <c r="CN65" s="709"/>
      <c r="CO65" s="709"/>
      <c r="CP65" s="709"/>
      <c r="CQ65" s="709"/>
      <c r="CR65" s="709"/>
      <c r="CS65" s="709"/>
      <c r="CT65" s="710" t="str">
        <f>IF($AA$65="","",$X$11/500)</f>
        <v/>
      </c>
      <c r="CU65" s="711"/>
      <c r="CV65" s="712"/>
      <c r="CW65" s="243"/>
      <c r="CX65" s="713" t="str">
        <f>IF(CT65="","",CT65*11)</f>
        <v/>
      </c>
      <c r="CY65" s="714"/>
      <c r="CZ65" s="714"/>
      <c r="DA65" s="714"/>
      <c r="DB65" s="715"/>
      <c r="DY65" s="708" t="s">
        <v>224</v>
      </c>
      <c r="DZ65" s="709"/>
      <c r="EA65" s="709"/>
      <c r="EB65" s="709"/>
      <c r="EC65" s="709"/>
      <c r="ED65" s="709"/>
      <c r="EE65" s="709"/>
      <c r="EF65" s="710" t="str">
        <f>IF($AA$65="","",$J$15/500)</f>
        <v/>
      </c>
      <c r="EG65" s="711"/>
      <c r="EH65" s="712"/>
      <c r="EI65" s="243"/>
      <c r="EJ65" s="713" t="str">
        <f>IF(EF65="","",EF65*11)</f>
        <v/>
      </c>
      <c r="EK65" s="714"/>
      <c r="EL65" s="714"/>
      <c r="EM65" s="714"/>
      <c r="EN65" s="715"/>
      <c r="FL65" s="708" t="s">
        <v>224</v>
      </c>
      <c r="FM65" s="709"/>
      <c r="FN65" s="709"/>
      <c r="FO65" s="709"/>
      <c r="FP65" s="709"/>
      <c r="FQ65" s="709"/>
      <c r="FR65" s="709"/>
      <c r="FS65" s="710" t="str">
        <f>IF($AA$65="","",$Q$15/500)</f>
        <v/>
      </c>
      <c r="FT65" s="711"/>
      <c r="FU65" s="712"/>
      <c r="FV65" s="243"/>
      <c r="FW65" s="713" t="str">
        <f>IF(FS65="","",FS65*11)</f>
        <v/>
      </c>
      <c r="FX65" s="714"/>
      <c r="FY65" s="714"/>
      <c r="FZ65" s="714"/>
      <c r="GA65" s="715"/>
      <c r="GY65" s="708" t="s">
        <v>224</v>
      </c>
      <c r="GZ65" s="709"/>
      <c r="HA65" s="709"/>
      <c r="HB65" s="709"/>
      <c r="HC65" s="709"/>
      <c r="HD65" s="709"/>
      <c r="HE65" s="709"/>
      <c r="HF65" s="710" t="str">
        <f>IF($AA$65="","",$X$15/500)</f>
        <v/>
      </c>
      <c r="HG65" s="711"/>
      <c r="HH65" s="712"/>
      <c r="HI65" s="243"/>
      <c r="HJ65" s="713" t="str">
        <f>IF(HF65="","",HF65*11)</f>
        <v/>
      </c>
      <c r="HK65" s="714"/>
      <c r="HL65" s="714"/>
      <c r="HM65" s="714"/>
      <c r="HN65" s="715"/>
    </row>
    <row r="66" spans="1:222" x14ac:dyDescent="0.25">
      <c r="Q66" s="708" t="s">
        <v>229</v>
      </c>
      <c r="R66" s="709"/>
      <c r="S66" s="709"/>
      <c r="T66" s="709"/>
      <c r="U66" s="709"/>
      <c r="V66" s="709"/>
      <c r="W66" s="709"/>
      <c r="X66" s="710"/>
      <c r="Y66" s="711"/>
      <c r="Z66" s="712"/>
      <c r="AA66" s="243">
        <v>1</v>
      </c>
      <c r="AB66" s="713" t="str">
        <f>IF(X66="","",X66*11)</f>
        <v/>
      </c>
      <c r="AC66" s="714"/>
      <c r="AD66" s="714"/>
      <c r="AE66" s="714"/>
      <c r="AF66" s="715"/>
      <c r="BB66" s="708" t="s">
        <v>229</v>
      </c>
      <c r="BC66" s="709"/>
      <c r="BD66" s="709"/>
      <c r="BE66" s="709"/>
      <c r="BF66" s="709"/>
      <c r="BG66" s="709"/>
      <c r="BH66" s="709"/>
      <c r="BI66" s="710" t="str">
        <f>IF($AA$65="","",$J$11/500)</f>
        <v/>
      </c>
      <c r="BJ66" s="711"/>
      <c r="BK66" s="712"/>
      <c r="BL66" s="243"/>
      <c r="BM66" s="713" t="str">
        <f>IF(BI66="","",BI66*11)</f>
        <v/>
      </c>
      <c r="BN66" s="714"/>
      <c r="BO66" s="714"/>
      <c r="BP66" s="714"/>
      <c r="BQ66" s="715"/>
      <c r="CM66" s="708" t="s">
        <v>229</v>
      </c>
      <c r="CN66" s="709"/>
      <c r="CO66" s="709"/>
      <c r="CP66" s="709"/>
      <c r="CQ66" s="709"/>
      <c r="CR66" s="709"/>
      <c r="CS66" s="709"/>
      <c r="CT66" s="710" t="str">
        <f>IF($AA$65="","",$J$11/500)</f>
        <v/>
      </c>
      <c r="CU66" s="711"/>
      <c r="CV66" s="712"/>
      <c r="CW66" s="243"/>
      <c r="CX66" s="713" t="str">
        <f>IF(CT66="","",CT66*11)</f>
        <v/>
      </c>
      <c r="CY66" s="714"/>
      <c r="CZ66" s="714"/>
      <c r="DA66" s="714"/>
      <c r="DB66" s="715"/>
      <c r="DY66" s="708" t="s">
        <v>229</v>
      </c>
      <c r="DZ66" s="709"/>
      <c r="EA66" s="709"/>
      <c r="EB66" s="709"/>
      <c r="EC66" s="709"/>
      <c r="ED66" s="709"/>
      <c r="EE66" s="709"/>
      <c r="EF66" s="710" t="str">
        <f>IF($AA$65="","",$J$11/500)</f>
        <v/>
      </c>
      <c r="EG66" s="711"/>
      <c r="EH66" s="712"/>
      <c r="EI66" s="243"/>
      <c r="EJ66" s="713" t="str">
        <f>IF(EF66="","",EF66*11)</f>
        <v/>
      </c>
      <c r="EK66" s="714"/>
      <c r="EL66" s="714"/>
      <c r="EM66" s="714"/>
      <c r="EN66" s="715"/>
      <c r="FL66" s="708" t="s">
        <v>229</v>
      </c>
      <c r="FM66" s="709"/>
      <c r="FN66" s="709"/>
      <c r="FO66" s="709"/>
      <c r="FP66" s="709"/>
      <c r="FQ66" s="709"/>
      <c r="FR66" s="709"/>
      <c r="FS66" s="710" t="str">
        <f>IF($AA$65="","",$J$11/500)</f>
        <v/>
      </c>
      <c r="FT66" s="711"/>
      <c r="FU66" s="712"/>
      <c r="FV66" s="243"/>
      <c r="FW66" s="713" t="str">
        <f>IF(FS66="","",FS66*11)</f>
        <v/>
      </c>
      <c r="FX66" s="714"/>
      <c r="FY66" s="714"/>
      <c r="FZ66" s="714"/>
      <c r="GA66" s="715"/>
      <c r="GY66" s="708" t="s">
        <v>229</v>
      </c>
      <c r="GZ66" s="709"/>
      <c r="HA66" s="709"/>
      <c r="HB66" s="709"/>
      <c r="HC66" s="709"/>
      <c r="HD66" s="709"/>
      <c r="HE66" s="709"/>
      <c r="HF66" s="710" t="str">
        <f>IF($AA$65="","",$J$11/500)</f>
        <v/>
      </c>
      <c r="HG66" s="711"/>
      <c r="HH66" s="712"/>
      <c r="HI66" s="243"/>
      <c r="HJ66" s="713" t="str">
        <f>IF(HF66="","",HF66*11)</f>
        <v/>
      </c>
      <c r="HK66" s="714"/>
      <c r="HL66" s="714"/>
      <c r="HM66" s="714"/>
      <c r="HN66" s="715"/>
    </row>
    <row r="67" spans="1:222" x14ac:dyDescent="0.25">
      <c r="Q67" s="708" t="s">
        <v>26</v>
      </c>
      <c r="R67" s="709"/>
      <c r="S67" s="709"/>
      <c r="T67" s="709"/>
      <c r="U67" s="709"/>
      <c r="V67" s="709"/>
      <c r="W67" s="709"/>
      <c r="X67" s="710"/>
      <c r="Y67" s="711"/>
      <c r="Z67" s="712"/>
      <c r="AA67" s="243">
        <v>1</v>
      </c>
      <c r="AB67" s="713" t="str">
        <f>IF(X67="","",X67*11)</f>
        <v/>
      </c>
      <c r="AC67" s="714"/>
      <c r="AD67" s="714"/>
      <c r="AE67" s="714"/>
      <c r="AF67" s="715"/>
      <c r="BB67" s="708" t="s">
        <v>26</v>
      </c>
      <c r="BC67" s="709"/>
      <c r="BD67" s="709"/>
      <c r="BE67" s="709"/>
      <c r="BF67" s="709"/>
      <c r="BG67" s="709"/>
      <c r="BH67" s="709"/>
      <c r="BI67" s="710" t="str">
        <f>IF($AA$65="","",$J$11/500)</f>
        <v/>
      </c>
      <c r="BJ67" s="711"/>
      <c r="BK67" s="712"/>
      <c r="BL67" s="243"/>
      <c r="BM67" s="713" t="str">
        <f>IF(BI67="","",BI67*11)</f>
        <v/>
      </c>
      <c r="BN67" s="714"/>
      <c r="BO67" s="714"/>
      <c r="BP67" s="714"/>
      <c r="BQ67" s="715"/>
      <c r="CM67" s="708" t="s">
        <v>26</v>
      </c>
      <c r="CN67" s="709"/>
      <c r="CO67" s="709"/>
      <c r="CP67" s="709"/>
      <c r="CQ67" s="709"/>
      <c r="CR67" s="709"/>
      <c r="CS67" s="709"/>
      <c r="CT67" s="710" t="str">
        <f>IF($AA$65="","",$J$11/500)</f>
        <v/>
      </c>
      <c r="CU67" s="711"/>
      <c r="CV67" s="712"/>
      <c r="CW67" s="243"/>
      <c r="CX67" s="713" t="str">
        <f>IF(CT67="","",CT67*11)</f>
        <v/>
      </c>
      <c r="CY67" s="714"/>
      <c r="CZ67" s="714"/>
      <c r="DA67" s="714"/>
      <c r="DB67" s="715"/>
      <c r="DY67" s="708" t="s">
        <v>26</v>
      </c>
      <c r="DZ67" s="709"/>
      <c r="EA67" s="709"/>
      <c r="EB67" s="709"/>
      <c r="EC67" s="709"/>
      <c r="ED67" s="709"/>
      <c r="EE67" s="709"/>
      <c r="EF67" s="710" t="str">
        <f>IF($AA$65="","",$J$11/500)</f>
        <v/>
      </c>
      <c r="EG67" s="711"/>
      <c r="EH67" s="712"/>
      <c r="EI67" s="243"/>
      <c r="EJ67" s="713" t="str">
        <f>IF(EF67="","",EF67*11)</f>
        <v/>
      </c>
      <c r="EK67" s="714"/>
      <c r="EL67" s="714"/>
      <c r="EM67" s="714"/>
      <c r="EN67" s="715"/>
      <c r="FL67" s="708" t="s">
        <v>26</v>
      </c>
      <c r="FM67" s="709"/>
      <c r="FN67" s="709"/>
      <c r="FO67" s="709"/>
      <c r="FP67" s="709"/>
      <c r="FQ67" s="709"/>
      <c r="FR67" s="709"/>
      <c r="FS67" s="710" t="str">
        <f>IF($AA$65="","",$J$11/500)</f>
        <v/>
      </c>
      <c r="FT67" s="711"/>
      <c r="FU67" s="712"/>
      <c r="FV67" s="243"/>
      <c r="FW67" s="713" t="str">
        <f>IF(FS67="","",FS67*11)</f>
        <v/>
      </c>
      <c r="FX67" s="714"/>
      <c r="FY67" s="714"/>
      <c r="FZ67" s="714"/>
      <c r="GA67" s="715"/>
      <c r="GY67" s="708" t="s">
        <v>26</v>
      </c>
      <c r="GZ67" s="709"/>
      <c r="HA67" s="709"/>
      <c r="HB67" s="709"/>
      <c r="HC67" s="709"/>
      <c r="HD67" s="709"/>
      <c r="HE67" s="709"/>
      <c r="HF67" s="710" t="str">
        <f>IF($AA$65="","",$J$11/500)</f>
        <v/>
      </c>
      <c r="HG67" s="711"/>
      <c r="HH67" s="712"/>
      <c r="HI67" s="243"/>
      <c r="HJ67" s="713" t="str">
        <f>IF(HF67="","",HF67*11)</f>
        <v/>
      </c>
      <c r="HK67" s="714"/>
      <c r="HL67" s="714"/>
      <c r="HM67" s="714"/>
      <c r="HN67" s="715"/>
    </row>
    <row r="68" spans="1:222" x14ac:dyDescent="0.25">
      <c r="Q68" s="708" t="s">
        <v>230</v>
      </c>
      <c r="R68" s="709"/>
      <c r="S68" s="709"/>
      <c r="T68" s="709"/>
      <c r="U68" s="709"/>
      <c r="V68" s="709"/>
      <c r="W68" s="709"/>
      <c r="X68" s="710">
        <v>150</v>
      </c>
      <c r="Y68" s="711"/>
      <c r="Z68" s="712"/>
      <c r="AA68" s="243"/>
      <c r="AB68" s="713">
        <f>IF($X$68="","",($J$11/$X$68)*1.3)</f>
        <v>41.6</v>
      </c>
      <c r="AC68" s="714"/>
      <c r="AD68" s="714"/>
      <c r="AE68" s="714"/>
      <c r="AF68" s="715"/>
      <c r="BB68" s="708" t="s">
        <v>230</v>
      </c>
      <c r="BC68" s="709"/>
      <c r="BD68" s="709"/>
      <c r="BE68" s="709"/>
      <c r="BF68" s="709"/>
      <c r="BG68" s="709"/>
      <c r="BH68" s="709"/>
      <c r="BI68" s="710">
        <f>IF($X$68="","",$X$68)</f>
        <v>150</v>
      </c>
      <c r="BJ68" s="711"/>
      <c r="BK68" s="712"/>
      <c r="BL68" s="243"/>
      <c r="BM68" s="713">
        <f>IF($X$68="","",($Q$11/$X$68)*1.3)</f>
        <v>0</v>
      </c>
      <c r="BN68" s="714"/>
      <c r="BO68" s="714"/>
      <c r="BP68" s="714"/>
      <c r="BQ68" s="715"/>
      <c r="CM68" s="708" t="s">
        <v>230</v>
      </c>
      <c r="CN68" s="709"/>
      <c r="CO68" s="709"/>
      <c r="CP68" s="709"/>
      <c r="CQ68" s="709"/>
      <c r="CR68" s="709"/>
      <c r="CS68" s="709"/>
      <c r="CT68" s="710">
        <f>IF($X$68="","",$X$68)</f>
        <v>150</v>
      </c>
      <c r="CU68" s="711"/>
      <c r="CV68" s="712"/>
      <c r="CW68" s="243"/>
      <c r="CX68" s="713">
        <f>IF($X$68="","",($X$11/$X$68)*1.3)</f>
        <v>0</v>
      </c>
      <c r="CY68" s="714"/>
      <c r="CZ68" s="714"/>
      <c r="DA68" s="714"/>
      <c r="DB68" s="715"/>
      <c r="DY68" s="708" t="s">
        <v>230</v>
      </c>
      <c r="DZ68" s="709"/>
      <c r="EA68" s="709"/>
      <c r="EB68" s="709"/>
      <c r="EC68" s="709"/>
      <c r="ED68" s="709"/>
      <c r="EE68" s="709"/>
      <c r="EF68" s="710">
        <f>IF($X$68="","",$X$68)</f>
        <v>150</v>
      </c>
      <c r="EG68" s="711"/>
      <c r="EH68" s="712"/>
      <c r="EI68" s="243"/>
      <c r="EJ68" s="713">
        <f>IF($X$68="","",($J$15/$X$68)*1.3)</f>
        <v>0</v>
      </c>
      <c r="EK68" s="714"/>
      <c r="EL68" s="714"/>
      <c r="EM68" s="714"/>
      <c r="EN68" s="715"/>
      <c r="FL68" s="708" t="s">
        <v>230</v>
      </c>
      <c r="FM68" s="709"/>
      <c r="FN68" s="709"/>
      <c r="FO68" s="709"/>
      <c r="FP68" s="709"/>
      <c r="FQ68" s="709"/>
      <c r="FR68" s="709"/>
      <c r="FS68" s="710">
        <f>IF($X$68="","",$X$68)</f>
        <v>150</v>
      </c>
      <c r="FT68" s="711"/>
      <c r="FU68" s="712"/>
      <c r="FV68" s="243"/>
      <c r="FW68" s="713">
        <f>IF($X$68="","",($Q$15/$X$68)*1.3)</f>
        <v>0</v>
      </c>
      <c r="FX68" s="714"/>
      <c r="FY68" s="714"/>
      <c r="FZ68" s="714"/>
      <c r="GA68" s="715"/>
      <c r="GY68" s="708" t="s">
        <v>230</v>
      </c>
      <c r="GZ68" s="709"/>
      <c r="HA68" s="709"/>
      <c r="HB68" s="709"/>
      <c r="HC68" s="709"/>
      <c r="HD68" s="709"/>
      <c r="HE68" s="709"/>
      <c r="HF68" s="710">
        <f>IF($X$68="","",$X$68)</f>
        <v>150</v>
      </c>
      <c r="HG68" s="711"/>
      <c r="HH68" s="712"/>
      <c r="HI68" s="243"/>
      <c r="HJ68" s="713">
        <f>IF($X$68="","",($X$15/$X$68)*1.3)</f>
        <v>0</v>
      </c>
      <c r="HK68" s="714"/>
      <c r="HL68" s="714"/>
      <c r="HM68" s="714"/>
      <c r="HN68" s="715"/>
    </row>
    <row r="69" spans="1:222" x14ac:dyDescent="0.25">
      <c r="Q69" s="284"/>
      <c r="R69" s="285"/>
      <c r="S69" s="285"/>
      <c r="T69" s="285"/>
      <c r="U69" s="285"/>
      <c r="V69" s="285"/>
      <c r="W69" s="725" t="s">
        <v>23</v>
      </c>
      <c r="X69" s="726"/>
      <c r="Y69" s="726"/>
      <c r="Z69" s="726"/>
      <c r="AA69" s="727">
        <f>SUM(AB61:AF68,AG27)</f>
        <v>92.891428571428577</v>
      </c>
      <c r="AB69" s="475"/>
      <c r="AC69" s="475"/>
      <c r="AD69" s="475"/>
      <c r="AE69" s="475"/>
      <c r="AF69" s="728"/>
      <c r="BB69" s="284"/>
      <c r="BC69" s="285"/>
      <c r="BD69" s="285"/>
      <c r="BE69" s="285"/>
      <c r="BF69" s="285"/>
      <c r="BG69" s="285"/>
      <c r="BH69" s="725" t="s">
        <v>214</v>
      </c>
      <c r="BI69" s="726"/>
      <c r="BJ69" s="726"/>
      <c r="BK69" s="726"/>
      <c r="BL69" s="727">
        <f>SUM(BM61:BQ68,BR27)</f>
        <v>0</v>
      </c>
      <c r="BM69" s="475"/>
      <c r="BN69" s="475"/>
      <c r="BO69" s="475"/>
      <c r="BP69" s="475"/>
      <c r="BQ69" s="728"/>
      <c r="CM69" s="284"/>
      <c r="CN69" s="285"/>
      <c r="CO69" s="285"/>
      <c r="CP69" s="285"/>
      <c r="CQ69" s="285"/>
      <c r="CR69" s="285"/>
      <c r="CS69" s="725" t="s">
        <v>214</v>
      </c>
      <c r="CT69" s="726"/>
      <c r="CU69" s="726"/>
      <c r="CV69" s="726"/>
      <c r="CW69" s="727">
        <f>SUM(CX61:DB68,DC27)</f>
        <v>0</v>
      </c>
      <c r="CX69" s="475"/>
      <c r="CY69" s="475"/>
      <c r="CZ69" s="475"/>
      <c r="DA69" s="475"/>
      <c r="DB69" s="728"/>
      <c r="DY69" s="284"/>
      <c r="DZ69" s="285"/>
      <c r="EA69" s="285"/>
      <c r="EB69" s="285"/>
      <c r="EC69" s="285"/>
      <c r="ED69" s="285"/>
      <c r="EE69" s="725" t="s">
        <v>214</v>
      </c>
      <c r="EF69" s="726"/>
      <c r="EG69" s="726"/>
      <c r="EH69" s="726"/>
      <c r="EI69" s="727">
        <f>SUM(EJ61:EN68,EO27)</f>
        <v>0</v>
      </c>
      <c r="EJ69" s="475"/>
      <c r="EK69" s="475"/>
      <c r="EL69" s="475"/>
      <c r="EM69" s="475"/>
      <c r="EN69" s="728"/>
      <c r="FL69" s="284"/>
      <c r="FM69" s="285"/>
      <c r="FN69" s="285"/>
      <c r="FO69" s="285"/>
      <c r="FP69" s="285"/>
      <c r="FQ69" s="285"/>
      <c r="FR69" s="725" t="s">
        <v>214</v>
      </c>
      <c r="FS69" s="726"/>
      <c r="FT69" s="726"/>
      <c r="FU69" s="726"/>
      <c r="FV69" s="727">
        <f>SUM(FW61:GA68,GB27)</f>
        <v>0</v>
      </c>
      <c r="FW69" s="475"/>
      <c r="FX69" s="475"/>
      <c r="FY69" s="475"/>
      <c r="FZ69" s="475"/>
      <c r="GA69" s="728"/>
      <c r="GY69" s="284"/>
      <c r="GZ69" s="285"/>
      <c r="HA69" s="285"/>
      <c r="HB69" s="285"/>
      <c r="HC69" s="285"/>
      <c r="HD69" s="285"/>
      <c r="HE69" s="725" t="s">
        <v>214</v>
      </c>
      <c r="HF69" s="726"/>
      <c r="HG69" s="726"/>
      <c r="HH69" s="726"/>
      <c r="HI69" s="727">
        <f>SUM(HJ61:HN68,HO27)</f>
        <v>0</v>
      </c>
      <c r="HJ69" s="475"/>
      <c r="HK69" s="475"/>
      <c r="HL69" s="475"/>
      <c r="HM69" s="475"/>
      <c r="HN69" s="728"/>
    </row>
    <row r="71" spans="1:222" x14ac:dyDescent="0.25">
      <c r="A71" s="773" t="s">
        <v>45</v>
      </c>
      <c r="B71" s="773"/>
      <c r="C71" s="773"/>
      <c r="D71" s="773"/>
      <c r="E71" s="773"/>
      <c r="F71" s="641"/>
      <c r="G71" s="641"/>
      <c r="H71" s="774">
        <f>J11</f>
        <v>4800</v>
      </c>
      <c r="I71" s="775"/>
      <c r="J71" s="641"/>
      <c r="K71" s="641"/>
      <c r="L71" s="641"/>
      <c r="M71" s="641"/>
      <c r="T71" s="271"/>
      <c r="U71" s="773" t="s">
        <v>45</v>
      </c>
      <c r="V71" s="773"/>
      <c r="W71" s="773"/>
      <c r="X71" s="773"/>
      <c r="Y71" s="773"/>
      <c r="Z71" s="641"/>
      <c r="AA71" s="641"/>
      <c r="AB71" s="774">
        <f>Q11</f>
        <v>0</v>
      </c>
      <c r="AC71" s="775"/>
      <c r="AD71" s="641"/>
      <c r="AE71" s="641"/>
      <c r="AF71" s="641"/>
      <c r="AG71" s="641"/>
      <c r="AO71" s="773" t="s">
        <v>45</v>
      </c>
      <c r="AP71" s="773"/>
      <c r="AQ71" s="773"/>
      <c r="AR71" s="773"/>
      <c r="AS71" s="773"/>
      <c r="AT71" s="641"/>
      <c r="AU71" s="641"/>
      <c r="AV71" s="774">
        <f>X11</f>
        <v>0</v>
      </c>
      <c r="AW71" s="775"/>
      <c r="AX71" s="641"/>
      <c r="AY71" s="641"/>
      <c r="AZ71" s="641"/>
      <c r="BA71" s="641"/>
    </row>
    <row r="72" spans="1:222" x14ac:dyDescent="0.25">
      <c r="A72" s="695" t="s">
        <v>29</v>
      </c>
      <c r="B72" s="696"/>
      <c r="C72" s="696"/>
      <c r="D72" s="696"/>
      <c r="E72" s="696"/>
      <c r="F72" s="641"/>
      <c r="G72" s="641"/>
      <c r="H72" s="776">
        <f>J12</f>
        <v>1257.3314285714287</v>
      </c>
      <c r="I72" s="777"/>
      <c r="J72" s="778"/>
      <c r="K72" s="699"/>
      <c r="L72" s="699"/>
      <c r="M72" s="699"/>
      <c r="N72" s="699"/>
      <c r="O72" s="699"/>
      <c r="P72" s="699"/>
      <c r="Q72" s="743"/>
      <c r="U72" s="695" t="s">
        <v>29</v>
      </c>
      <c r="V72" s="696"/>
      <c r="W72" s="696"/>
      <c r="X72" s="696"/>
      <c r="Y72" s="696"/>
      <c r="Z72" s="641"/>
      <c r="AA72" s="641"/>
      <c r="AB72" s="776" t="str">
        <f>Q12</f>
        <v/>
      </c>
      <c r="AC72" s="777"/>
      <c r="AD72" s="778"/>
      <c r="AE72" s="699"/>
      <c r="AF72" s="699"/>
      <c r="AG72" s="699"/>
      <c r="AH72" s="699"/>
      <c r="AI72" s="699"/>
      <c r="AJ72" s="699"/>
      <c r="AK72" s="743"/>
      <c r="AO72" s="695" t="s">
        <v>29</v>
      </c>
      <c r="AP72" s="696"/>
      <c r="AQ72" s="696"/>
      <c r="AR72" s="696"/>
      <c r="AS72" s="696"/>
      <c r="AT72" s="641"/>
      <c r="AU72" s="641"/>
      <c r="AV72" s="776" t="str">
        <f>X12</f>
        <v/>
      </c>
      <c r="AW72" s="777"/>
      <c r="AX72" s="778"/>
      <c r="AY72" s="699"/>
      <c r="AZ72" s="699"/>
      <c r="BA72" s="699"/>
      <c r="BB72" s="699"/>
      <c r="BC72" s="699"/>
      <c r="BD72" s="699"/>
      <c r="BE72" s="743"/>
    </row>
    <row r="73" spans="1:222" x14ac:dyDescent="0.25">
      <c r="A73" s="695" t="s">
        <v>42</v>
      </c>
      <c r="B73" s="696"/>
      <c r="C73" s="696"/>
      <c r="D73" s="696"/>
      <c r="E73" s="696"/>
      <c r="F73" s="641"/>
      <c r="G73" s="641"/>
      <c r="H73" s="697">
        <f>H43</f>
        <v>69</v>
      </c>
      <c r="I73" s="698"/>
      <c r="J73" s="698"/>
      <c r="K73" s="699"/>
      <c r="L73" s="699"/>
      <c r="M73" s="699"/>
      <c r="N73" s="700">
        <f>H73/H72</f>
        <v>5.4878131916576145E-2</v>
      </c>
      <c r="O73" s="701"/>
      <c r="P73" s="702"/>
      <c r="Q73" s="703"/>
      <c r="U73" s="695" t="s">
        <v>42</v>
      </c>
      <c r="V73" s="696"/>
      <c r="W73" s="696"/>
      <c r="X73" s="696"/>
      <c r="Y73" s="696"/>
      <c r="Z73" s="641"/>
      <c r="AA73" s="641"/>
      <c r="AB73" s="697">
        <f>AS43</f>
        <v>69</v>
      </c>
      <c r="AC73" s="698"/>
      <c r="AD73" s="698"/>
      <c r="AE73" s="699"/>
      <c r="AF73" s="699"/>
      <c r="AG73" s="699"/>
      <c r="AH73" s="700" t="e">
        <f>AB73/AB72</f>
        <v>#VALUE!</v>
      </c>
      <c r="AI73" s="701"/>
      <c r="AJ73" s="702"/>
      <c r="AK73" s="703"/>
      <c r="AO73" s="695" t="s">
        <v>42</v>
      </c>
      <c r="AP73" s="696"/>
      <c r="AQ73" s="696"/>
      <c r="AR73" s="696"/>
      <c r="AS73" s="696"/>
      <c r="AT73" s="641"/>
      <c r="AU73" s="641"/>
      <c r="AV73" s="697">
        <f>CD43</f>
        <v>69</v>
      </c>
      <c r="AW73" s="698"/>
      <c r="AX73" s="698"/>
      <c r="AY73" s="699"/>
      <c r="AZ73" s="699"/>
      <c r="BA73" s="699"/>
      <c r="BB73" s="700" t="e">
        <f>AV73/AV72</f>
        <v>#VALUE!</v>
      </c>
      <c r="BC73" s="701"/>
      <c r="BD73" s="702"/>
      <c r="BE73" s="703"/>
    </row>
    <row r="74" spans="1:222" x14ac:dyDescent="0.25">
      <c r="A74" s="695" t="s">
        <v>46</v>
      </c>
      <c r="B74" s="696"/>
      <c r="C74" s="696"/>
      <c r="D74" s="696"/>
      <c r="E74" s="696"/>
      <c r="F74" s="641"/>
      <c r="G74" s="641"/>
      <c r="H74" s="697">
        <f>J62</f>
        <v>536</v>
      </c>
      <c r="I74" s="698"/>
      <c r="J74" s="698"/>
      <c r="K74" s="699"/>
      <c r="L74" s="699"/>
      <c r="M74" s="699"/>
      <c r="N74" s="700">
        <f>H74/H72</f>
        <v>0.42629969140992485</v>
      </c>
      <c r="O74" s="701"/>
      <c r="P74" s="702"/>
      <c r="Q74" s="703"/>
      <c r="U74" s="695" t="s">
        <v>46</v>
      </c>
      <c r="V74" s="696"/>
      <c r="W74" s="696"/>
      <c r="X74" s="696"/>
      <c r="Y74" s="696"/>
      <c r="Z74" s="641"/>
      <c r="AA74" s="641"/>
      <c r="AB74" s="697">
        <f>AT62</f>
        <v>167.5</v>
      </c>
      <c r="AC74" s="698"/>
      <c r="AD74" s="698"/>
      <c r="AE74" s="699"/>
      <c r="AF74" s="699"/>
      <c r="AG74" s="699"/>
      <c r="AH74" s="700" t="e">
        <f>AB74/AB72</f>
        <v>#VALUE!</v>
      </c>
      <c r="AI74" s="701"/>
      <c r="AJ74" s="702"/>
      <c r="AK74" s="703"/>
      <c r="AO74" s="695" t="s">
        <v>46</v>
      </c>
      <c r="AP74" s="696"/>
      <c r="AQ74" s="696"/>
      <c r="AR74" s="696"/>
      <c r="AS74" s="696"/>
      <c r="AT74" s="641"/>
      <c r="AU74" s="641"/>
      <c r="AV74" s="697">
        <f>CE62</f>
        <v>167.5</v>
      </c>
      <c r="AW74" s="698"/>
      <c r="AX74" s="698"/>
      <c r="AY74" s="699"/>
      <c r="AZ74" s="699"/>
      <c r="BA74" s="699"/>
      <c r="BB74" s="700" t="e">
        <f>AV74/AV72</f>
        <v>#VALUE!</v>
      </c>
      <c r="BC74" s="701"/>
      <c r="BD74" s="702"/>
      <c r="BE74" s="703"/>
    </row>
    <row r="75" spans="1:222" x14ac:dyDescent="0.25">
      <c r="A75" s="695" t="s">
        <v>47</v>
      </c>
      <c r="B75" s="696"/>
      <c r="C75" s="696"/>
      <c r="D75" s="696"/>
      <c r="E75" s="696"/>
      <c r="F75" s="641"/>
      <c r="G75" s="641"/>
      <c r="H75" s="697">
        <f>AA69</f>
        <v>92.891428571428577</v>
      </c>
      <c r="I75" s="698"/>
      <c r="J75" s="698"/>
      <c r="K75" s="699"/>
      <c r="L75" s="699"/>
      <c r="M75" s="699"/>
      <c r="N75" s="700">
        <f>H75/H72</f>
        <v>7.3879827116841559E-2</v>
      </c>
      <c r="O75" s="701"/>
      <c r="P75" s="702"/>
      <c r="Q75" s="703"/>
      <c r="U75" s="695" t="s">
        <v>47</v>
      </c>
      <c r="V75" s="696"/>
      <c r="W75" s="696"/>
      <c r="X75" s="696"/>
      <c r="Y75" s="696"/>
      <c r="Z75" s="641"/>
      <c r="AA75" s="641"/>
      <c r="AB75" s="697">
        <f>BL69</f>
        <v>0</v>
      </c>
      <c r="AC75" s="698"/>
      <c r="AD75" s="698"/>
      <c r="AE75" s="699"/>
      <c r="AF75" s="699"/>
      <c r="AG75" s="699"/>
      <c r="AH75" s="700" t="e">
        <f>AB75/AB72</f>
        <v>#VALUE!</v>
      </c>
      <c r="AI75" s="701"/>
      <c r="AJ75" s="702"/>
      <c r="AK75" s="703"/>
      <c r="AO75" s="695" t="s">
        <v>47</v>
      </c>
      <c r="AP75" s="696"/>
      <c r="AQ75" s="696"/>
      <c r="AR75" s="696"/>
      <c r="AS75" s="696"/>
      <c r="AT75" s="641"/>
      <c r="AU75" s="641"/>
      <c r="AV75" s="697">
        <f>CW69</f>
        <v>0</v>
      </c>
      <c r="AW75" s="698"/>
      <c r="AX75" s="698"/>
      <c r="AY75" s="699"/>
      <c r="AZ75" s="699"/>
      <c r="BA75" s="699"/>
      <c r="BB75" s="700" t="e">
        <f>AV75/AV72</f>
        <v>#VALUE!</v>
      </c>
      <c r="BC75" s="701"/>
      <c r="BD75" s="702"/>
      <c r="BE75" s="703"/>
    </row>
    <row r="76" spans="1:222" x14ac:dyDescent="0.25">
      <c r="A76" s="695" t="s">
        <v>48</v>
      </c>
      <c r="B76" s="696"/>
      <c r="C76" s="696"/>
      <c r="D76" s="696"/>
      <c r="E76" s="696"/>
      <c r="F76" s="641"/>
      <c r="G76" s="641"/>
      <c r="H76" s="697">
        <f>T37+U28</f>
        <v>559.43999999999994</v>
      </c>
      <c r="I76" s="698"/>
      <c r="J76" s="698"/>
      <c r="K76" s="699"/>
      <c r="L76" s="699"/>
      <c r="M76" s="699"/>
      <c r="N76" s="700">
        <f>H76/H72</f>
        <v>0.44494234955665735</v>
      </c>
      <c r="O76" s="701"/>
      <c r="P76" s="702"/>
      <c r="Q76" s="703"/>
      <c r="U76" s="695" t="s">
        <v>48</v>
      </c>
      <c r="V76" s="696"/>
      <c r="W76" s="696"/>
      <c r="X76" s="696"/>
      <c r="Y76" s="696"/>
      <c r="Z76" s="641"/>
      <c r="AA76" s="641"/>
      <c r="AB76" s="697">
        <f>BE37+BF28</f>
        <v>0</v>
      </c>
      <c r="AC76" s="698"/>
      <c r="AD76" s="698"/>
      <c r="AE76" s="699"/>
      <c r="AF76" s="699"/>
      <c r="AG76" s="699"/>
      <c r="AH76" s="700" t="e">
        <f>AB76/AB72</f>
        <v>#VALUE!</v>
      </c>
      <c r="AI76" s="701"/>
      <c r="AJ76" s="702"/>
      <c r="AK76" s="703"/>
      <c r="AO76" s="695" t="s">
        <v>48</v>
      </c>
      <c r="AP76" s="696"/>
      <c r="AQ76" s="696"/>
      <c r="AR76" s="696"/>
      <c r="AS76" s="696"/>
      <c r="AT76" s="641"/>
      <c r="AU76" s="641"/>
      <c r="AV76" s="697">
        <f>SUM(CP37,CQ28)</f>
        <v>0</v>
      </c>
      <c r="AW76" s="698"/>
      <c r="AX76" s="698"/>
      <c r="AY76" s="699"/>
      <c r="AZ76" s="699"/>
      <c r="BA76" s="699"/>
      <c r="BB76" s="700" t="e">
        <f>AV76/AV72</f>
        <v>#VALUE!</v>
      </c>
      <c r="BC76" s="701"/>
      <c r="BD76" s="702"/>
      <c r="BE76" s="703"/>
    </row>
    <row r="77" spans="1:222" x14ac:dyDescent="0.25">
      <c r="A77" s="695" t="s">
        <v>49</v>
      </c>
      <c r="B77" s="696"/>
      <c r="C77" s="696"/>
      <c r="D77" s="696"/>
      <c r="E77" s="696"/>
      <c r="F77" s="641"/>
      <c r="G77" s="641"/>
      <c r="H77" s="704"/>
      <c r="I77" s="698"/>
      <c r="J77" s="698"/>
      <c r="K77" s="699"/>
      <c r="L77" s="699"/>
      <c r="M77" s="699"/>
      <c r="N77" s="700">
        <f>H77/H72</f>
        <v>0</v>
      </c>
      <c r="O77" s="701"/>
      <c r="P77" s="702"/>
      <c r="Q77" s="703"/>
      <c r="U77" s="695" t="s">
        <v>49</v>
      </c>
      <c r="V77" s="696"/>
      <c r="W77" s="696"/>
      <c r="X77" s="696"/>
      <c r="Y77" s="696"/>
      <c r="Z77" s="641"/>
      <c r="AA77" s="641"/>
      <c r="AB77" s="704"/>
      <c r="AC77" s="698"/>
      <c r="AD77" s="698"/>
      <c r="AE77" s="699"/>
      <c r="AF77" s="699"/>
      <c r="AG77" s="699"/>
      <c r="AH77" s="700" t="e">
        <f>AB77/AB72</f>
        <v>#VALUE!</v>
      </c>
      <c r="AI77" s="701"/>
      <c r="AJ77" s="702"/>
      <c r="AK77" s="703"/>
      <c r="AO77" s="695" t="s">
        <v>49</v>
      </c>
      <c r="AP77" s="696"/>
      <c r="AQ77" s="696"/>
      <c r="AR77" s="696"/>
      <c r="AS77" s="696"/>
      <c r="AT77" s="641"/>
      <c r="AU77" s="641"/>
      <c r="AV77" s="704"/>
      <c r="AW77" s="698"/>
      <c r="AX77" s="698"/>
      <c r="AY77" s="699"/>
      <c r="AZ77" s="699"/>
      <c r="BA77" s="699"/>
      <c r="BB77" s="700" t="e">
        <f>AV77/AV72</f>
        <v>#VALUE!</v>
      </c>
      <c r="BC77" s="701"/>
      <c r="BD77" s="702"/>
      <c r="BE77" s="703"/>
    </row>
    <row r="79" spans="1:222" ht="18.75" x14ac:dyDescent="0.3">
      <c r="G79" s="705" t="s">
        <v>225</v>
      </c>
      <c r="H79" s="705"/>
      <c r="I79" s="705"/>
      <c r="J79" s="706">
        <f>J12*1.05</f>
        <v>1320.1980000000001</v>
      </c>
      <c r="K79" s="707"/>
      <c r="L79" s="707"/>
      <c r="M79" s="707"/>
      <c r="N79" s="707"/>
      <c r="O79" s="707"/>
      <c r="P79" s="641"/>
      <c r="Q79" s="641"/>
      <c r="AA79" s="705" t="s">
        <v>225</v>
      </c>
      <c r="AB79" s="705"/>
      <c r="AC79" s="705"/>
      <c r="AD79" s="706" t="e">
        <f>Q12*1.05</f>
        <v>#VALUE!</v>
      </c>
      <c r="AE79" s="707"/>
      <c r="AF79" s="707"/>
      <c r="AG79" s="707"/>
      <c r="AH79" s="707"/>
      <c r="AI79" s="707"/>
      <c r="AJ79" s="641"/>
      <c r="AK79" s="641"/>
      <c r="AU79" s="705" t="s">
        <v>225</v>
      </c>
      <c r="AV79" s="705"/>
      <c r="AW79" s="705"/>
      <c r="AX79" s="706" t="e">
        <f>X12*1.05</f>
        <v>#VALUE!</v>
      </c>
      <c r="AY79" s="707"/>
      <c r="AZ79" s="707"/>
      <c r="BA79" s="707"/>
      <c r="BB79" s="707"/>
      <c r="BC79" s="707"/>
      <c r="BD79" s="641"/>
      <c r="BE79" s="641"/>
    </row>
    <row r="80" spans="1:222" ht="18.75" x14ac:dyDescent="0.3">
      <c r="G80" s="705" t="s">
        <v>226</v>
      </c>
      <c r="H80" s="705"/>
      <c r="I80" s="705"/>
      <c r="J80" s="706">
        <f>J12*1.1</f>
        <v>1383.0645714285715</v>
      </c>
      <c r="K80" s="707"/>
      <c r="L80" s="707"/>
      <c r="M80" s="707"/>
      <c r="N80" s="707"/>
      <c r="O80" s="707"/>
      <c r="P80" s="641"/>
      <c r="Q80" s="641"/>
      <c r="AA80" s="705" t="s">
        <v>226</v>
      </c>
      <c r="AB80" s="705"/>
      <c r="AC80" s="705"/>
      <c r="AD80" s="706" t="e">
        <f>Q12*1.1</f>
        <v>#VALUE!</v>
      </c>
      <c r="AE80" s="707"/>
      <c r="AF80" s="707"/>
      <c r="AG80" s="707"/>
      <c r="AH80" s="707"/>
      <c r="AI80" s="707"/>
      <c r="AJ80" s="641"/>
      <c r="AK80" s="641"/>
      <c r="AU80" s="705" t="s">
        <v>226</v>
      </c>
      <c r="AV80" s="705"/>
      <c r="AW80" s="705"/>
      <c r="AX80" s="706" t="e">
        <f>X12*1.1</f>
        <v>#VALUE!</v>
      </c>
      <c r="AY80" s="707"/>
      <c r="AZ80" s="707"/>
      <c r="BA80" s="707"/>
      <c r="BB80" s="707"/>
      <c r="BC80" s="707"/>
      <c r="BD80" s="641"/>
      <c r="BE80" s="641"/>
    </row>
    <row r="82" spans="1:57" x14ac:dyDescent="0.25">
      <c r="A82" s="773" t="s">
        <v>45</v>
      </c>
      <c r="B82" s="773"/>
      <c r="C82" s="773"/>
      <c r="D82" s="773"/>
      <c r="E82" s="773"/>
      <c r="F82" s="641"/>
      <c r="G82" s="641"/>
      <c r="H82" s="774" t="str">
        <f>IF(J15="","",J15)</f>
        <v/>
      </c>
      <c r="I82" s="775"/>
      <c r="J82" s="641"/>
      <c r="K82" s="641"/>
      <c r="L82" s="641"/>
      <c r="M82" s="641"/>
      <c r="T82" s="271"/>
      <c r="U82" s="773" t="s">
        <v>45</v>
      </c>
      <c r="V82" s="773"/>
      <c r="W82" s="773"/>
      <c r="X82" s="773"/>
      <c r="Y82" s="773"/>
      <c r="Z82" s="641"/>
      <c r="AA82" s="641"/>
      <c r="AB82" s="774" t="str">
        <f>IF(Q15="","",Q15)</f>
        <v/>
      </c>
      <c r="AC82" s="775"/>
      <c r="AD82" s="641"/>
      <c r="AE82" s="641"/>
      <c r="AF82" s="641"/>
      <c r="AG82" s="641"/>
      <c r="AO82" s="773" t="s">
        <v>45</v>
      </c>
      <c r="AP82" s="773"/>
      <c r="AQ82" s="773"/>
      <c r="AR82" s="773"/>
      <c r="AS82" s="773"/>
      <c r="AT82" s="641"/>
      <c r="AU82" s="641"/>
      <c r="AV82" s="774" t="str">
        <f>IF(X15="","",X15)</f>
        <v/>
      </c>
      <c r="AW82" s="775"/>
      <c r="AX82" s="641"/>
      <c r="AY82" s="641"/>
      <c r="AZ82" s="641"/>
      <c r="BA82" s="641"/>
    </row>
    <row r="83" spans="1:57" x14ac:dyDescent="0.25">
      <c r="A83" s="695" t="s">
        <v>29</v>
      </c>
      <c r="B83" s="696"/>
      <c r="C83" s="696"/>
      <c r="D83" s="696"/>
      <c r="E83" s="696"/>
      <c r="F83" s="641"/>
      <c r="G83" s="641"/>
      <c r="H83" s="776" t="str">
        <f>IF(J16="","",J16)</f>
        <v/>
      </c>
      <c r="I83" s="777"/>
      <c r="J83" s="778"/>
      <c r="K83" s="699"/>
      <c r="L83" s="699"/>
      <c r="M83" s="699"/>
      <c r="N83" s="699"/>
      <c r="O83" s="699"/>
      <c r="P83" s="699"/>
      <c r="Q83" s="743"/>
      <c r="U83" s="695" t="s">
        <v>29</v>
      </c>
      <c r="V83" s="696"/>
      <c r="W83" s="696"/>
      <c r="X83" s="696"/>
      <c r="Y83" s="696"/>
      <c r="Z83" s="641"/>
      <c r="AA83" s="641"/>
      <c r="AB83" s="776" t="str">
        <f>IF(Q16="","",Q16)</f>
        <v/>
      </c>
      <c r="AC83" s="777"/>
      <c r="AD83" s="778"/>
      <c r="AE83" s="699"/>
      <c r="AF83" s="699"/>
      <c r="AG83" s="699"/>
      <c r="AH83" s="699"/>
      <c r="AI83" s="699"/>
      <c r="AJ83" s="699"/>
      <c r="AK83" s="743"/>
      <c r="AO83" s="695" t="s">
        <v>29</v>
      </c>
      <c r="AP83" s="696"/>
      <c r="AQ83" s="696"/>
      <c r="AR83" s="696"/>
      <c r="AS83" s="696"/>
      <c r="AT83" s="641"/>
      <c r="AU83" s="641"/>
      <c r="AV83" s="776" t="str">
        <f>IF(X16="","",X16)</f>
        <v/>
      </c>
      <c r="AW83" s="777"/>
      <c r="AX83" s="778"/>
      <c r="AY83" s="699"/>
      <c r="AZ83" s="699"/>
      <c r="BA83" s="699"/>
      <c r="BB83" s="699"/>
      <c r="BC83" s="699"/>
      <c r="BD83" s="699"/>
      <c r="BE83" s="743"/>
    </row>
    <row r="84" spans="1:57" x14ac:dyDescent="0.25">
      <c r="A84" s="695" t="s">
        <v>42</v>
      </c>
      <c r="B84" s="696"/>
      <c r="C84" s="696"/>
      <c r="D84" s="696"/>
      <c r="E84" s="696"/>
      <c r="F84" s="641"/>
      <c r="G84" s="641"/>
      <c r="H84" s="697" t="str">
        <f>IF(H82="","",DP43)</f>
        <v/>
      </c>
      <c r="I84" s="698"/>
      <c r="J84" s="698"/>
      <c r="K84" s="699"/>
      <c r="L84" s="699"/>
      <c r="M84" s="699"/>
      <c r="N84" s="700" t="e">
        <f>H84/H83</f>
        <v>#VALUE!</v>
      </c>
      <c r="O84" s="701"/>
      <c r="P84" s="702"/>
      <c r="Q84" s="703"/>
      <c r="U84" s="695" t="s">
        <v>42</v>
      </c>
      <c r="V84" s="696"/>
      <c r="W84" s="696"/>
      <c r="X84" s="696"/>
      <c r="Y84" s="696"/>
      <c r="Z84" s="641"/>
      <c r="AA84" s="641"/>
      <c r="AB84" s="697" t="str">
        <f>IF(AB82="","",FC43)</f>
        <v/>
      </c>
      <c r="AC84" s="698"/>
      <c r="AD84" s="698"/>
      <c r="AE84" s="699"/>
      <c r="AF84" s="699"/>
      <c r="AG84" s="699"/>
      <c r="AH84" s="700" t="e">
        <f>AB84/AB83</f>
        <v>#VALUE!</v>
      </c>
      <c r="AI84" s="701"/>
      <c r="AJ84" s="702"/>
      <c r="AK84" s="703"/>
      <c r="AO84" s="695" t="s">
        <v>42</v>
      </c>
      <c r="AP84" s="696"/>
      <c r="AQ84" s="696"/>
      <c r="AR84" s="696"/>
      <c r="AS84" s="696"/>
      <c r="AT84" s="641"/>
      <c r="AU84" s="641"/>
      <c r="AV84" s="697" t="str">
        <f>IF(AV82="","",GP43)</f>
        <v/>
      </c>
      <c r="AW84" s="698"/>
      <c r="AX84" s="698"/>
      <c r="AY84" s="699"/>
      <c r="AZ84" s="699"/>
      <c r="BA84" s="699"/>
      <c r="BB84" s="700" t="e">
        <f>AV84/AV83</f>
        <v>#VALUE!</v>
      </c>
      <c r="BC84" s="701"/>
      <c r="BD84" s="702"/>
      <c r="BE84" s="703"/>
    </row>
    <row r="85" spans="1:57" x14ac:dyDescent="0.25">
      <c r="A85" s="695" t="s">
        <v>46</v>
      </c>
      <c r="B85" s="696"/>
      <c r="C85" s="696"/>
      <c r="D85" s="696"/>
      <c r="E85" s="696"/>
      <c r="F85" s="641"/>
      <c r="G85" s="641"/>
      <c r="H85" s="697" t="str">
        <f>IF(H82="","",DQ62)</f>
        <v/>
      </c>
      <c r="I85" s="698"/>
      <c r="J85" s="698"/>
      <c r="K85" s="699"/>
      <c r="L85" s="699"/>
      <c r="M85" s="699"/>
      <c r="N85" s="700" t="e">
        <f>H85/H83</f>
        <v>#VALUE!</v>
      </c>
      <c r="O85" s="701"/>
      <c r="P85" s="702"/>
      <c r="Q85" s="703"/>
      <c r="U85" s="695" t="s">
        <v>46</v>
      </c>
      <c r="V85" s="696"/>
      <c r="W85" s="696"/>
      <c r="X85" s="696"/>
      <c r="Y85" s="696"/>
      <c r="Z85" s="641"/>
      <c r="AA85" s="641"/>
      <c r="AB85" s="697" t="str">
        <f>IF(AB82="","",FD62)</f>
        <v/>
      </c>
      <c r="AC85" s="698"/>
      <c r="AD85" s="698"/>
      <c r="AE85" s="699"/>
      <c r="AF85" s="699"/>
      <c r="AG85" s="699"/>
      <c r="AH85" s="700" t="e">
        <f>AB85/AB83</f>
        <v>#VALUE!</v>
      </c>
      <c r="AI85" s="701"/>
      <c r="AJ85" s="702"/>
      <c r="AK85" s="703"/>
      <c r="AO85" s="695" t="s">
        <v>46</v>
      </c>
      <c r="AP85" s="696"/>
      <c r="AQ85" s="696"/>
      <c r="AR85" s="696"/>
      <c r="AS85" s="696"/>
      <c r="AT85" s="641"/>
      <c r="AU85" s="641"/>
      <c r="AV85" s="697" t="str">
        <f>IF(AV82="","",GQ62)</f>
        <v/>
      </c>
      <c r="AW85" s="698"/>
      <c r="AX85" s="698"/>
      <c r="AY85" s="699"/>
      <c r="AZ85" s="699"/>
      <c r="BA85" s="699"/>
      <c r="BB85" s="700" t="e">
        <f>AV85/AV83</f>
        <v>#VALUE!</v>
      </c>
      <c r="BC85" s="701"/>
      <c r="BD85" s="702"/>
      <c r="BE85" s="703"/>
    </row>
    <row r="86" spans="1:57" x14ac:dyDescent="0.25">
      <c r="A86" s="695" t="s">
        <v>47</v>
      </c>
      <c r="B86" s="696"/>
      <c r="C86" s="696"/>
      <c r="D86" s="696"/>
      <c r="E86" s="696"/>
      <c r="F86" s="641"/>
      <c r="G86" s="641"/>
      <c r="H86" s="697" t="str">
        <f>IF(H82="","",EI69)</f>
        <v/>
      </c>
      <c r="I86" s="698"/>
      <c r="J86" s="698"/>
      <c r="K86" s="699"/>
      <c r="L86" s="699"/>
      <c r="M86" s="699"/>
      <c r="N86" s="700" t="e">
        <f>H86/H83</f>
        <v>#VALUE!</v>
      </c>
      <c r="O86" s="701"/>
      <c r="P86" s="702"/>
      <c r="Q86" s="703"/>
      <c r="U86" s="695" t="s">
        <v>47</v>
      </c>
      <c r="V86" s="696"/>
      <c r="W86" s="696"/>
      <c r="X86" s="696"/>
      <c r="Y86" s="696"/>
      <c r="Z86" s="641"/>
      <c r="AA86" s="641"/>
      <c r="AB86" s="697" t="str">
        <f>IF(AB82="","",FV69)</f>
        <v/>
      </c>
      <c r="AC86" s="698"/>
      <c r="AD86" s="698"/>
      <c r="AE86" s="699"/>
      <c r="AF86" s="699"/>
      <c r="AG86" s="699"/>
      <c r="AH86" s="700" t="e">
        <f>AB86/AB83</f>
        <v>#VALUE!</v>
      </c>
      <c r="AI86" s="701"/>
      <c r="AJ86" s="702"/>
      <c r="AK86" s="703"/>
      <c r="AO86" s="695" t="s">
        <v>47</v>
      </c>
      <c r="AP86" s="696"/>
      <c r="AQ86" s="696"/>
      <c r="AR86" s="696"/>
      <c r="AS86" s="696"/>
      <c r="AT86" s="641"/>
      <c r="AU86" s="641"/>
      <c r="AV86" s="697" t="str">
        <f>IF(AV82="","",HI69)</f>
        <v/>
      </c>
      <c r="AW86" s="698"/>
      <c r="AX86" s="698"/>
      <c r="AY86" s="699"/>
      <c r="AZ86" s="699"/>
      <c r="BA86" s="699"/>
      <c r="BB86" s="700" t="e">
        <f>AV86/AV83</f>
        <v>#VALUE!</v>
      </c>
      <c r="BC86" s="701"/>
      <c r="BD86" s="702"/>
      <c r="BE86" s="703"/>
    </row>
    <row r="87" spans="1:57" x14ac:dyDescent="0.25">
      <c r="A87" s="695" t="s">
        <v>48</v>
      </c>
      <c r="B87" s="696"/>
      <c r="C87" s="696"/>
      <c r="D87" s="696"/>
      <c r="E87" s="696"/>
      <c r="F87" s="641"/>
      <c r="G87" s="641"/>
      <c r="H87" s="697" t="str">
        <f>IF(H82="","",EB37+EC28)</f>
        <v/>
      </c>
      <c r="I87" s="698"/>
      <c r="J87" s="698"/>
      <c r="K87" s="699"/>
      <c r="L87" s="699"/>
      <c r="M87" s="699"/>
      <c r="N87" s="700" t="e">
        <f>H87/H83</f>
        <v>#VALUE!</v>
      </c>
      <c r="O87" s="701"/>
      <c r="P87" s="702"/>
      <c r="Q87" s="703"/>
      <c r="U87" s="695" t="s">
        <v>48</v>
      </c>
      <c r="V87" s="696"/>
      <c r="W87" s="696"/>
      <c r="X87" s="696"/>
      <c r="Y87" s="696"/>
      <c r="Z87" s="641"/>
      <c r="AA87" s="641"/>
      <c r="AB87" s="697" t="str">
        <f>IF(AB82="","",FO37+FP28)</f>
        <v/>
      </c>
      <c r="AC87" s="698"/>
      <c r="AD87" s="698"/>
      <c r="AE87" s="699"/>
      <c r="AF87" s="699"/>
      <c r="AG87" s="699"/>
      <c r="AH87" s="700" t="e">
        <f>AB87/AB83</f>
        <v>#VALUE!</v>
      </c>
      <c r="AI87" s="701"/>
      <c r="AJ87" s="702"/>
      <c r="AK87" s="703"/>
      <c r="AO87" s="695" t="s">
        <v>48</v>
      </c>
      <c r="AP87" s="696"/>
      <c r="AQ87" s="696"/>
      <c r="AR87" s="696"/>
      <c r="AS87" s="696"/>
      <c r="AT87" s="641"/>
      <c r="AU87" s="641"/>
      <c r="AV87" s="697" t="str">
        <f>IF(AV82="","",HC28+HB37)</f>
        <v/>
      </c>
      <c r="AW87" s="698"/>
      <c r="AX87" s="698"/>
      <c r="AY87" s="699"/>
      <c r="AZ87" s="699"/>
      <c r="BA87" s="699"/>
      <c r="BB87" s="700" t="e">
        <f>AV87/AV83</f>
        <v>#VALUE!</v>
      </c>
      <c r="BC87" s="701"/>
      <c r="BD87" s="702"/>
      <c r="BE87" s="703"/>
    </row>
    <row r="88" spans="1:57" x14ac:dyDescent="0.25">
      <c r="A88" s="695" t="s">
        <v>49</v>
      </c>
      <c r="B88" s="696"/>
      <c r="C88" s="696"/>
      <c r="D88" s="696"/>
      <c r="E88" s="696"/>
      <c r="F88" s="641"/>
      <c r="G88" s="641"/>
      <c r="H88" s="704"/>
      <c r="I88" s="698"/>
      <c r="J88" s="698"/>
      <c r="K88" s="699"/>
      <c r="L88" s="699"/>
      <c r="M88" s="699"/>
      <c r="N88" s="700" t="e">
        <f>H88/H83</f>
        <v>#VALUE!</v>
      </c>
      <c r="O88" s="701"/>
      <c r="P88" s="702"/>
      <c r="Q88" s="703"/>
      <c r="U88" s="695" t="s">
        <v>49</v>
      </c>
      <c r="V88" s="696"/>
      <c r="W88" s="696"/>
      <c r="X88" s="696"/>
      <c r="Y88" s="696"/>
      <c r="Z88" s="641"/>
      <c r="AA88" s="641"/>
      <c r="AB88" s="704"/>
      <c r="AC88" s="698"/>
      <c r="AD88" s="698"/>
      <c r="AE88" s="699"/>
      <c r="AF88" s="699"/>
      <c r="AG88" s="699"/>
      <c r="AH88" s="700" t="e">
        <f>AB88/AB83</f>
        <v>#VALUE!</v>
      </c>
      <c r="AI88" s="701"/>
      <c r="AJ88" s="702"/>
      <c r="AK88" s="703"/>
      <c r="AO88" s="695" t="s">
        <v>49</v>
      </c>
      <c r="AP88" s="696"/>
      <c r="AQ88" s="696"/>
      <c r="AR88" s="696"/>
      <c r="AS88" s="696"/>
      <c r="AT88" s="641"/>
      <c r="AU88" s="641"/>
      <c r="AV88" s="704"/>
      <c r="AW88" s="698"/>
      <c r="AX88" s="698"/>
      <c r="AY88" s="699"/>
      <c r="AZ88" s="699"/>
      <c r="BA88" s="699"/>
      <c r="BB88" s="700" t="e">
        <f>AV88/AV83</f>
        <v>#VALUE!</v>
      </c>
      <c r="BC88" s="701"/>
      <c r="BD88" s="702"/>
      <c r="BE88" s="703"/>
    </row>
    <row r="90" spans="1:57" ht="18.75" x14ac:dyDescent="0.3">
      <c r="G90" s="705" t="s">
        <v>225</v>
      </c>
      <c r="H90" s="705"/>
      <c r="I90" s="705"/>
      <c r="J90" s="706" t="e">
        <f>H83*1.05</f>
        <v>#VALUE!</v>
      </c>
      <c r="K90" s="707"/>
      <c r="L90" s="707"/>
      <c r="M90" s="707"/>
      <c r="N90" s="707"/>
      <c r="O90" s="707"/>
      <c r="P90" s="641"/>
      <c r="Q90" s="641"/>
      <c r="AA90" s="705" t="s">
        <v>225</v>
      </c>
      <c r="AB90" s="705"/>
      <c r="AC90" s="705"/>
      <c r="AD90" s="706" t="e">
        <f>AB83*1.05</f>
        <v>#VALUE!</v>
      </c>
      <c r="AE90" s="707"/>
      <c r="AF90" s="707"/>
      <c r="AG90" s="707"/>
      <c r="AH90" s="707"/>
      <c r="AI90" s="707"/>
      <c r="AJ90" s="641"/>
      <c r="AK90" s="641"/>
      <c r="AU90" s="705" t="s">
        <v>225</v>
      </c>
      <c r="AV90" s="705"/>
      <c r="AW90" s="705"/>
      <c r="AX90" s="706" t="e">
        <f>AV83*1.05</f>
        <v>#VALUE!</v>
      </c>
      <c r="AY90" s="707"/>
      <c r="AZ90" s="707"/>
      <c r="BA90" s="707"/>
      <c r="BB90" s="707"/>
      <c r="BC90" s="707"/>
      <c r="BD90" s="641"/>
      <c r="BE90" s="641"/>
    </row>
    <row r="91" spans="1:57" ht="18.75" x14ac:dyDescent="0.3">
      <c r="G91" s="705" t="s">
        <v>226</v>
      </c>
      <c r="H91" s="705"/>
      <c r="I91" s="705"/>
      <c r="J91" s="706" t="e">
        <f>H83*1.1</f>
        <v>#VALUE!</v>
      </c>
      <c r="K91" s="707"/>
      <c r="L91" s="707"/>
      <c r="M91" s="707"/>
      <c r="N91" s="707"/>
      <c r="O91" s="707"/>
      <c r="P91" s="641"/>
      <c r="Q91" s="641"/>
      <c r="AA91" s="705" t="s">
        <v>226</v>
      </c>
      <c r="AB91" s="705"/>
      <c r="AC91" s="705"/>
      <c r="AD91" s="706" t="e">
        <f>AB83*1.1</f>
        <v>#VALUE!</v>
      </c>
      <c r="AE91" s="707"/>
      <c r="AF91" s="707"/>
      <c r="AG91" s="707"/>
      <c r="AH91" s="707"/>
      <c r="AI91" s="707"/>
      <c r="AJ91" s="641"/>
      <c r="AK91" s="641"/>
      <c r="AU91" s="705" t="s">
        <v>226</v>
      </c>
      <c r="AV91" s="705"/>
      <c r="AW91" s="705"/>
      <c r="AX91" s="706" t="e">
        <f>AV83*1.1</f>
        <v>#VALUE!</v>
      </c>
      <c r="AY91" s="707"/>
      <c r="AZ91" s="707"/>
      <c r="BA91" s="707"/>
      <c r="BB91" s="707"/>
      <c r="BC91" s="707"/>
      <c r="BD91" s="641"/>
      <c r="BE91" s="641"/>
    </row>
  </sheetData>
  <mergeCells count="1049">
    <mergeCell ref="HE69:HH69"/>
    <mergeCell ref="HI69:HN69"/>
    <mergeCell ref="FL64:FR64"/>
    <mergeCell ref="FS64:FU64"/>
    <mergeCell ref="FW64:GA64"/>
    <mergeCell ref="FL65:FR65"/>
    <mergeCell ref="FS65:FU65"/>
    <mergeCell ref="FW65:GA65"/>
    <mergeCell ref="FR69:FU69"/>
    <mergeCell ref="FV69:GA69"/>
    <mergeCell ref="DY65:EE65"/>
    <mergeCell ref="EF65:EH65"/>
    <mergeCell ref="EJ65:EN65"/>
    <mergeCell ref="EE69:EH69"/>
    <mergeCell ref="EI69:EN69"/>
    <mergeCell ref="BL69:BQ69"/>
    <mergeCell ref="GY66:HE66"/>
    <mergeCell ref="HF66:HH66"/>
    <mergeCell ref="HJ66:HN66"/>
    <mergeCell ref="GY67:HE67"/>
    <mergeCell ref="HF67:HH67"/>
    <mergeCell ref="HJ67:HN67"/>
    <mergeCell ref="GY68:HE68"/>
    <mergeCell ref="HF68:HH68"/>
    <mergeCell ref="HJ68:HN68"/>
    <mergeCell ref="DY68:EE68"/>
    <mergeCell ref="EF68:EH68"/>
    <mergeCell ref="EJ68:EN68"/>
    <mergeCell ref="EJ66:EN66"/>
    <mergeCell ref="DY67:EE67"/>
    <mergeCell ref="EF67:EH67"/>
    <mergeCell ref="EJ67:EN67"/>
    <mergeCell ref="HF64:HH64"/>
    <mergeCell ref="HJ64:HN64"/>
    <mergeCell ref="GY65:HE65"/>
    <mergeCell ref="HF65:HH65"/>
    <mergeCell ref="HJ65:HN65"/>
    <mergeCell ref="FS67:FU67"/>
    <mergeCell ref="FW67:GA67"/>
    <mergeCell ref="FL68:FR68"/>
    <mergeCell ref="FS68:FU68"/>
    <mergeCell ref="FW68:GA68"/>
    <mergeCell ref="DY66:EE66"/>
    <mergeCell ref="EF66:EH66"/>
    <mergeCell ref="GY61:HE61"/>
    <mergeCell ref="HF61:HH61"/>
    <mergeCell ref="HJ61:HN61"/>
    <mergeCell ref="GM62:GP62"/>
    <mergeCell ref="GQ62:GV62"/>
    <mergeCell ref="GY62:HE62"/>
    <mergeCell ref="HF62:HH62"/>
    <mergeCell ref="HJ62:HN62"/>
    <mergeCell ref="GY63:HE63"/>
    <mergeCell ref="HF63:HH63"/>
    <mergeCell ref="HJ63:HN63"/>
    <mergeCell ref="FL66:FR66"/>
    <mergeCell ref="FS66:FU66"/>
    <mergeCell ref="FW66:GA66"/>
    <mergeCell ref="FL67:FR67"/>
    <mergeCell ref="GY64:HE64"/>
    <mergeCell ref="EZ62:FC62"/>
    <mergeCell ref="FD62:FI62"/>
    <mergeCell ref="FL62:FR62"/>
    <mergeCell ref="FS62:FU62"/>
    <mergeCell ref="GI55:GM55"/>
    <mergeCell ref="GN55:GP55"/>
    <mergeCell ref="GR55:GV55"/>
    <mergeCell ref="GY55:HB55"/>
    <mergeCell ref="GI56:GL56"/>
    <mergeCell ref="GN56:GP56"/>
    <mergeCell ref="GR56:GV56"/>
    <mergeCell ref="HC56:HE56"/>
    <mergeCell ref="FL61:FR61"/>
    <mergeCell ref="FS61:FU61"/>
    <mergeCell ref="FW61:GA61"/>
    <mergeCell ref="FL55:FO55"/>
    <mergeCell ref="GN60:GP60"/>
    <mergeCell ref="GR60:GV60"/>
    <mergeCell ref="HG56:HK56"/>
    <mergeCell ref="GI58:GM58"/>
    <mergeCell ref="GY58:HB58"/>
    <mergeCell ref="GI59:GM59"/>
    <mergeCell ref="GN59:GP59"/>
    <mergeCell ref="GR59:GV59"/>
    <mergeCell ref="HC59:HE59"/>
    <mergeCell ref="HG59:HK59"/>
    <mergeCell ref="GI60:GM60"/>
    <mergeCell ref="GI51:GM51"/>
    <mergeCell ref="GN51:GP51"/>
    <mergeCell ref="GR51:GV51"/>
    <mergeCell ref="GX51:HB51"/>
    <mergeCell ref="HC51:HE51"/>
    <mergeCell ref="DN52:DQ52"/>
    <mergeCell ref="FA52:FD52"/>
    <mergeCell ref="GN52:GQ52"/>
    <mergeCell ref="EC52:EF52"/>
    <mergeCell ref="FP52:FS52"/>
    <mergeCell ref="HC52:HF52"/>
    <mergeCell ref="HG51:HK51"/>
    <mergeCell ref="GI52:GL52"/>
    <mergeCell ref="GR52:GV52"/>
    <mergeCell ref="GX52:HA52"/>
    <mergeCell ref="HG52:HK52"/>
    <mergeCell ref="GI54:GM54"/>
    <mergeCell ref="FL54:FR54"/>
    <mergeCell ref="GY54:HE54"/>
    <mergeCell ref="GI48:GM48"/>
    <mergeCell ref="GN48:GP48"/>
    <mergeCell ref="GR48:GV48"/>
    <mergeCell ref="GX48:HB48"/>
    <mergeCell ref="HC48:HE48"/>
    <mergeCell ref="HG48:HK48"/>
    <mergeCell ref="GI50:GN50"/>
    <mergeCell ref="GX50:HC50"/>
    <mergeCell ref="HD50:HK50"/>
    <mergeCell ref="EV51:EZ51"/>
    <mergeCell ref="FA51:FC51"/>
    <mergeCell ref="FE51:FI51"/>
    <mergeCell ref="FK51:FO51"/>
    <mergeCell ref="FP51:FR51"/>
    <mergeCell ref="FT51:FX51"/>
    <mergeCell ref="EV52:EY52"/>
    <mergeCell ref="HC25:HH25"/>
    <mergeCell ref="HK25:HN25"/>
    <mergeCell ref="FJ25:FM25"/>
    <mergeCell ref="FP25:FU25"/>
    <mergeCell ref="FX25:GA25"/>
    <mergeCell ref="GB25:GE25"/>
    <mergeCell ref="FK52:FN52"/>
    <mergeCell ref="FT52:FX52"/>
    <mergeCell ref="FJ33:FM33"/>
    <mergeCell ref="FP33:FT33"/>
    <mergeCell ref="EV48:EZ48"/>
    <mergeCell ref="FA48:FC48"/>
    <mergeCell ref="FE48:FI48"/>
    <mergeCell ref="FK48:FO48"/>
    <mergeCell ref="FP48:FR48"/>
    <mergeCell ref="FT48:FX48"/>
    <mergeCell ref="HO25:HR25"/>
    <mergeCell ref="GI26:GL26"/>
    <mergeCell ref="GM26:GU26"/>
    <mergeCell ref="GW26:GZ26"/>
    <mergeCell ref="HC26:HH26"/>
    <mergeCell ref="HK27:HN27"/>
    <mergeCell ref="HO27:HR27"/>
    <mergeCell ref="GI46:GN46"/>
    <mergeCell ref="GO46:GV46"/>
    <mergeCell ref="GX46:HC46"/>
    <mergeCell ref="HD46:HK46"/>
    <mergeCell ref="GI47:GM47"/>
    <mergeCell ref="GN47:GP47"/>
    <mergeCell ref="GR47:GV47"/>
    <mergeCell ref="GX47:HB47"/>
    <mergeCell ref="HC47:HE47"/>
    <mergeCell ref="HG47:HK47"/>
    <mergeCell ref="GW34:GZ34"/>
    <mergeCell ref="HC34:HG34"/>
    <mergeCell ref="GI35:GL35"/>
    <mergeCell ref="GM35:GU35"/>
    <mergeCell ref="GW35:GZ35"/>
    <mergeCell ref="HC35:HG35"/>
    <mergeCell ref="GX37:HA37"/>
    <mergeCell ref="HB37:HG37"/>
    <mergeCell ref="GI39:GP39"/>
    <mergeCell ref="GI41:GL41"/>
    <mergeCell ref="GM41:GN41"/>
    <mergeCell ref="GP41:GT41"/>
    <mergeCell ref="GL43:GO43"/>
    <mergeCell ref="GP43:GT43"/>
    <mergeCell ref="GI45:GK45"/>
    <mergeCell ref="GW23:GZ23"/>
    <mergeCell ref="HC23:HH23"/>
    <mergeCell ref="HK23:HS23"/>
    <mergeCell ref="GI24:GL24"/>
    <mergeCell ref="GM24:GU24"/>
    <mergeCell ref="GW24:GZ24"/>
    <mergeCell ref="HC24:HH24"/>
    <mergeCell ref="HK24:HN24"/>
    <mergeCell ref="HO24:HR24"/>
    <mergeCell ref="GQ22:GU22"/>
    <mergeCell ref="GI23:GL23"/>
    <mergeCell ref="GM23:GU23"/>
    <mergeCell ref="GI25:GL25"/>
    <mergeCell ref="GM25:GU25"/>
    <mergeCell ref="GI34:GL34"/>
    <mergeCell ref="GM34:GU34"/>
    <mergeCell ref="GI40:GL40"/>
    <mergeCell ref="GM40:GN40"/>
    <mergeCell ref="GP40:GT40"/>
    <mergeCell ref="GY28:HB28"/>
    <mergeCell ref="HC28:HH28"/>
    <mergeCell ref="GI30:GS30"/>
    <mergeCell ref="GT30:HG30"/>
    <mergeCell ref="GI32:GL32"/>
    <mergeCell ref="GM32:GU32"/>
    <mergeCell ref="GW32:GZ32"/>
    <mergeCell ref="HC32:HG32"/>
    <mergeCell ref="GI33:GL33"/>
    <mergeCell ref="GM33:GU33"/>
    <mergeCell ref="GW33:GZ33"/>
    <mergeCell ref="HC33:HG33"/>
    <mergeCell ref="GW25:GZ25"/>
    <mergeCell ref="FW62:GA62"/>
    <mergeCell ref="FL63:FR63"/>
    <mergeCell ref="FS63:FU63"/>
    <mergeCell ref="FW63:GA63"/>
    <mergeCell ref="FT56:FX56"/>
    <mergeCell ref="EV58:EZ58"/>
    <mergeCell ref="FL58:FO58"/>
    <mergeCell ref="EV59:EZ59"/>
    <mergeCell ref="FA59:FC59"/>
    <mergeCell ref="FE59:FI59"/>
    <mergeCell ref="FP59:FR59"/>
    <mergeCell ref="FT59:FX59"/>
    <mergeCell ref="EV60:EZ60"/>
    <mergeCell ref="FA60:FC60"/>
    <mergeCell ref="FE60:FI60"/>
    <mergeCell ref="EV56:EY56"/>
    <mergeCell ref="FA56:FC56"/>
    <mergeCell ref="FE56:FI56"/>
    <mergeCell ref="FP56:FR56"/>
    <mergeCell ref="FK50:FP50"/>
    <mergeCell ref="FQ50:FX50"/>
    <mergeCell ref="EV46:FA46"/>
    <mergeCell ref="FB46:FI46"/>
    <mergeCell ref="FK46:FP46"/>
    <mergeCell ref="FQ46:FX46"/>
    <mergeCell ref="EV47:EZ47"/>
    <mergeCell ref="FA47:FC47"/>
    <mergeCell ref="FE47:FI47"/>
    <mergeCell ref="FK47:FO47"/>
    <mergeCell ref="FP47:FR47"/>
    <mergeCell ref="FT47:FX47"/>
    <mergeCell ref="FJ34:FM34"/>
    <mergeCell ref="FP34:FT34"/>
    <mergeCell ref="FJ26:FM26"/>
    <mergeCell ref="FP26:FU26"/>
    <mergeCell ref="FX27:GA27"/>
    <mergeCell ref="GB27:GE27"/>
    <mergeCell ref="FJ23:FM23"/>
    <mergeCell ref="FP23:FU23"/>
    <mergeCell ref="FX23:GF23"/>
    <mergeCell ref="EV24:EY24"/>
    <mergeCell ref="EZ24:FH24"/>
    <mergeCell ref="FJ24:FM24"/>
    <mergeCell ref="FP24:FU24"/>
    <mergeCell ref="FX24:GA24"/>
    <mergeCell ref="GB24:GE24"/>
    <mergeCell ref="DY64:EE64"/>
    <mergeCell ref="EF64:EH64"/>
    <mergeCell ref="EJ64:EN64"/>
    <mergeCell ref="EV35:EY35"/>
    <mergeCell ref="EZ35:FH35"/>
    <mergeCell ref="FJ35:FM35"/>
    <mergeCell ref="FP35:FT35"/>
    <mergeCell ref="FK37:FN37"/>
    <mergeCell ref="FO37:FT37"/>
    <mergeCell ref="EV39:FC39"/>
    <mergeCell ref="FL28:FO28"/>
    <mergeCell ref="FP28:FU28"/>
    <mergeCell ref="EV30:FF30"/>
    <mergeCell ref="FG30:FT30"/>
    <mergeCell ref="EV32:EY32"/>
    <mergeCell ref="EZ32:FH32"/>
    <mergeCell ref="FJ32:FM32"/>
    <mergeCell ref="FP32:FT32"/>
    <mergeCell ref="EV33:EY33"/>
    <mergeCell ref="EV23:EY23"/>
    <mergeCell ref="EZ23:FH23"/>
    <mergeCell ref="EV25:EY25"/>
    <mergeCell ref="EZ25:FH25"/>
    <mergeCell ref="EV34:EY34"/>
    <mergeCell ref="EZ34:FH34"/>
    <mergeCell ref="EV40:EY40"/>
    <mergeCell ref="EZ40:FA40"/>
    <mergeCell ref="FC40:FG40"/>
    <mergeCell ref="EV41:EY41"/>
    <mergeCell ref="EZ41:FA41"/>
    <mergeCell ref="FC41:FG41"/>
    <mergeCell ref="EY43:FB43"/>
    <mergeCell ref="FC43:FG43"/>
    <mergeCell ref="EV45:EX45"/>
    <mergeCell ref="DY61:EE61"/>
    <mergeCell ref="EF61:EH61"/>
    <mergeCell ref="EJ61:EN61"/>
    <mergeCell ref="DX37:EA37"/>
    <mergeCell ref="EB37:EG37"/>
    <mergeCell ref="EK27:EN27"/>
    <mergeCell ref="EO27:ER27"/>
    <mergeCell ref="DY28:EB28"/>
    <mergeCell ref="EC28:EH28"/>
    <mergeCell ref="EV26:EY26"/>
    <mergeCell ref="EZ26:FH26"/>
    <mergeCell ref="EZ33:FH33"/>
    <mergeCell ref="EV54:EZ54"/>
    <mergeCell ref="FE52:FI52"/>
    <mergeCell ref="EV50:FA50"/>
    <mergeCell ref="EV55:EZ55"/>
    <mergeCell ref="FA55:FC55"/>
    <mergeCell ref="FE55:FI55"/>
    <mergeCell ref="EC25:EH25"/>
    <mergeCell ref="EK25:EN25"/>
    <mergeCell ref="DQ62:DV62"/>
    <mergeCell ref="DY62:EE62"/>
    <mergeCell ref="EF62:EH62"/>
    <mergeCell ref="EJ62:EN62"/>
    <mergeCell ref="DY63:EE63"/>
    <mergeCell ref="EF63:EH63"/>
    <mergeCell ref="EJ63:EN63"/>
    <mergeCell ref="EG56:EK56"/>
    <mergeCell ref="DI58:DM58"/>
    <mergeCell ref="DY58:EB58"/>
    <mergeCell ref="DI59:DM59"/>
    <mergeCell ref="DN59:DP59"/>
    <mergeCell ref="DR59:DV59"/>
    <mergeCell ref="EC59:EE59"/>
    <mergeCell ref="EG59:EK59"/>
    <mergeCell ref="DI60:DM60"/>
    <mergeCell ref="DN60:DP60"/>
    <mergeCell ref="DR60:DV60"/>
    <mergeCell ref="DI46:DN46"/>
    <mergeCell ref="DO46:DV46"/>
    <mergeCell ref="DX46:EC46"/>
    <mergeCell ref="ED46:EK46"/>
    <mergeCell ref="DI47:DM47"/>
    <mergeCell ref="DN47:DP47"/>
    <mergeCell ref="DR47:DV47"/>
    <mergeCell ref="DX47:EB47"/>
    <mergeCell ref="EC47:EE47"/>
    <mergeCell ref="EG47:EK47"/>
    <mergeCell ref="DI54:DM54"/>
    <mergeCell ref="DY54:EE54"/>
    <mergeCell ref="DI55:DM55"/>
    <mergeCell ref="DN55:DP55"/>
    <mergeCell ref="DR55:DV55"/>
    <mergeCell ref="DY55:EB55"/>
    <mergeCell ref="DI56:DL56"/>
    <mergeCell ref="DN56:DP56"/>
    <mergeCell ref="DR56:DV56"/>
    <mergeCell ref="EC56:EE56"/>
    <mergeCell ref="DI51:DM51"/>
    <mergeCell ref="DN51:DP51"/>
    <mergeCell ref="DR51:DV51"/>
    <mergeCell ref="DX51:EB51"/>
    <mergeCell ref="EC51:EE51"/>
    <mergeCell ref="EG51:EK51"/>
    <mergeCell ref="DI52:DL52"/>
    <mergeCell ref="DR52:DV52"/>
    <mergeCell ref="DX52:EA52"/>
    <mergeCell ref="EG52:EK52"/>
    <mergeCell ref="DX50:EC50"/>
    <mergeCell ref="ED50:EK50"/>
    <mergeCell ref="AD90:AK90"/>
    <mergeCell ref="AU90:AW90"/>
    <mergeCell ref="AX90:BE90"/>
    <mergeCell ref="N86:Q86"/>
    <mergeCell ref="U86:AA86"/>
    <mergeCell ref="AB86:AG86"/>
    <mergeCell ref="AH86:AK86"/>
    <mergeCell ref="AO86:AU86"/>
    <mergeCell ref="AV86:BA86"/>
    <mergeCell ref="BB86:BE86"/>
    <mergeCell ref="A85:G85"/>
    <mergeCell ref="H85:M85"/>
    <mergeCell ref="N85:Q85"/>
    <mergeCell ref="DN48:DP48"/>
    <mergeCell ref="DI50:DN50"/>
    <mergeCell ref="DM62:DP62"/>
    <mergeCell ref="U87:AA87"/>
    <mergeCell ref="AB87:AG87"/>
    <mergeCell ref="AH87:AK87"/>
    <mergeCell ref="AO87:AU87"/>
    <mergeCell ref="AV87:BA87"/>
    <mergeCell ref="BB87:BE87"/>
    <mergeCell ref="A86:G86"/>
    <mergeCell ref="H86:M86"/>
    <mergeCell ref="G79:I79"/>
    <mergeCell ref="X67:Z67"/>
    <mergeCell ref="AB67:AF67"/>
    <mergeCell ref="Q67:W67"/>
    <mergeCell ref="N76:Q76"/>
    <mergeCell ref="H75:M75"/>
    <mergeCell ref="H76:M76"/>
    <mergeCell ref="H77:M77"/>
    <mergeCell ref="EO25:ER25"/>
    <mergeCell ref="DI26:DL26"/>
    <mergeCell ref="DM26:DU26"/>
    <mergeCell ref="DW26:DZ26"/>
    <mergeCell ref="EC26:EH26"/>
    <mergeCell ref="DI23:DL23"/>
    <mergeCell ref="DM23:DU23"/>
    <mergeCell ref="DW23:DZ23"/>
    <mergeCell ref="EC23:EH23"/>
    <mergeCell ref="EK23:ES23"/>
    <mergeCell ref="DI24:DL24"/>
    <mergeCell ref="DM24:DU24"/>
    <mergeCell ref="DW24:DZ24"/>
    <mergeCell ref="EC24:EH24"/>
    <mergeCell ref="EK24:EN24"/>
    <mergeCell ref="EO24:ER24"/>
    <mergeCell ref="DR48:DV48"/>
    <mergeCell ref="DX48:EB48"/>
    <mergeCell ref="EC48:EE48"/>
    <mergeCell ref="EG48:EK48"/>
    <mergeCell ref="DL43:DO43"/>
    <mergeCell ref="DP43:DT43"/>
    <mergeCell ref="DW25:DZ25"/>
    <mergeCell ref="DI48:DM48"/>
    <mergeCell ref="DW33:DZ33"/>
    <mergeCell ref="EC33:EG33"/>
    <mergeCell ref="DI34:DL34"/>
    <mergeCell ref="DM34:DU34"/>
    <mergeCell ref="DW34:DZ34"/>
    <mergeCell ref="EC34:EG34"/>
    <mergeCell ref="DI35:DL35"/>
    <mergeCell ref="DM35:DU35"/>
    <mergeCell ref="G91:I91"/>
    <mergeCell ref="J91:Q91"/>
    <mergeCell ref="AA91:AC91"/>
    <mergeCell ref="AD91:AK91"/>
    <mergeCell ref="AU91:AW91"/>
    <mergeCell ref="AX91:BE91"/>
    <mergeCell ref="A88:G88"/>
    <mergeCell ref="H88:M88"/>
    <mergeCell ref="N88:Q88"/>
    <mergeCell ref="U88:AA88"/>
    <mergeCell ref="AB88:AG88"/>
    <mergeCell ref="AH88:AK88"/>
    <mergeCell ref="AO88:AU88"/>
    <mergeCell ref="AV88:BA88"/>
    <mergeCell ref="BB88:BE88"/>
    <mergeCell ref="A82:G82"/>
    <mergeCell ref="H82:M82"/>
    <mergeCell ref="U82:AA82"/>
    <mergeCell ref="AB82:AG82"/>
    <mergeCell ref="AO82:AU82"/>
    <mergeCell ref="AV82:BA82"/>
    <mergeCell ref="A87:G87"/>
    <mergeCell ref="H87:M87"/>
    <mergeCell ref="N87:Q87"/>
    <mergeCell ref="U85:AA85"/>
    <mergeCell ref="AB85:AG85"/>
    <mergeCell ref="AH85:AK85"/>
    <mergeCell ref="AO85:AU85"/>
    <mergeCell ref="AV85:BA85"/>
    <mergeCell ref="G90:I90"/>
    <mergeCell ref="J90:Q90"/>
    <mergeCell ref="AA90:AC90"/>
    <mergeCell ref="U25:Z25"/>
    <mergeCell ref="A26:D26"/>
    <mergeCell ref="A33:D33"/>
    <mergeCell ref="G80:I80"/>
    <mergeCell ref="Q64:W64"/>
    <mergeCell ref="Q65:W65"/>
    <mergeCell ref="AB61:AF61"/>
    <mergeCell ref="AB62:AF62"/>
    <mergeCell ref="AB63:AF63"/>
    <mergeCell ref="AB64:AF64"/>
    <mergeCell ref="AB65:AF65"/>
    <mergeCell ref="X61:Z61"/>
    <mergeCell ref="X62:Z62"/>
    <mergeCell ref="N77:Q77"/>
    <mergeCell ref="U76:AA76"/>
    <mergeCell ref="AA69:AF69"/>
    <mergeCell ref="U56:W56"/>
    <mergeCell ref="F55:H55"/>
    <mergeCell ref="AC25:AF25"/>
    <mergeCell ref="U32:Y32"/>
    <mergeCell ref="U33:Y33"/>
    <mergeCell ref="L30:Y30"/>
    <mergeCell ref="G50:N50"/>
    <mergeCell ref="V50:AC50"/>
    <mergeCell ref="U52:X52"/>
    <mergeCell ref="F59:H59"/>
    <mergeCell ref="X68:Z68"/>
    <mergeCell ref="H73:M73"/>
    <mergeCell ref="H74:M74"/>
    <mergeCell ref="Q66:W66"/>
    <mergeCell ref="Y52:AC52"/>
    <mergeCell ref="F60:H60"/>
    <mergeCell ref="AZ35:BC35"/>
    <mergeCell ref="BF35:BJ35"/>
    <mergeCell ref="AL47:AP47"/>
    <mergeCell ref="AQ47:AS47"/>
    <mergeCell ref="Y56:AC56"/>
    <mergeCell ref="Q61:W61"/>
    <mergeCell ref="Q62:W62"/>
    <mergeCell ref="Q63:W63"/>
    <mergeCell ref="BB85:BE85"/>
    <mergeCell ref="A83:G83"/>
    <mergeCell ref="H83:Q83"/>
    <mergeCell ref="U83:AA83"/>
    <mergeCell ref="AB83:AK83"/>
    <mergeCell ref="AO83:AU83"/>
    <mergeCell ref="AV83:BE83"/>
    <mergeCell ref="A84:G84"/>
    <mergeCell ref="H84:M84"/>
    <mergeCell ref="N84:Q84"/>
    <mergeCell ref="U84:AA84"/>
    <mergeCell ref="AB84:AG84"/>
    <mergeCell ref="AH84:AK84"/>
    <mergeCell ref="AO84:AU84"/>
    <mergeCell ref="AV84:BA84"/>
    <mergeCell ref="BB84:BE84"/>
    <mergeCell ref="G46:N46"/>
    <mergeCell ref="P46:U46"/>
    <mergeCell ref="V46:AC46"/>
    <mergeCell ref="A50:F50"/>
    <mergeCell ref="A51:E51"/>
    <mergeCell ref="A45:C45"/>
    <mergeCell ref="A46:F46"/>
    <mergeCell ref="A47:E47"/>
    <mergeCell ref="J55:N55"/>
    <mergeCell ref="F51:H51"/>
    <mergeCell ref="A52:D52"/>
    <mergeCell ref="J51:N51"/>
    <mergeCell ref="J52:N52"/>
    <mergeCell ref="A54:E54"/>
    <mergeCell ref="J59:N59"/>
    <mergeCell ref="J60:N60"/>
    <mergeCell ref="D43:G43"/>
    <mergeCell ref="O35:R35"/>
    <mergeCell ref="U35:Y35"/>
    <mergeCell ref="H43:L43"/>
    <mergeCell ref="A56:D56"/>
    <mergeCell ref="A58:E58"/>
    <mergeCell ref="A59:E59"/>
    <mergeCell ref="P50:U50"/>
    <mergeCell ref="P51:T51"/>
    <mergeCell ref="U51:W51"/>
    <mergeCell ref="Y51:AC51"/>
    <mergeCell ref="FD22:FH22"/>
    <mergeCell ref="AT22:AX22"/>
    <mergeCell ref="A11:G11"/>
    <mergeCell ref="J11:O11"/>
    <mergeCell ref="Q11:V11"/>
    <mergeCell ref="X11:AC11"/>
    <mergeCell ref="A15:G15"/>
    <mergeCell ref="A16:F16"/>
    <mergeCell ref="A17:H17"/>
    <mergeCell ref="X15:AC15"/>
    <mergeCell ref="X16:AC16"/>
    <mergeCell ref="X17:AC17"/>
    <mergeCell ref="X12:AC12"/>
    <mergeCell ref="J16:O16"/>
    <mergeCell ref="J17:O17"/>
    <mergeCell ref="Q17:V17"/>
    <mergeCell ref="J15:O15"/>
    <mergeCell ref="A12:F12"/>
    <mergeCell ref="A21:N21"/>
    <mergeCell ref="Q15:V15"/>
    <mergeCell ref="O21:Z21"/>
    <mergeCell ref="CZ12:DK12"/>
    <mergeCell ref="DL12:DM12"/>
    <mergeCell ref="CZ15:DK15"/>
    <mergeCell ref="DL15:DM15"/>
    <mergeCell ref="J12:O12"/>
    <mergeCell ref="Q12:V12"/>
    <mergeCell ref="AG11:AL11"/>
    <mergeCell ref="AG12:AL12"/>
    <mergeCell ref="AM11:AN11"/>
    <mergeCell ref="AP11:AQ11"/>
    <mergeCell ref="AM12:AN12"/>
    <mergeCell ref="CZ11:DK11"/>
    <mergeCell ref="AZ25:BC25"/>
    <mergeCell ref="BF25:BK25"/>
    <mergeCell ref="BN25:BQ25"/>
    <mergeCell ref="BF23:BK23"/>
    <mergeCell ref="CH6:CS6"/>
    <mergeCell ref="CT6:CV6"/>
    <mergeCell ref="J7:AL7"/>
    <mergeCell ref="CH7:CS7"/>
    <mergeCell ref="AS11:AU11"/>
    <mergeCell ref="AS12:AU12"/>
    <mergeCell ref="AV11:AW11"/>
    <mergeCell ref="AV12:AW12"/>
    <mergeCell ref="A13:H13"/>
    <mergeCell ref="J13:O13"/>
    <mergeCell ref="Q13:V13"/>
    <mergeCell ref="X13:AC13"/>
    <mergeCell ref="I22:M22"/>
    <mergeCell ref="E23:M23"/>
    <mergeCell ref="O23:R23"/>
    <mergeCell ref="U23:Z23"/>
    <mergeCell ref="AC23:AK23"/>
    <mergeCell ref="A23:D23"/>
    <mergeCell ref="A24:D24"/>
    <mergeCell ref="A25:D25"/>
    <mergeCell ref="AG14:AJ14"/>
    <mergeCell ref="AK14:AW14"/>
    <mergeCell ref="AG15:AJ15"/>
    <mergeCell ref="AK15:AW15"/>
    <mergeCell ref="Q16:V16"/>
    <mergeCell ref="AG24:AJ24"/>
    <mergeCell ref="AG25:AJ25"/>
    <mergeCell ref="A1:BP1"/>
    <mergeCell ref="CH1:CS1"/>
    <mergeCell ref="CU1:CV1"/>
    <mergeCell ref="CH2:CS2"/>
    <mergeCell ref="CU2:CV2"/>
    <mergeCell ref="K4:AS4"/>
    <mergeCell ref="CH4:CS4"/>
    <mergeCell ref="CU4:CV4"/>
    <mergeCell ref="A5:I5"/>
    <mergeCell ref="K5:AS5"/>
    <mergeCell ref="A3:I3"/>
    <mergeCell ref="K3:AS3"/>
    <mergeCell ref="CH3:CS3"/>
    <mergeCell ref="CU3:CV3"/>
    <mergeCell ref="DL10:DM10"/>
    <mergeCell ref="A7:C7"/>
    <mergeCell ref="A8:F8"/>
    <mergeCell ref="J8:AL8"/>
    <mergeCell ref="AV3:BD3"/>
    <mergeCell ref="BE3:BN3"/>
    <mergeCell ref="CZ1:DK1"/>
    <mergeCell ref="CT7:CV7"/>
    <mergeCell ref="DL1:DM1"/>
    <mergeCell ref="CZ2:DK2"/>
    <mergeCell ref="DL2:DM2"/>
    <mergeCell ref="CZ8:DK8"/>
    <mergeCell ref="DL8:DM8"/>
    <mergeCell ref="A4:J4"/>
    <mergeCell ref="CH8:CS8"/>
    <mergeCell ref="CT8:CV8"/>
    <mergeCell ref="CH9:CS9"/>
    <mergeCell ref="CT9:CV9"/>
    <mergeCell ref="CZ10:DK10"/>
    <mergeCell ref="AP12:AQ12"/>
    <mergeCell ref="CZ16:DK16"/>
    <mergeCell ref="DL16:DM16"/>
    <mergeCell ref="CZ17:DK17"/>
    <mergeCell ref="DL17:DM17"/>
    <mergeCell ref="DL11:DM11"/>
    <mergeCell ref="DI25:DL25"/>
    <mergeCell ref="DM25:DU25"/>
    <mergeCell ref="DQ22:DU22"/>
    <mergeCell ref="BA46:BF46"/>
    <mergeCell ref="BA47:BE47"/>
    <mergeCell ref="BF47:BH47"/>
    <mergeCell ref="BA48:BE48"/>
    <mergeCell ref="DI45:DK45"/>
    <mergeCell ref="DI30:DS30"/>
    <mergeCell ref="DT30:EG30"/>
    <mergeCell ref="DI32:DL32"/>
    <mergeCell ref="DM32:DU32"/>
    <mergeCell ref="DW32:DZ32"/>
    <mergeCell ref="EC32:EG32"/>
    <mergeCell ref="DI39:DP39"/>
    <mergeCell ref="DI40:DL40"/>
    <mergeCell ref="DM40:DN40"/>
    <mergeCell ref="DP40:DT40"/>
    <mergeCell ref="DI41:DL41"/>
    <mergeCell ref="DM41:DN41"/>
    <mergeCell ref="DP41:DT41"/>
    <mergeCell ref="DI33:DL33"/>
    <mergeCell ref="DM33:DU33"/>
    <mergeCell ref="CH10:CS10"/>
    <mergeCell ref="CT10:CV10"/>
    <mergeCell ref="CZ13:DK13"/>
    <mergeCell ref="DL13:DM13"/>
    <mergeCell ref="AA21:AK21"/>
    <mergeCell ref="AL21:AY21"/>
    <mergeCell ref="AP23:AX23"/>
    <mergeCell ref="AZ23:BC23"/>
    <mergeCell ref="AP26:AX26"/>
    <mergeCell ref="AZ26:BC26"/>
    <mergeCell ref="O33:R33"/>
    <mergeCell ref="A34:D34"/>
    <mergeCell ref="E26:M26"/>
    <mergeCell ref="O26:R26"/>
    <mergeCell ref="U26:Z26"/>
    <mergeCell ref="AC27:AF27"/>
    <mergeCell ref="AG27:AJ27"/>
    <mergeCell ref="O24:R24"/>
    <mergeCell ref="AC24:AF24"/>
    <mergeCell ref="AL23:AO23"/>
    <mergeCell ref="AL26:AO26"/>
    <mergeCell ref="AL33:AO33"/>
    <mergeCell ref="BF33:BJ33"/>
    <mergeCell ref="BF34:BJ34"/>
    <mergeCell ref="BF26:BK26"/>
    <mergeCell ref="AZ33:BC33"/>
    <mergeCell ref="U24:Z24"/>
    <mergeCell ref="U34:Y34"/>
    <mergeCell ref="E24:M24"/>
    <mergeCell ref="A30:K30"/>
    <mergeCell ref="E32:M32"/>
    <mergeCell ref="E34:M34"/>
    <mergeCell ref="E25:M25"/>
    <mergeCell ref="O25:R25"/>
    <mergeCell ref="AB76:AG76"/>
    <mergeCell ref="F56:H56"/>
    <mergeCell ref="H72:Q72"/>
    <mergeCell ref="A72:G72"/>
    <mergeCell ref="H71:M71"/>
    <mergeCell ref="DW35:DZ35"/>
    <mergeCell ref="EC35:EG35"/>
    <mergeCell ref="E62:H62"/>
    <mergeCell ref="J62:N62"/>
    <mergeCell ref="W69:Z69"/>
    <mergeCell ref="A60:E60"/>
    <mergeCell ref="Q68:W68"/>
    <mergeCell ref="J56:N56"/>
    <mergeCell ref="U75:AA75"/>
    <mergeCell ref="AB75:AG75"/>
    <mergeCell ref="A39:H39"/>
    <mergeCell ref="A40:D40"/>
    <mergeCell ref="A41:D41"/>
    <mergeCell ref="E40:F40"/>
    <mergeCell ref="E41:F41"/>
    <mergeCell ref="U48:W48"/>
    <mergeCell ref="Y48:AC48"/>
    <mergeCell ref="AO43:AR43"/>
    <mergeCell ref="AL52:AO52"/>
    <mergeCell ref="AU52:AY52"/>
    <mergeCell ref="AL55:AP55"/>
    <mergeCell ref="AQ55:AS55"/>
    <mergeCell ref="AU55:AY55"/>
    <mergeCell ref="AL58:AP58"/>
    <mergeCell ref="BF52:BI52"/>
    <mergeCell ref="F52:I52"/>
    <mergeCell ref="X66:Z66"/>
    <mergeCell ref="AS43:AW43"/>
    <mergeCell ref="AL45:AN45"/>
    <mergeCell ref="AL46:AQ46"/>
    <mergeCell ref="U28:Z28"/>
    <mergeCell ref="T37:Y37"/>
    <mergeCell ref="P47:T47"/>
    <mergeCell ref="U47:W47"/>
    <mergeCell ref="Y47:AC47"/>
    <mergeCell ref="P48:T48"/>
    <mergeCell ref="A48:E48"/>
    <mergeCell ref="F47:H47"/>
    <mergeCell ref="AL39:AS39"/>
    <mergeCell ref="AL40:AO40"/>
    <mergeCell ref="AP40:AQ40"/>
    <mergeCell ref="AS40:AW40"/>
    <mergeCell ref="AL34:AO34"/>
    <mergeCell ref="AP34:AX34"/>
    <mergeCell ref="AL35:AO35"/>
    <mergeCell ref="AU47:AY47"/>
    <mergeCell ref="AR46:AY46"/>
    <mergeCell ref="AP33:AX33"/>
    <mergeCell ref="Q28:T28"/>
    <mergeCell ref="A77:G77"/>
    <mergeCell ref="A76:G76"/>
    <mergeCell ref="A75:G75"/>
    <mergeCell ref="A74:G74"/>
    <mergeCell ref="A73:G73"/>
    <mergeCell ref="Q58:T58"/>
    <mergeCell ref="U59:W59"/>
    <mergeCell ref="Y59:AC59"/>
    <mergeCell ref="F48:H48"/>
    <mergeCell ref="J48:N48"/>
    <mergeCell ref="J47:N47"/>
    <mergeCell ref="O34:R34"/>
    <mergeCell ref="E33:M33"/>
    <mergeCell ref="A32:D32"/>
    <mergeCell ref="H40:L40"/>
    <mergeCell ref="H41:L41"/>
    <mergeCell ref="O32:R32"/>
    <mergeCell ref="Q54:W54"/>
    <mergeCell ref="Q55:T55"/>
    <mergeCell ref="A55:E55"/>
    <mergeCell ref="P52:S52"/>
    <mergeCell ref="A71:G71"/>
    <mergeCell ref="U71:AA71"/>
    <mergeCell ref="AB71:AG71"/>
    <mergeCell ref="U72:AA72"/>
    <mergeCell ref="AB72:AK72"/>
    <mergeCell ref="A35:D35"/>
    <mergeCell ref="E35:M35"/>
    <mergeCell ref="P37:S37"/>
    <mergeCell ref="N73:Q73"/>
    <mergeCell ref="N74:Q74"/>
    <mergeCell ref="N75:Q75"/>
    <mergeCell ref="BA37:BD37"/>
    <mergeCell ref="AZ34:BC34"/>
    <mergeCell ref="AL48:AP48"/>
    <mergeCell ref="AQ48:AS48"/>
    <mergeCell ref="AU48:AY48"/>
    <mergeCell ref="AP41:AQ41"/>
    <mergeCell ref="AS41:AW41"/>
    <mergeCell ref="AP35:AX35"/>
    <mergeCell ref="BG46:BN46"/>
    <mergeCell ref="BJ47:BN47"/>
    <mergeCell ref="AL41:AO41"/>
    <mergeCell ref="BN23:BV23"/>
    <mergeCell ref="AZ24:BC24"/>
    <mergeCell ref="BF24:BK24"/>
    <mergeCell ref="BN24:BQ24"/>
    <mergeCell ref="BR24:BU24"/>
    <mergeCell ref="BR25:BU25"/>
    <mergeCell ref="BN27:BQ27"/>
    <mergeCell ref="BR27:BU27"/>
    <mergeCell ref="BB28:BE28"/>
    <mergeCell ref="BF28:BK28"/>
    <mergeCell ref="AL30:AV30"/>
    <mergeCell ref="AW30:BJ30"/>
    <mergeCell ref="AL32:AO32"/>
    <mergeCell ref="AP32:AX32"/>
    <mergeCell ref="AZ32:BC32"/>
    <mergeCell ref="BF32:BJ32"/>
    <mergeCell ref="BE37:BJ37"/>
    <mergeCell ref="AL25:AO25"/>
    <mergeCell ref="AP25:AX25"/>
    <mergeCell ref="AL24:AO24"/>
    <mergeCell ref="AP24:AX24"/>
    <mergeCell ref="BB58:BE58"/>
    <mergeCell ref="BF59:BH59"/>
    <mergeCell ref="BJ59:BN59"/>
    <mergeCell ref="BB54:BH54"/>
    <mergeCell ref="BB55:BE55"/>
    <mergeCell ref="AQ51:AS51"/>
    <mergeCell ref="AU51:AY51"/>
    <mergeCell ref="BF48:BH48"/>
    <mergeCell ref="BJ48:BN48"/>
    <mergeCell ref="BA50:BF50"/>
    <mergeCell ref="BG50:BN50"/>
    <mergeCell ref="BA51:BE51"/>
    <mergeCell ref="BF51:BH51"/>
    <mergeCell ref="BJ51:BN51"/>
    <mergeCell ref="BA52:BD52"/>
    <mergeCell ref="BJ52:BN52"/>
    <mergeCell ref="AR50:AY50"/>
    <mergeCell ref="AL50:AQ50"/>
    <mergeCell ref="AL51:AP51"/>
    <mergeCell ref="AL54:AP54"/>
    <mergeCell ref="AL56:AO56"/>
    <mergeCell ref="AQ56:AS56"/>
    <mergeCell ref="AU56:AY56"/>
    <mergeCell ref="BF56:BH56"/>
    <mergeCell ref="BJ56:BN56"/>
    <mergeCell ref="AL59:AP59"/>
    <mergeCell ref="AQ59:AS59"/>
    <mergeCell ref="AU59:AY59"/>
    <mergeCell ref="AQ52:AT52"/>
    <mergeCell ref="AL60:AP60"/>
    <mergeCell ref="AQ60:AS60"/>
    <mergeCell ref="AU60:AY60"/>
    <mergeCell ref="AP62:AS62"/>
    <mergeCell ref="AB73:AG73"/>
    <mergeCell ref="AH73:AK73"/>
    <mergeCell ref="U74:AA74"/>
    <mergeCell ref="AB74:AG74"/>
    <mergeCell ref="AH74:AK74"/>
    <mergeCell ref="BI62:BK62"/>
    <mergeCell ref="BM62:BQ62"/>
    <mergeCell ref="BB63:BH63"/>
    <mergeCell ref="BI63:BK63"/>
    <mergeCell ref="BM63:BQ63"/>
    <mergeCell ref="AT62:AY62"/>
    <mergeCell ref="BB64:BH64"/>
    <mergeCell ref="BI64:BK64"/>
    <mergeCell ref="BM64:BQ64"/>
    <mergeCell ref="AB68:AF68"/>
    <mergeCell ref="BB66:BH66"/>
    <mergeCell ref="BI66:BK66"/>
    <mergeCell ref="BM66:BQ66"/>
    <mergeCell ref="BB67:BH67"/>
    <mergeCell ref="BI67:BK67"/>
    <mergeCell ref="BM67:BQ67"/>
    <mergeCell ref="BB68:BH68"/>
    <mergeCell ref="BI68:BK68"/>
    <mergeCell ref="BM68:BQ68"/>
    <mergeCell ref="X63:Z63"/>
    <mergeCell ref="X64:Z64"/>
    <mergeCell ref="X65:Z65"/>
    <mergeCell ref="AB66:AF66"/>
    <mergeCell ref="AH75:AK75"/>
    <mergeCell ref="AO71:AU71"/>
    <mergeCell ref="AV71:BA71"/>
    <mergeCell ref="AO72:AU72"/>
    <mergeCell ref="AV72:BE72"/>
    <mergeCell ref="AO73:AU73"/>
    <mergeCell ref="AV73:BA73"/>
    <mergeCell ref="BB73:BE73"/>
    <mergeCell ref="AO74:AU74"/>
    <mergeCell ref="AV74:BA74"/>
    <mergeCell ref="BB74:BE74"/>
    <mergeCell ref="AO75:AU75"/>
    <mergeCell ref="AV75:BA75"/>
    <mergeCell ref="BB75:BE75"/>
    <mergeCell ref="BM61:BQ61"/>
    <mergeCell ref="BB62:BH62"/>
    <mergeCell ref="BB65:BH65"/>
    <mergeCell ref="BI65:BK65"/>
    <mergeCell ref="BB61:BH61"/>
    <mergeCell ref="BI61:BK61"/>
    <mergeCell ref="BM65:BQ65"/>
    <mergeCell ref="BH69:BK69"/>
    <mergeCell ref="AH76:AK76"/>
    <mergeCell ref="U73:AA73"/>
    <mergeCell ref="U77:AA77"/>
    <mergeCell ref="AB77:AG77"/>
    <mergeCell ref="AH77:AK77"/>
    <mergeCell ref="AA79:AC79"/>
    <mergeCell ref="AA80:AC80"/>
    <mergeCell ref="J79:Q79"/>
    <mergeCell ref="J80:Q80"/>
    <mergeCell ref="AD79:AK79"/>
    <mergeCell ref="AD80:AK80"/>
    <mergeCell ref="CY27:DB27"/>
    <mergeCell ref="DC27:DF27"/>
    <mergeCell ref="CM28:CP28"/>
    <mergeCell ref="CQ28:CV28"/>
    <mergeCell ref="BW30:CG30"/>
    <mergeCell ref="CH30:CU30"/>
    <mergeCell ref="BW32:BZ32"/>
    <mergeCell ref="CA32:CI32"/>
    <mergeCell ref="CK32:CN32"/>
    <mergeCell ref="CQ32:CU32"/>
    <mergeCell ref="BW33:BZ33"/>
    <mergeCell ref="CA33:CI33"/>
    <mergeCell ref="CK33:CN33"/>
    <mergeCell ref="CQ33:CU33"/>
    <mergeCell ref="BW34:BZ34"/>
    <mergeCell ref="CA34:CI34"/>
    <mergeCell ref="CK34:CN34"/>
    <mergeCell ref="CQ34:CU34"/>
    <mergeCell ref="BW35:BZ35"/>
    <mergeCell ref="CA35:CI35"/>
    <mergeCell ref="CK35:CN35"/>
    <mergeCell ref="CQ35:CU35"/>
    <mergeCell ref="BW25:BZ25"/>
    <mergeCell ref="CA25:CI25"/>
    <mergeCell ref="CK25:CN25"/>
    <mergeCell ref="CQ25:CV25"/>
    <mergeCell ref="CY25:DB25"/>
    <mergeCell ref="DC25:DF25"/>
    <mergeCell ref="BW26:BZ26"/>
    <mergeCell ref="CA26:CI26"/>
    <mergeCell ref="CK26:CN26"/>
    <mergeCell ref="CQ26:CV26"/>
    <mergeCell ref="CE22:CI22"/>
    <mergeCell ref="BW23:BZ23"/>
    <mergeCell ref="CA23:CI23"/>
    <mergeCell ref="CK23:CN23"/>
    <mergeCell ref="CQ23:CV23"/>
    <mergeCell ref="CY23:DG23"/>
    <mergeCell ref="BW24:BZ24"/>
    <mergeCell ref="CA24:CI24"/>
    <mergeCell ref="CK24:CN24"/>
    <mergeCell ref="CQ24:CV24"/>
    <mergeCell ref="CY24:DB24"/>
    <mergeCell ref="DC24:DF24"/>
    <mergeCell ref="CL37:CO37"/>
    <mergeCell ref="CP37:CU37"/>
    <mergeCell ref="BW39:CD39"/>
    <mergeCell ref="BW40:BZ40"/>
    <mergeCell ref="CA40:CB40"/>
    <mergeCell ref="CD40:CH40"/>
    <mergeCell ref="BW41:BZ41"/>
    <mergeCell ref="CA41:CB41"/>
    <mergeCell ref="CD41:CH41"/>
    <mergeCell ref="BZ43:CC43"/>
    <mergeCell ref="CD43:CH43"/>
    <mergeCell ref="BW45:BY45"/>
    <mergeCell ref="CM54:CS54"/>
    <mergeCell ref="BW46:CB46"/>
    <mergeCell ref="CM55:CP55"/>
    <mergeCell ref="BW47:CA47"/>
    <mergeCell ref="CB47:CD47"/>
    <mergeCell ref="CF47:CJ47"/>
    <mergeCell ref="CM63:CS63"/>
    <mergeCell ref="CT63:CV63"/>
    <mergeCell ref="CX63:DB63"/>
    <mergeCell ref="BW55:CA55"/>
    <mergeCell ref="CB55:CD55"/>
    <mergeCell ref="CF55:CJ55"/>
    <mergeCell ref="CQ56:CS56"/>
    <mergeCell ref="CL46:CQ46"/>
    <mergeCell ref="CR46:CY46"/>
    <mergeCell ref="CC46:CJ46"/>
    <mergeCell ref="CB52:CE52"/>
    <mergeCell ref="CQ52:CT52"/>
    <mergeCell ref="CU56:CY56"/>
    <mergeCell ref="BW48:CA48"/>
    <mergeCell ref="CB48:CD48"/>
    <mergeCell ref="CF48:CJ48"/>
    <mergeCell ref="CM58:CP58"/>
    <mergeCell ref="BW50:CB50"/>
    <mergeCell ref="CQ59:CS59"/>
    <mergeCell ref="CU59:CY59"/>
    <mergeCell ref="BW51:CA51"/>
    <mergeCell ref="CB51:CD51"/>
    <mergeCell ref="CF51:CJ51"/>
    <mergeCell ref="CL47:CP47"/>
    <mergeCell ref="CQ47:CS47"/>
    <mergeCell ref="CU47:CY47"/>
    <mergeCell ref="CL48:CP48"/>
    <mergeCell ref="CQ48:CS48"/>
    <mergeCell ref="CU48:CY48"/>
    <mergeCell ref="CL50:CQ50"/>
    <mergeCell ref="CR50:CY50"/>
    <mergeCell ref="BW52:BZ52"/>
    <mergeCell ref="CB59:CD59"/>
    <mergeCell ref="CF59:CJ59"/>
    <mergeCell ref="BW60:CA60"/>
    <mergeCell ref="CB60:CD60"/>
    <mergeCell ref="CF60:CJ60"/>
    <mergeCell ref="CA62:CD62"/>
    <mergeCell ref="CM61:CS61"/>
    <mergeCell ref="CT61:CV61"/>
    <mergeCell ref="CX61:DB61"/>
    <mergeCell ref="CM62:CS62"/>
    <mergeCell ref="CT62:CV62"/>
    <mergeCell ref="CX62:DB62"/>
    <mergeCell ref="CL51:CP51"/>
    <mergeCell ref="CQ51:CS51"/>
    <mergeCell ref="CU51:CY51"/>
    <mergeCell ref="CL52:CO52"/>
    <mergeCell ref="CU52:CY52"/>
    <mergeCell ref="CE62:CJ62"/>
    <mergeCell ref="BW54:CA54"/>
    <mergeCell ref="CF52:CJ52"/>
    <mergeCell ref="AO76:AU76"/>
    <mergeCell ref="AV76:BA76"/>
    <mergeCell ref="BB76:BE76"/>
    <mergeCell ref="AO77:AU77"/>
    <mergeCell ref="AV77:BA77"/>
    <mergeCell ref="BB77:BE77"/>
    <mergeCell ref="AU79:AW79"/>
    <mergeCell ref="AX79:BE79"/>
    <mergeCell ref="AU80:AW80"/>
    <mergeCell ref="AX80:BE80"/>
    <mergeCell ref="CM64:CS64"/>
    <mergeCell ref="CT64:CV64"/>
    <mergeCell ref="CX64:DB64"/>
    <mergeCell ref="BW56:BZ56"/>
    <mergeCell ref="CB56:CD56"/>
    <mergeCell ref="CF56:CJ56"/>
    <mergeCell ref="CM65:CS65"/>
    <mergeCell ref="CT65:CV65"/>
    <mergeCell ref="CX65:DB65"/>
    <mergeCell ref="BW58:CA58"/>
    <mergeCell ref="CS69:CV69"/>
    <mergeCell ref="CW69:DB69"/>
    <mergeCell ref="CM66:CS66"/>
    <mergeCell ref="CT66:CV66"/>
    <mergeCell ref="CX66:DB66"/>
    <mergeCell ref="CM67:CS67"/>
    <mergeCell ref="CT67:CV67"/>
    <mergeCell ref="CX67:DB67"/>
    <mergeCell ref="CM68:CS68"/>
    <mergeCell ref="CT68:CV68"/>
    <mergeCell ref="CX68:DB68"/>
    <mergeCell ref="BW59:CA59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K43"/>
  <sheetViews>
    <sheetView zoomScale="80" zoomScaleNormal="80" workbookViewId="0">
      <selection activeCell="AL31" sqref="AL31"/>
    </sheetView>
  </sheetViews>
  <sheetFormatPr defaultRowHeight="15" x14ac:dyDescent="0.2"/>
  <cols>
    <col min="1" max="157" width="2.28515625" style="142" customWidth="1"/>
    <col min="158" max="16384" width="9.140625" style="142"/>
  </cols>
  <sheetData>
    <row r="1" spans="1:141" ht="15.75" x14ac:dyDescent="0.25">
      <c r="A1" s="863" t="s">
        <v>200</v>
      </c>
      <c r="B1" s="854"/>
      <c r="C1" s="854"/>
      <c r="D1" s="854"/>
      <c r="E1" s="854"/>
      <c r="F1" s="854"/>
      <c r="G1" s="854"/>
      <c r="H1" s="854"/>
      <c r="I1" s="854"/>
      <c r="J1" s="854"/>
      <c r="K1" s="854"/>
      <c r="L1" s="854"/>
      <c r="M1" s="854"/>
      <c r="N1" s="854"/>
      <c r="O1" s="854"/>
      <c r="P1" s="854"/>
      <c r="Q1" s="854"/>
      <c r="R1" s="854"/>
      <c r="S1" s="854"/>
      <c r="T1" s="854"/>
      <c r="U1" s="854"/>
      <c r="V1" s="854"/>
      <c r="W1" s="854"/>
      <c r="X1" s="854"/>
      <c r="Y1" s="854"/>
      <c r="Z1" s="854"/>
      <c r="AA1" s="854"/>
      <c r="AB1" s="854"/>
      <c r="AC1" s="854"/>
      <c r="AD1" s="854"/>
      <c r="AE1" s="854"/>
      <c r="AF1" s="854"/>
      <c r="AG1" s="854"/>
      <c r="AH1" s="854"/>
      <c r="AI1" s="854"/>
      <c r="AJ1" s="854"/>
      <c r="AK1" s="854"/>
      <c r="AL1" s="854"/>
      <c r="AM1" s="854"/>
      <c r="AN1" s="854"/>
      <c r="AO1" s="854"/>
      <c r="AP1" s="854"/>
      <c r="AQ1" s="854"/>
      <c r="AR1" s="854"/>
      <c r="AS1" s="854"/>
      <c r="AT1" s="854"/>
      <c r="AU1" s="854"/>
      <c r="AV1" s="854"/>
      <c r="AW1" s="854"/>
      <c r="AX1" s="854"/>
      <c r="AY1" s="854"/>
      <c r="AZ1" s="854"/>
      <c r="BA1" s="854"/>
      <c r="BB1" s="854"/>
      <c r="BC1" s="854"/>
      <c r="BD1" s="854"/>
      <c r="BE1" s="854"/>
      <c r="BF1" s="854"/>
      <c r="BG1" s="854"/>
      <c r="BH1" s="854"/>
      <c r="BI1" s="854"/>
      <c r="BJ1" s="854"/>
      <c r="BK1" s="854"/>
      <c r="BL1" s="854"/>
      <c r="BM1" s="854"/>
      <c r="BN1" s="854"/>
      <c r="BO1" s="854"/>
      <c r="BP1" s="854"/>
      <c r="CS1" s="868" t="s">
        <v>197</v>
      </c>
      <c r="CT1" s="861"/>
      <c r="CU1" s="861"/>
      <c r="CV1" s="861"/>
      <c r="CW1" s="869"/>
      <c r="CX1" s="864" t="s">
        <v>71</v>
      </c>
      <c r="CY1" s="865"/>
      <c r="CZ1" s="865"/>
      <c r="DA1" s="865"/>
      <c r="DB1" s="866"/>
      <c r="DC1" s="212"/>
      <c r="DD1" s="881">
        <v>2</v>
      </c>
      <c r="DE1" s="882"/>
      <c r="DJ1" s="205"/>
      <c r="EE1" s="141"/>
    </row>
    <row r="2" spans="1:141" x14ac:dyDescent="0.2">
      <c r="A2" s="200"/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CS2" s="868" t="s">
        <v>197</v>
      </c>
      <c r="CT2" s="861"/>
      <c r="CU2" s="861"/>
      <c r="CV2" s="861"/>
      <c r="CW2" s="869"/>
      <c r="CX2" s="864" t="s">
        <v>72</v>
      </c>
      <c r="CY2" s="865"/>
      <c r="CZ2" s="865"/>
      <c r="DA2" s="865"/>
      <c r="DB2" s="866"/>
      <c r="DC2" s="212"/>
      <c r="DD2" s="881">
        <v>3</v>
      </c>
      <c r="DE2" s="882"/>
      <c r="DK2" s="200"/>
      <c r="DL2" s="205"/>
      <c r="DM2" s="205"/>
      <c r="DN2" s="205"/>
      <c r="DO2" s="205"/>
      <c r="DP2" s="205"/>
      <c r="DQ2" s="205"/>
      <c r="DR2" s="205"/>
      <c r="DS2" s="205"/>
      <c r="DT2" s="143"/>
      <c r="DU2" s="205"/>
      <c r="DV2" s="205"/>
      <c r="DW2" s="144"/>
      <c r="DX2" s="145"/>
      <c r="DY2" s="205"/>
      <c r="DZ2" s="205"/>
      <c r="EA2" s="200"/>
    </row>
    <row r="3" spans="1:141" ht="15.75" x14ac:dyDescent="0.25">
      <c r="A3" s="520" t="s">
        <v>0</v>
      </c>
      <c r="B3" s="854"/>
      <c r="C3" s="854"/>
      <c r="D3" s="854"/>
      <c r="E3" s="854"/>
      <c r="F3" s="854"/>
      <c r="G3" s="854"/>
      <c r="H3" s="854"/>
      <c r="I3" s="854"/>
      <c r="J3" s="201"/>
      <c r="K3" s="867"/>
      <c r="L3" s="854"/>
      <c r="M3" s="854"/>
      <c r="N3" s="854"/>
      <c r="O3" s="854"/>
      <c r="P3" s="854"/>
      <c r="Q3" s="854"/>
      <c r="R3" s="854"/>
      <c r="S3" s="854"/>
      <c r="T3" s="854"/>
      <c r="U3" s="854"/>
      <c r="V3" s="854"/>
      <c r="W3" s="854"/>
      <c r="X3" s="854"/>
      <c r="Y3" s="854"/>
      <c r="Z3" s="854"/>
      <c r="AA3" s="854"/>
      <c r="AB3" s="854"/>
      <c r="AC3" s="854"/>
      <c r="AD3" s="854"/>
      <c r="AE3" s="854"/>
      <c r="AF3" s="854"/>
      <c r="AG3" s="854"/>
      <c r="AH3" s="854"/>
      <c r="AI3" s="854"/>
      <c r="AJ3" s="854"/>
      <c r="AK3" s="854"/>
      <c r="AL3" s="854"/>
      <c r="AM3" s="854"/>
      <c r="AN3" s="854"/>
      <c r="AO3" s="854"/>
      <c r="AP3" s="854"/>
      <c r="AQ3" s="854"/>
      <c r="AR3" s="854"/>
      <c r="AS3" s="854"/>
      <c r="AV3" s="885" t="s">
        <v>2</v>
      </c>
      <c r="AW3" s="854"/>
      <c r="AX3" s="854"/>
      <c r="AY3" s="854"/>
      <c r="AZ3" s="854"/>
      <c r="BA3" s="854"/>
      <c r="BB3" s="854"/>
      <c r="BC3" s="854"/>
      <c r="BD3" s="854"/>
      <c r="BE3" s="886" t="s">
        <v>176</v>
      </c>
      <c r="BF3" s="854"/>
      <c r="BG3" s="854"/>
      <c r="BH3" s="854"/>
      <c r="BI3" s="854"/>
      <c r="BJ3" s="854"/>
      <c r="BK3" s="854"/>
      <c r="BL3" s="854"/>
      <c r="BM3" s="854"/>
      <c r="BN3" s="854"/>
      <c r="BO3" s="204"/>
      <c r="BP3" s="204"/>
      <c r="BQ3" s="204"/>
      <c r="BR3" s="204"/>
      <c r="BS3" s="204"/>
      <c r="BT3" s="205"/>
      <c r="BU3" s="205"/>
      <c r="BV3" s="205"/>
      <c r="BW3" s="205"/>
      <c r="BX3" s="205"/>
      <c r="BY3" s="205"/>
      <c r="BZ3" s="205"/>
      <c r="CA3" s="205"/>
      <c r="CB3" s="205"/>
      <c r="CC3" s="205"/>
      <c r="CS3" s="868" t="s">
        <v>197</v>
      </c>
      <c r="CT3" s="861"/>
      <c r="CU3" s="861"/>
      <c r="CV3" s="861"/>
      <c r="CW3" s="869"/>
      <c r="CX3" s="864" t="s">
        <v>73</v>
      </c>
      <c r="CY3" s="865"/>
      <c r="CZ3" s="865"/>
      <c r="DA3" s="865"/>
      <c r="DB3" s="866"/>
      <c r="DC3" s="212"/>
      <c r="DD3" s="881">
        <v>4</v>
      </c>
      <c r="DE3" s="882"/>
      <c r="DK3" s="200"/>
      <c r="DL3" s="205"/>
      <c r="DM3" s="205"/>
      <c r="DN3" s="205"/>
      <c r="DO3" s="205"/>
      <c r="DP3" s="205"/>
      <c r="DQ3" s="205"/>
      <c r="DR3" s="205"/>
      <c r="DS3" s="205"/>
      <c r="DT3" s="143"/>
      <c r="DU3" s="205"/>
      <c r="DV3" s="205"/>
      <c r="DW3" s="144"/>
      <c r="DX3" s="145"/>
      <c r="DY3" s="205"/>
      <c r="DZ3" s="205"/>
      <c r="EA3" s="200"/>
    </row>
    <row r="4" spans="1:141" x14ac:dyDescent="0.2">
      <c r="A4" s="520" t="s">
        <v>1</v>
      </c>
      <c r="B4" s="854"/>
      <c r="C4" s="854"/>
      <c r="D4" s="854"/>
      <c r="E4" s="854"/>
      <c r="F4" s="854"/>
      <c r="G4" s="854"/>
      <c r="H4" s="854"/>
      <c r="I4" s="854"/>
      <c r="J4" s="854"/>
      <c r="K4" s="867"/>
      <c r="L4" s="854"/>
      <c r="M4" s="854"/>
      <c r="N4" s="854"/>
      <c r="O4" s="854"/>
      <c r="P4" s="854"/>
      <c r="Q4" s="854"/>
      <c r="R4" s="854"/>
      <c r="S4" s="854"/>
      <c r="T4" s="854"/>
      <c r="U4" s="854"/>
      <c r="V4" s="854"/>
      <c r="W4" s="854"/>
      <c r="X4" s="854"/>
      <c r="Y4" s="854"/>
      <c r="Z4" s="854"/>
      <c r="AA4" s="854"/>
      <c r="AB4" s="854"/>
      <c r="AC4" s="854"/>
      <c r="AD4" s="854"/>
      <c r="AE4" s="854"/>
      <c r="AF4" s="854"/>
      <c r="AG4" s="854"/>
      <c r="AH4" s="854"/>
      <c r="AI4" s="854"/>
      <c r="AJ4" s="854"/>
      <c r="AK4" s="854"/>
      <c r="AL4" s="854"/>
      <c r="AM4" s="854"/>
      <c r="AN4" s="854"/>
      <c r="AO4" s="854"/>
      <c r="AP4" s="854"/>
      <c r="AQ4" s="854"/>
      <c r="AR4" s="854"/>
      <c r="AS4" s="854"/>
      <c r="CS4" s="868" t="s">
        <v>197</v>
      </c>
      <c r="CT4" s="861"/>
      <c r="CU4" s="861"/>
      <c r="CV4" s="861"/>
      <c r="CW4" s="869"/>
      <c r="CX4" s="864" t="s">
        <v>169</v>
      </c>
      <c r="CY4" s="865"/>
      <c r="CZ4" s="865"/>
      <c r="DA4" s="865"/>
      <c r="DB4" s="866"/>
      <c r="DC4" s="212"/>
      <c r="DD4" s="881">
        <v>8</v>
      </c>
      <c r="DE4" s="882"/>
      <c r="DK4" s="200"/>
      <c r="DL4" s="205"/>
      <c r="DM4" s="205"/>
      <c r="DN4" s="205"/>
      <c r="DO4" s="205"/>
      <c r="DP4" s="205"/>
      <c r="DQ4" s="205"/>
      <c r="DR4" s="205"/>
      <c r="DS4" s="205"/>
      <c r="DT4" s="143"/>
      <c r="DU4" s="205"/>
      <c r="DV4" s="205"/>
      <c r="DW4" s="144"/>
      <c r="DX4" s="145"/>
      <c r="DY4" s="205"/>
      <c r="DZ4" s="205"/>
      <c r="EA4" s="200"/>
    </row>
    <row r="5" spans="1:141" x14ac:dyDescent="0.2">
      <c r="A5" s="520" t="s">
        <v>3</v>
      </c>
      <c r="B5" s="854"/>
      <c r="C5" s="854"/>
      <c r="D5" s="854"/>
      <c r="E5" s="854"/>
      <c r="F5" s="854"/>
      <c r="G5" s="854"/>
      <c r="H5" s="854"/>
      <c r="I5" s="854"/>
      <c r="J5" s="205"/>
      <c r="K5" s="867"/>
      <c r="L5" s="854"/>
      <c r="M5" s="854"/>
      <c r="N5" s="854"/>
      <c r="O5" s="854"/>
      <c r="P5" s="854"/>
      <c r="Q5" s="854"/>
      <c r="R5" s="854"/>
      <c r="S5" s="854"/>
      <c r="T5" s="854"/>
      <c r="U5" s="854"/>
      <c r="V5" s="854"/>
      <c r="W5" s="854"/>
      <c r="X5" s="854"/>
      <c r="Y5" s="854"/>
      <c r="Z5" s="854"/>
      <c r="AA5" s="854"/>
      <c r="AB5" s="854"/>
      <c r="AC5" s="854"/>
      <c r="AD5" s="854"/>
      <c r="AE5" s="854"/>
      <c r="AF5" s="854"/>
      <c r="AG5" s="854"/>
      <c r="AH5" s="854"/>
      <c r="AI5" s="854"/>
      <c r="AJ5" s="854"/>
      <c r="AK5" s="854"/>
      <c r="AL5" s="854"/>
      <c r="AM5" s="854"/>
      <c r="AN5" s="854"/>
      <c r="AO5" s="854"/>
      <c r="AP5" s="854"/>
      <c r="AQ5" s="854"/>
      <c r="AR5" s="854"/>
      <c r="AS5" s="854"/>
    </row>
    <row r="6" spans="1:141" ht="15.75" x14ac:dyDescent="0.25">
      <c r="A6" s="200"/>
      <c r="B6" s="200"/>
      <c r="C6" s="200"/>
      <c r="D6" s="200"/>
      <c r="E6" s="205"/>
      <c r="F6" s="205"/>
      <c r="G6" s="205"/>
      <c r="H6" s="200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CS6" s="871" t="s">
        <v>193</v>
      </c>
      <c r="CT6" s="871"/>
      <c r="CU6" s="871"/>
      <c r="CV6" s="872"/>
      <c r="CW6" s="872"/>
      <c r="CX6" s="872"/>
      <c r="CY6" s="872"/>
      <c r="CZ6" s="872"/>
      <c r="DA6" s="872"/>
      <c r="DB6" s="872"/>
      <c r="DC6" s="872"/>
      <c r="DD6" s="873"/>
      <c r="DE6" s="883">
        <v>1</v>
      </c>
      <c r="DF6" s="884"/>
      <c r="DG6" s="213"/>
      <c r="DH6" s="212"/>
      <c r="DI6" s="212"/>
    </row>
    <row r="7" spans="1:141" ht="15.75" x14ac:dyDescent="0.25">
      <c r="A7" s="887" t="s">
        <v>4</v>
      </c>
      <c r="B7" s="854"/>
      <c r="C7" s="854"/>
      <c r="D7" s="200"/>
      <c r="E7" s="200" t="s">
        <v>23</v>
      </c>
      <c r="F7" s="205"/>
      <c r="J7" s="854"/>
      <c r="K7" s="854"/>
      <c r="L7" s="854"/>
      <c r="M7" s="854"/>
      <c r="N7" s="854"/>
      <c r="O7" s="854"/>
      <c r="P7" s="854"/>
      <c r="Q7" s="854"/>
      <c r="R7" s="854"/>
      <c r="S7" s="854"/>
      <c r="T7" s="854"/>
      <c r="U7" s="854"/>
      <c r="V7" s="854"/>
      <c r="W7" s="854"/>
      <c r="X7" s="854"/>
      <c r="Y7" s="854"/>
      <c r="Z7" s="854"/>
      <c r="AA7" s="854"/>
      <c r="AB7" s="854"/>
      <c r="AC7" s="854"/>
      <c r="AD7" s="854"/>
      <c r="AE7" s="854"/>
      <c r="AF7" s="854"/>
      <c r="AG7" s="854"/>
      <c r="AH7" s="854"/>
      <c r="AI7" s="854"/>
      <c r="AJ7" s="854"/>
      <c r="AK7" s="854"/>
      <c r="AL7" s="854"/>
      <c r="CS7" s="871" t="s">
        <v>194</v>
      </c>
      <c r="CT7" s="871"/>
      <c r="CU7" s="871"/>
      <c r="CV7" s="872"/>
      <c r="CW7" s="872"/>
      <c r="CX7" s="872"/>
      <c r="CY7" s="872"/>
      <c r="CZ7" s="872"/>
      <c r="DA7" s="872"/>
      <c r="DB7" s="872"/>
      <c r="DC7" s="872"/>
      <c r="DD7" s="873"/>
      <c r="DE7" s="883"/>
      <c r="DF7" s="884"/>
      <c r="DG7" s="213"/>
      <c r="DH7" s="212"/>
      <c r="DI7" s="212"/>
    </row>
    <row r="8" spans="1:141" ht="15.75" x14ac:dyDescent="0.25">
      <c r="A8" s="887" t="s">
        <v>5</v>
      </c>
      <c r="B8" s="854"/>
      <c r="C8" s="854"/>
      <c r="D8" s="854"/>
      <c r="E8" s="854"/>
      <c r="F8" s="854"/>
      <c r="J8" s="854"/>
      <c r="K8" s="854"/>
      <c r="L8" s="854"/>
      <c r="M8" s="854"/>
      <c r="N8" s="854"/>
      <c r="O8" s="854"/>
      <c r="P8" s="854"/>
      <c r="Q8" s="854"/>
      <c r="R8" s="854"/>
      <c r="S8" s="854"/>
      <c r="T8" s="854"/>
      <c r="U8" s="854"/>
      <c r="V8" s="854"/>
      <c r="W8" s="854"/>
      <c r="X8" s="854"/>
      <c r="Y8" s="854"/>
      <c r="Z8" s="854"/>
      <c r="AA8" s="854"/>
      <c r="AB8" s="854"/>
      <c r="AC8" s="854"/>
      <c r="AD8" s="854"/>
      <c r="AE8" s="854"/>
      <c r="AF8" s="854"/>
      <c r="AG8" s="854"/>
      <c r="AH8" s="854"/>
      <c r="AI8" s="854"/>
      <c r="AJ8" s="854"/>
      <c r="AK8" s="854"/>
      <c r="AL8" s="854"/>
      <c r="AV8" s="870" t="s">
        <v>31</v>
      </c>
      <c r="AW8" s="641"/>
      <c r="AX8" s="641"/>
      <c r="AY8" s="641"/>
      <c r="AZ8" s="854" t="s">
        <v>192</v>
      </c>
      <c r="BA8" s="854"/>
      <c r="BB8" s="854"/>
      <c r="BC8" s="854"/>
      <c r="BD8" s="854"/>
      <c r="BE8" s="854"/>
      <c r="BF8" s="844"/>
      <c r="BG8" s="862"/>
      <c r="BH8" s="286" t="s">
        <v>91</v>
      </c>
      <c r="BI8" s="854" t="s">
        <v>172</v>
      </c>
      <c r="BJ8" s="854"/>
      <c r="BK8" s="854"/>
      <c r="BL8" s="854"/>
      <c r="BM8" s="854"/>
      <c r="BN8" s="888" t="str">
        <f>IF(BF8="","",IF(BF8=2,$CX$1,IF(BF8=3,$CX$2,IF(BF8=4,$CX$3,IF(BF8=8,$CX$4)))))</f>
        <v/>
      </c>
      <c r="BO8" s="888"/>
      <c r="BP8" s="888"/>
      <c r="BQ8" s="888"/>
      <c r="BR8" s="888"/>
      <c r="CS8" s="871" t="s">
        <v>195</v>
      </c>
      <c r="CT8" s="871"/>
      <c r="CU8" s="871"/>
      <c r="CV8" s="872"/>
      <c r="CW8" s="872"/>
      <c r="CX8" s="872"/>
      <c r="CY8" s="872"/>
      <c r="CZ8" s="872"/>
      <c r="DA8" s="872"/>
      <c r="DB8" s="872"/>
      <c r="DC8" s="872"/>
      <c r="DD8" s="873"/>
      <c r="DE8" s="883"/>
      <c r="DF8" s="884"/>
      <c r="DG8" s="213"/>
      <c r="DH8" s="212"/>
      <c r="DI8" s="212"/>
    </row>
    <row r="9" spans="1:141" ht="15.75" x14ac:dyDescent="0.25">
      <c r="AM9" s="207"/>
      <c r="AN9" s="207"/>
      <c r="AV9" s="870" t="s">
        <v>32</v>
      </c>
      <c r="AW9" s="641"/>
      <c r="AX9" s="641"/>
      <c r="AY9" s="641"/>
      <c r="AZ9" s="854" t="s">
        <v>192</v>
      </c>
      <c r="BA9" s="854"/>
      <c r="BB9" s="854"/>
      <c r="BC9" s="854"/>
      <c r="BD9" s="854"/>
      <c r="BE9" s="854"/>
      <c r="BF9" s="879">
        <v>2</v>
      </c>
      <c r="BG9" s="880"/>
      <c r="BH9" s="286" t="s">
        <v>91</v>
      </c>
      <c r="BI9" s="854" t="s">
        <v>172</v>
      </c>
      <c r="BJ9" s="854"/>
      <c r="BK9" s="854"/>
      <c r="BL9" s="854"/>
      <c r="BM9" s="854"/>
      <c r="BN9" s="878" t="str">
        <f>IF(BF9="","",IF(BF9=2,$CX$1,IF(BF9=3,$CX$2,IF(BF9=4,$CX$3,IF(BF9=8,$CX$4)))))</f>
        <v>700x500</v>
      </c>
      <c r="BO9" s="878"/>
      <c r="BP9" s="878"/>
      <c r="BQ9" s="878"/>
      <c r="BR9" s="878"/>
      <c r="DG9" s="213"/>
      <c r="DH9" s="212"/>
      <c r="DI9" s="212"/>
    </row>
    <row r="10" spans="1:141" ht="15.75" x14ac:dyDescent="0.25">
      <c r="A10" s="854" t="s">
        <v>198</v>
      </c>
      <c r="B10" s="849"/>
      <c r="C10" s="849"/>
      <c r="D10" s="849"/>
      <c r="H10" s="870" t="s">
        <v>31</v>
      </c>
      <c r="I10" s="641"/>
      <c r="J10" s="641"/>
      <c r="K10" s="641"/>
      <c r="L10" s="876" t="str">
        <f>IF($BF$8="","",J12/$AZ$12)</f>
        <v/>
      </c>
      <c r="M10" s="877"/>
      <c r="N10" s="877"/>
      <c r="O10" s="877"/>
      <c r="S10" s="876" t="str">
        <f>IF($BF$8="","",Q12/$AZ$12)</f>
        <v/>
      </c>
      <c r="T10" s="877"/>
      <c r="U10" s="877"/>
      <c r="V10" s="877"/>
      <c r="Z10" s="876" t="str">
        <f>IF($BF$8="","",X12/$AZ$12)</f>
        <v/>
      </c>
      <c r="AA10" s="877"/>
      <c r="AB10" s="877"/>
      <c r="AC10" s="877"/>
      <c r="AG10" s="876" t="str">
        <f>IF($BF$8="","",AE12/$AZ$12)</f>
        <v/>
      </c>
      <c r="AH10" s="877"/>
      <c r="AI10" s="877"/>
      <c r="AJ10" s="877"/>
      <c r="AN10" s="876" t="str">
        <f>IF($BF$8="","",AL12/$AZ$12)</f>
        <v/>
      </c>
      <c r="AO10" s="877"/>
      <c r="AP10" s="877"/>
      <c r="AQ10" s="877"/>
      <c r="DG10" s="213"/>
      <c r="DH10" s="212"/>
      <c r="DI10" s="212"/>
    </row>
    <row r="11" spans="1:141" ht="15.75" x14ac:dyDescent="0.25">
      <c r="H11" s="870" t="s">
        <v>32</v>
      </c>
      <c r="I11" s="641"/>
      <c r="J11" s="641"/>
      <c r="K11" s="641"/>
      <c r="L11" s="876">
        <f>IF($BF$9="",0,ROUNDUP((J12/$AZ$13)/$BF$9,)*1)</f>
        <v>125</v>
      </c>
      <c r="M11" s="877"/>
      <c r="N11" s="877"/>
      <c r="O11" s="877"/>
      <c r="S11" s="876">
        <f>IF($BF$9="",0,ROUNDUP((Q12/$AZ$13)/$BF$9,)*1)</f>
        <v>625</v>
      </c>
      <c r="T11" s="877"/>
      <c r="U11" s="877"/>
      <c r="V11" s="877"/>
      <c r="Z11" s="876">
        <f>IF($BF$9="",0,ROUNDUP((X12/$AZ$13)/$BF$9,)*1)</f>
        <v>1250</v>
      </c>
      <c r="AA11" s="877"/>
      <c r="AB11" s="877"/>
      <c r="AC11" s="877"/>
      <c r="AG11" s="876">
        <f>IF($BF$9="",0,ROUNDUP((AE12/$AZ$13)/$BF$9,)*1)</f>
        <v>2500</v>
      </c>
      <c r="AH11" s="877"/>
      <c r="AI11" s="877"/>
      <c r="AJ11" s="877"/>
      <c r="AN11" s="876">
        <f>IF($BF$9="",0,ROUNDUP((AL12/$AZ$13)/$BF$9,)*1)</f>
        <v>6250</v>
      </c>
      <c r="AO11" s="877"/>
      <c r="AP11" s="877"/>
      <c r="AQ11" s="877"/>
      <c r="DG11" s="212"/>
      <c r="DH11" s="212"/>
      <c r="DI11" s="212"/>
    </row>
    <row r="12" spans="1:141" ht="15.75" x14ac:dyDescent="0.25">
      <c r="A12" s="520" t="s">
        <v>6</v>
      </c>
      <c r="B12" s="854"/>
      <c r="C12" s="854"/>
      <c r="D12" s="854"/>
      <c r="E12" s="854"/>
      <c r="F12" s="854"/>
      <c r="G12" s="854"/>
      <c r="H12" s="215"/>
      <c r="I12" s="216"/>
      <c r="J12" s="906">
        <v>1000</v>
      </c>
      <c r="K12" s="907"/>
      <c r="L12" s="907"/>
      <c r="M12" s="907"/>
      <c r="N12" s="907"/>
      <c r="O12" s="908"/>
      <c r="Q12" s="906">
        <v>5000</v>
      </c>
      <c r="R12" s="907"/>
      <c r="S12" s="907"/>
      <c r="T12" s="907"/>
      <c r="U12" s="907"/>
      <c r="V12" s="908"/>
      <c r="X12" s="906">
        <v>10000</v>
      </c>
      <c r="Y12" s="907"/>
      <c r="Z12" s="907"/>
      <c r="AA12" s="907"/>
      <c r="AB12" s="907"/>
      <c r="AC12" s="908"/>
      <c r="AE12" s="906">
        <v>20000</v>
      </c>
      <c r="AF12" s="907"/>
      <c r="AG12" s="907"/>
      <c r="AH12" s="907"/>
      <c r="AI12" s="907"/>
      <c r="AJ12" s="908"/>
      <c r="AK12" s="207"/>
      <c r="AL12" s="906">
        <v>50000</v>
      </c>
      <c r="AM12" s="907"/>
      <c r="AN12" s="907"/>
      <c r="AO12" s="907"/>
      <c r="AP12" s="907"/>
      <c r="AQ12" s="908"/>
      <c r="AV12" s="854" t="s">
        <v>196</v>
      </c>
      <c r="AW12" s="854"/>
      <c r="AX12" s="854"/>
      <c r="AY12" s="854"/>
      <c r="AZ12" s="844"/>
      <c r="BA12" s="862"/>
      <c r="BC12" s="870" t="s">
        <v>232</v>
      </c>
      <c r="BD12" s="641"/>
      <c r="BE12" s="641"/>
      <c r="BF12" s="641"/>
      <c r="BG12" s="874" t="str">
        <f>IF(AZ12="","",AZ12*BF8)</f>
        <v/>
      </c>
      <c r="BH12" s="875"/>
      <c r="DG12" s="212"/>
      <c r="DH12" s="212"/>
      <c r="DI12" s="212"/>
    </row>
    <row r="13" spans="1:141" ht="15.75" x14ac:dyDescent="0.25">
      <c r="A13" s="853" t="s">
        <v>40</v>
      </c>
      <c r="B13" s="854"/>
      <c r="C13" s="854"/>
      <c r="D13" s="854"/>
      <c r="E13" s="854"/>
      <c r="F13" s="854"/>
      <c r="G13" s="116"/>
      <c r="H13" s="116"/>
      <c r="I13" s="216"/>
      <c r="J13" s="860" t="b">
        <f>IF(J12="","",IF(BC24=J12,BL86))</f>
        <v>0</v>
      </c>
      <c r="K13" s="861"/>
      <c r="L13" s="861"/>
      <c r="M13" s="861"/>
      <c r="N13" s="861"/>
      <c r="O13" s="861"/>
      <c r="Q13" s="860" t="b">
        <f>IF(Q12="","",IF(BL24=Q12,BU86))</f>
        <v>0</v>
      </c>
      <c r="R13" s="861"/>
      <c r="S13" s="861"/>
      <c r="T13" s="861"/>
      <c r="U13" s="861"/>
      <c r="V13" s="861"/>
      <c r="X13" s="860" t="b">
        <f>IF(X12="","",IF(BU24=X12,CD86))</f>
        <v>0</v>
      </c>
      <c r="Y13" s="861"/>
      <c r="Z13" s="861"/>
      <c r="AA13" s="861"/>
      <c r="AB13" s="861"/>
      <c r="AC13" s="861"/>
      <c r="AE13" s="860" t="b">
        <f>IF(AE12="","",IF(CD24=AE12,CM86))</f>
        <v>0</v>
      </c>
      <c r="AF13" s="861"/>
      <c r="AG13" s="861"/>
      <c r="AH13" s="861"/>
      <c r="AI13" s="861"/>
      <c r="AJ13" s="861"/>
      <c r="AK13" s="207"/>
      <c r="AL13" s="860" t="b">
        <f>IF(AL12="","",IF(CM24=AL12,CV86))</f>
        <v>0</v>
      </c>
      <c r="AM13" s="861"/>
      <c r="AN13" s="861"/>
      <c r="AO13" s="861"/>
      <c r="AP13" s="861"/>
      <c r="AQ13" s="861"/>
      <c r="AV13" s="854" t="s">
        <v>196</v>
      </c>
      <c r="AW13" s="854"/>
      <c r="AX13" s="854"/>
      <c r="AY13" s="854"/>
      <c r="AZ13" s="844">
        <v>4</v>
      </c>
      <c r="BA13" s="862"/>
      <c r="BC13" s="870" t="s">
        <v>232</v>
      </c>
      <c r="BD13" s="641"/>
      <c r="BE13" s="641"/>
      <c r="BF13" s="641"/>
      <c r="BG13" s="874">
        <f>IF(AZ13="","",AZ13*BF9)</f>
        <v>8</v>
      </c>
      <c r="BH13" s="875"/>
      <c r="CS13" s="211"/>
      <c r="CT13" s="211"/>
      <c r="CU13" s="211"/>
      <c r="CV13" s="212"/>
      <c r="CW13" s="212"/>
      <c r="CX13" s="212"/>
      <c r="CY13" s="212"/>
      <c r="CZ13" s="212"/>
      <c r="DA13" s="212"/>
      <c r="DB13" s="212"/>
      <c r="DC13" s="212"/>
      <c r="DD13" s="212"/>
      <c r="DE13" s="214"/>
      <c r="DF13" s="213"/>
      <c r="DG13" s="212"/>
      <c r="DH13" s="212"/>
      <c r="DI13" s="212"/>
      <c r="EJ13" s="208"/>
      <c r="EK13" s="208"/>
    </row>
    <row r="14" spans="1:141" ht="15.75" x14ac:dyDescent="0.25">
      <c r="A14" s="857" t="s">
        <v>41</v>
      </c>
      <c r="B14" s="854"/>
      <c r="C14" s="854"/>
      <c r="D14" s="854"/>
      <c r="E14" s="854"/>
      <c r="F14" s="854"/>
      <c r="G14" s="854"/>
      <c r="H14" s="854"/>
      <c r="I14" s="205"/>
      <c r="J14" s="858" t="e">
        <f>IF(J13="","",IF(#REF!=J13,BL87))</f>
        <v>#REF!</v>
      </c>
      <c r="K14" s="859"/>
      <c r="L14" s="859"/>
      <c r="M14" s="859"/>
      <c r="N14" s="859"/>
      <c r="O14" s="859"/>
      <c r="Q14" s="858">
        <f>IF(Q13="","",IF(BL25=Q13,BU87))</f>
        <v>0</v>
      </c>
      <c r="R14" s="859"/>
      <c r="S14" s="859"/>
      <c r="T14" s="859"/>
      <c r="U14" s="859"/>
      <c r="V14" s="859"/>
      <c r="X14" s="858">
        <f>IF(X13="","",IF(BU25=X13,CD87))</f>
        <v>0</v>
      </c>
      <c r="Y14" s="859"/>
      <c r="Z14" s="859"/>
      <c r="AA14" s="859"/>
      <c r="AB14" s="859"/>
      <c r="AC14" s="859"/>
      <c r="AE14" s="858">
        <f>IF(AE13="","",IF(CD25=AE13,CM87))</f>
        <v>0</v>
      </c>
      <c r="AF14" s="859"/>
      <c r="AG14" s="859"/>
      <c r="AH14" s="859"/>
      <c r="AI14" s="859"/>
      <c r="AJ14" s="859"/>
      <c r="AL14" s="858">
        <f>IF(AL13="","",IF(CM25=AL13,CV87))</f>
        <v>0</v>
      </c>
      <c r="AM14" s="859"/>
      <c r="AN14" s="859"/>
      <c r="AO14" s="859"/>
      <c r="AP14" s="859"/>
      <c r="AQ14" s="859"/>
      <c r="CS14" s="211"/>
      <c r="CT14" s="212"/>
      <c r="CU14" s="212"/>
      <c r="CV14" s="212"/>
      <c r="CW14" s="212"/>
      <c r="CX14" s="212"/>
      <c r="CY14" s="212"/>
      <c r="CZ14" s="212"/>
      <c r="DA14" s="212"/>
      <c r="DB14" s="212"/>
      <c r="DC14" s="212"/>
      <c r="DD14" s="212"/>
      <c r="DE14" s="213"/>
      <c r="DF14" s="213"/>
      <c r="DG14" s="212"/>
      <c r="DH14" s="212"/>
      <c r="DI14" s="212"/>
      <c r="EJ14" s="208"/>
      <c r="EK14" s="208"/>
    </row>
    <row r="15" spans="1:141" x14ac:dyDescent="0.2">
      <c r="A15" s="206"/>
      <c r="B15" s="206"/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CS15" s="212"/>
      <c r="CT15" s="212"/>
      <c r="CU15" s="212"/>
      <c r="CV15" s="212"/>
      <c r="CW15" s="212"/>
      <c r="CX15" s="212"/>
      <c r="CY15" s="212"/>
      <c r="CZ15" s="212"/>
      <c r="DA15" s="212"/>
      <c r="DB15" s="212"/>
      <c r="DC15" s="212"/>
      <c r="DD15" s="212"/>
      <c r="DE15" s="212"/>
      <c r="DF15" s="212"/>
      <c r="DG15" s="212"/>
      <c r="DH15" s="212"/>
      <c r="DI15" s="212"/>
      <c r="EJ15" s="208"/>
      <c r="EK15" s="208"/>
    </row>
    <row r="16" spans="1:141" x14ac:dyDescent="0.2">
      <c r="EJ16" s="208"/>
      <c r="EK16" s="208"/>
    </row>
    <row r="17" spans="1:50" ht="15.75" x14ac:dyDescent="0.25">
      <c r="A17" s="522" t="s">
        <v>205</v>
      </c>
      <c r="B17" s="641"/>
      <c r="C17" s="641"/>
      <c r="D17" s="641"/>
      <c r="E17" s="641"/>
      <c r="F17" s="641"/>
      <c r="G17" s="641"/>
      <c r="H17" s="641"/>
      <c r="I17" s="205"/>
      <c r="J17" s="205"/>
      <c r="K17" s="205"/>
      <c r="L17" s="205"/>
      <c r="M17" s="205"/>
      <c r="N17" s="205"/>
      <c r="O17" s="205"/>
      <c r="P17" s="205"/>
      <c r="W17" s="206"/>
      <c r="X17" s="206"/>
      <c r="AE17" s="904" t="s">
        <v>201</v>
      </c>
      <c r="AF17" s="641"/>
      <c r="AG17" s="641"/>
      <c r="AH17" s="641"/>
      <c r="AI17" s="641"/>
      <c r="AJ17" s="641"/>
      <c r="AK17" s="641"/>
      <c r="AL17" s="641"/>
      <c r="AM17" s="641"/>
      <c r="AN17" s="202"/>
    </row>
    <row r="18" spans="1:50" ht="15.75" x14ac:dyDescent="0.25">
      <c r="A18" s="848" t="s">
        <v>31</v>
      </c>
      <c r="B18" s="849"/>
      <c r="C18" s="849"/>
      <c r="D18" s="849"/>
      <c r="E18" s="844" t="s">
        <v>184</v>
      </c>
      <c r="F18" s="845"/>
      <c r="G18" s="845"/>
      <c r="H18" s="845"/>
      <c r="I18" s="845"/>
      <c r="J18" s="845"/>
      <c r="K18" s="845"/>
      <c r="L18" s="845"/>
      <c r="M18" s="845"/>
      <c r="N18" s="846"/>
      <c r="O18" s="847"/>
      <c r="Q18" s="844"/>
      <c r="R18" s="845"/>
      <c r="S18" s="845"/>
      <c r="T18" s="862"/>
      <c r="V18" s="855" t="str">
        <f>IF(Q18="","",$Q$18*$L$10/$BF$8)</f>
        <v/>
      </c>
      <c r="W18" s="856"/>
      <c r="X18" s="856"/>
      <c r="Y18" s="846"/>
      <c r="Z18" s="847"/>
      <c r="AE18" s="848" t="s">
        <v>31</v>
      </c>
      <c r="AF18" s="849"/>
      <c r="AG18" s="849"/>
      <c r="AH18" s="849"/>
      <c r="AI18" s="206"/>
      <c r="AJ18" s="850" t="str">
        <f>IF(BF8="","",((L10/BF8)*17)/3500)</f>
        <v/>
      </c>
      <c r="AK18" s="851"/>
      <c r="AL18" s="851"/>
      <c r="AM18" s="852"/>
    </row>
    <row r="19" spans="1:50" ht="15.75" x14ac:dyDescent="0.25">
      <c r="A19" s="216" t="s">
        <v>32</v>
      </c>
      <c r="B19" s="205"/>
      <c r="C19" s="205"/>
      <c r="D19" s="205"/>
      <c r="E19" s="844" t="s">
        <v>199</v>
      </c>
      <c r="F19" s="845"/>
      <c r="G19" s="845"/>
      <c r="H19" s="845"/>
      <c r="I19" s="845"/>
      <c r="J19" s="845"/>
      <c r="K19" s="845"/>
      <c r="L19" s="845"/>
      <c r="M19" s="845"/>
      <c r="N19" s="846"/>
      <c r="O19" s="847"/>
      <c r="Q19" s="897">
        <v>0.21</v>
      </c>
      <c r="R19" s="898"/>
      <c r="S19" s="898"/>
      <c r="T19" s="899"/>
      <c r="U19" s="216"/>
      <c r="V19" s="855">
        <f>IF(Q19="","",$Q$19*$L$11/$BF$9)</f>
        <v>13.125</v>
      </c>
      <c r="W19" s="856"/>
      <c r="X19" s="856"/>
      <c r="Y19" s="846"/>
      <c r="Z19" s="847"/>
      <c r="AA19" s="216"/>
      <c r="AB19" s="206"/>
      <c r="AC19" s="206"/>
      <c r="AD19" s="206"/>
      <c r="AE19" s="216" t="s">
        <v>32</v>
      </c>
      <c r="AF19" s="205"/>
      <c r="AG19" s="205"/>
      <c r="AH19" s="205"/>
      <c r="AJ19" s="850">
        <f>IF(BF9="","",((L11/BF9)*17)/2500)</f>
        <v>0.42499999999999999</v>
      </c>
      <c r="AK19" s="851"/>
      <c r="AL19" s="851"/>
      <c r="AM19" s="852"/>
      <c r="AN19" s="206"/>
      <c r="AO19" s="206"/>
      <c r="AP19" s="206"/>
      <c r="AQ19" s="206"/>
      <c r="AR19" s="206"/>
      <c r="AS19" s="206"/>
      <c r="AT19" s="206"/>
      <c r="AU19" s="209"/>
      <c r="AV19" s="209"/>
      <c r="AW19" s="209"/>
      <c r="AX19" s="206"/>
    </row>
    <row r="20" spans="1:50" x14ac:dyDescent="0.2">
      <c r="A20" s="848" t="s">
        <v>187</v>
      </c>
      <c r="B20" s="849"/>
      <c r="C20" s="849"/>
      <c r="D20" s="849"/>
      <c r="E20" s="844"/>
      <c r="F20" s="845"/>
      <c r="G20" s="845"/>
      <c r="H20" s="845"/>
      <c r="I20" s="845"/>
      <c r="J20" s="845"/>
      <c r="K20" s="845"/>
      <c r="L20" s="845"/>
      <c r="M20" s="845"/>
      <c r="N20" s="846"/>
      <c r="O20" s="847"/>
      <c r="Q20" s="844"/>
      <c r="R20" s="845"/>
      <c r="S20" s="845"/>
      <c r="T20" s="862"/>
      <c r="U20" s="216"/>
      <c r="V20" s="895"/>
      <c r="W20" s="896"/>
      <c r="X20" s="896"/>
      <c r="Y20" s="846"/>
      <c r="Z20" s="847"/>
      <c r="AA20" s="216"/>
      <c r="AB20" s="206"/>
      <c r="AC20" s="206"/>
      <c r="AL20" s="206"/>
      <c r="AM20" s="206"/>
      <c r="AN20" s="206"/>
      <c r="AO20" s="206"/>
      <c r="AP20" s="206"/>
      <c r="AQ20" s="206"/>
      <c r="AR20" s="206"/>
      <c r="AS20" s="206"/>
      <c r="AT20" s="216"/>
      <c r="AU20" s="209"/>
      <c r="AV20" s="209"/>
      <c r="AW20" s="209"/>
      <c r="AX20" s="206"/>
    </row>
    <row r="21" spans="1:50" x14ac:dyDescent="0.2">
      <c r="A21" s="905" t="s">
        <v>208</v>
      </c>
      <c r="B21" s="849"/>
      <c r="C21" s="849"/>
      <c r="D21" s="849"/>
      <c r="E21" s="844"/>
      <c r="F21" s="845"/>
      <c r="G21" s="845"/>
      <c r="H21" s="845"/>
      <c r="I21" s="845"/>
      <c r="J21" s="845"/>
      <c r="K21" s="845"/>
      <c r="L21" s="845"/>
      <c r="M21" s="845"/>
      <c r="N21" s="846"/>
      <c r="O21" s="847"/>
      <c r="Q21" s="844"/>
      <c r="R21" s="845"/>
      <c r="S21" s="845"/>
      <c r="T21" s="862"/>
      <c r="U21" s="231"/>
      <c r="V21" s="895"/>
      <c r="W21" s="896"/>
      <c r="X21" s="896"/>
      <c r="Y21" s="846"/>
      <c r="Z21" s="847"/>
      <c r="AA21" s="216"/>
      <c r="AB21" s="206"/>
      <c r="AC21" s="206"/>
      <c r="AN21" s="206"/>
      <c r="AO21" s="206"/>
      <c r="AP21" s="206"/>
      <c r="AQ21" s="206"/>
      <c r="AR21" s="206"/>
      <c r="AS21" s="206"/>
      <c r="AT21" s="216"/>
      <c r="AU21" s="209"/>
      <c r="AV21" s="209"/>
      <c r="AW21" s="209"/>
    </row>
    <row r="23" spans="1:50" ht="16.5" thickBot="1" x14ac:dyDescent="0.3">
      <c r="Q23" s="891" t="s">
        <v>8</v>
      </c>
      <c r="R23" s="892"/>
      <c r="S23" s="892"/>
      <c r="T23" s="892"/>
      <c r="U23" s="819"/>
      <c r="V23" s="893">
        <f>SUM(V18:Z21)</f>
        <v>13.125</v>
      </c>
      <c r="W23" s="894"/>
      <c r="X23" s="894"/>
      <c r="Y23" s="894"/>
      <c r="Z23" s="894"/>
      <c r="AA23" s="207"/>
      <c r="AB23" s="207"/>
      <c r="AC23" s="207"/>
      <c r="AE23" s="891" t="s">
        <v>8</v>
      </c>
      <c r="AF23" s="892"/>
      <c r="AG23" s="892"/>
      <c r="AH23" s="892"/>
      <c r="AI23" s="819"/>
      <c r="AJ23" s="893">
        <f>SUM(AJ18:AM19)</f>
        <v>0.42499999999999999</v>
      </c>
      <c r="AK23" s="894"/>
      <c r="AL23" s="894"/>
      <c r="AM23" s="894"/>
    </row>
    <row r="25" spans="1:50" x14ac:dyDescent="0.2">
      <c r="Y25" s="205"/>
    </row>
    <row r="26" spans="1:50" ht="15.75" x14ac:dyDescent="0.25">
      <c r="A26" s="904" t="s">
        <v>7</v>
      </c>
      <c r="B26" s="641"/>
      <c r="C26" s="641"/>
      <c r="D26" s="641"/>
      <c r="E26" s="641"/>
      <c r="F26" s="641"/>
      <c r="G26" s="641"/>
      <c r="H26" s="641"/>
      <c r="I26" s="641"/>
      <c r="J26" s="641"/>
      <c r="K26" s="641"/>
      <c r="L26" s="641"/>
      <c r="M26" s="641"/>
      <c r="N26" s="641"/>
      <c r="O26" s="641"/>
      <c r="P26" s="641"/>
    </row>
    <row r="27" spans="1:50" ht="15.75" x14ac:dyDescent="0.25">
      <c r="A27" s="854" t="s">
        <v>28</v>
      </c>
      <c r="B27" s="641"/>
      <c r="C27" s="641"/>
      <c r="D27" s="641"/>
      <c r="E27" s="844">
        <v>4</v>
      </c>
      <c r="F27" s="889"/>
      <c r="G27" s="890"/>
      <c r="I27" s="850">
        <f>IF(E27="","",$E$27*6)</f>
        <v>24</v>
      </c>
      <c r="J27" s="851"/>
      <c r="K27" s="851"/>
      <c r="L27" s="743"/>
    </row>
    <row r="28" spans="1:50" ht="14.25" customHeight="1" x14ac:dyDescent="0.25">
      <c r="A28" s="854" t="s">
        <v>202</v>
      </c>
      <c r="B28" s="641"/>
      <c r="C28" s="641"/>
      <c r="D28" s="641"/>
      <c r="E28" s="844">
        <f>IF(E27="","",1)</f>
        <v>1</v>
      </c>
      <c r="F28" s="889"/>
      <c r="G28" s="890"/>
      <c r="I28" s="850">
        <f>IF(E28="","",21)</f>
        <v>21</v>
      </c>
      <c r="J28" s="851"/>
      <c r="K28" s="851"/>
      <c r="L28" s="743"/>
    </row>
    <row r="30" spans="1:50" ht="16.5" thickBot="1" x14ac:dyDescent="0.3">
      <c r="C30" s="891" t="s">
        <v>8</v>
      </c>
      <c r="D30" s="892"/>
      <c r="E30" s="892"/>
      <c r="F30" s="892"/>
      <c r="G30" s="819"/>
      <c r="H30" s="893">
        <f>IF(I27="","",I27+I28)</f>
        <v>45</v>
      </c>
      <c r="I30" s="894"/>
      <c r="J30" s="894"/>
      <c r="K30" s="894"/>
      <c r="L30" s="894"/>
    </row>
    <row r="31" spans="1:50" x14ac:dyDescent="0.2">
      <c r="AL31" s="286" t="s">
        <v>23</v>
      </c>
    </row>
    <row r="32" spans="1:50" ht="15.75" x14ac:dyDescent="0.25">
      <c r="A32" s="904" t="s">
        <v>4</v>
      </c>
      <c r="B32" s="641"/>
      <c r="C32" s="641"/>
      <c r="D32" s="641"/>
    </row>
    <row r="33" spans="1:37" ht="15.75" x14ac:dyDescent="0.25">
      <c r="A33" s="522" t="s">
        <v>12</v>
      </c>
      <c r="B33" s="641"/>
      <c r="F33" s="20"/>
      <c r="G33" s="217"/>
      <c r="I33" s="207"/>
      <c r="J33" s="20"/>
    </row>
    <row r="34" spans="1:37" ht="15.75" x14ac:dyDescent="0.25">
      <c r="A34" s="523" t="s">
        <v>10</v>
      </c>
      <c r="B34" s="523"/>
      <c r="C34" s="641"/>
      <c r="D34" s="641"/>
      <c r="E34" s="844">
        <v>1</v>
      </c>
      <c r="F34" s="889"/>
      <c r="G34" s="890"/>
      <c r="H34" s="20"/>
      <c r="I34" s="900">
        <f>IF(E34="","",E34*67)</f>
        <v>67</v>
      </c>
      <c r="J34" s="765"/>
      <c r="K34" s="765"/>
      <c r="L34" s="765"/>
      <c r="M34" s="743"/>
    </row>
    <row r="35" spans="1:37" ht="15.75" x14ac:dyDescent="0.25">
      <c r="A35" s="523" t="s">
        <v>11</v>
      </c>
      <c r="B35" s="523"/>
      <c r="C35" s="641"/>
      <c r="D35" s="641"/>
      <c r="E35" s="844" t="e">
        <f>IF(E34="","",IF(DE6=1,((L11+L10)*2)/4000,IF(DE7=1,((L11+L10)*2)/4000,IF(DE8=1,(L11+L10)/4000))))</f>
        <v>#VALUE!</v>
      </c>
      <c r="F35" s="889"/>
      <c r="G35" s="890"/>
      <c r="H35" s="20"/>
      <c r="I35" s="900" t="e">
        <f>IF(E35="","",E35*67)</f>
        <v>#VALUE!</v>
      </c>
      <c r="J35" s="901"/>
      <c r="K35" s="901"/>
      <c r="L35" s="901"/>
      <c r="M35" s="743"/>
    </row>
    <row r="36" spans="1:37" x14ac:dyDescent="0.2">
      <c r="E36" s="20"/>
      <c r="F36" s="20"/>
      <c r="G36" s="20"/>
      <c r="H36" s="20"/>
      <c r="I36" s="20"/>
      <c r="J36" s="20"/>
    </row>
    <row r="37" spans="1:37" ht="15.75" x14ac:dyDescent="0.25">
      <c r="A37" s="903" t="s">
        <v>21</v>
      </c>
      <c r="B37" s="903"/>
      <c r="C37" s="903"/>
      <c r="D37" s="903"/>
      <c r="E37" s="523"/>
      <c r="F37" s="641"/>
      <c r="G37" s="641"/>
      <c r="H37" s="641"/>
      <c r="I37" s="641"/>
      <c r="K37" s="220">
        <v>1</v>
      </c>
    </row>
    <row r="38" spans="1:37" ht="15.75" x14ac:dyDescent="0.25">
      <c r="A38" s="523" t="s">
        <v>10</v>
      </c>
      <c r="B38" s="523"/>
      <c r="C38" s="641"/>
      <c r="D38" s="641"/>
      <c r="E38" s="844">
        <f>IF(K37="","",0.5)</f>
        <v>0.5</v>
      </c>
      <c r="F38" s="889"/>
      <c r="G38" s="890"/>
      <c r="H38" s="20"/>
      <c r="I38" s="902">
        <f>IF(E38="","",E38*60)</f>
        <v>30</v>
      </c>
      <c r="J38" s="851"/>
      <c r="K38" s="851"/>
      <c r="L38" s="851"/>
      <c r="M38" s="852"/>
      <c r="AF38" s="199"/>
      <c r="AG38" s="199"/>
      <c r="AH38" s="218" t="s">
        <v>203</v>
      </c>
      <c r="AI38" s="199"/>
      <c r="AJ38" s="115" t="s">
        <v>203</v>
      </c>
      <c r="AK38" s="115"/>
    </row>
    <row r="39" spans="1:37" ht="15.75" x14ac:dyDescent="0.25">
      <c r="A39" s="523" t="s">
        <v>11</v>
      </c>
      <c r="B39" s="523"/>
      <c r="C39" s="641"/>
      <c r="D39" s="641"/>
      <c r="E39" s="844" t="e">
        <f>IF(K37="","",IF(K37=1,L10+L11,IF(K37=2,L11+L10*2)))</f>
        <v>#VALUE!</v>
      </c>
      <c r="F39" s="889"/>
      <c r="G39" s="890"/>
      <c r="H39" s="115" t="s">
        <v>203</v>
      </c>
      <c r="I39" s="900" t="e">
        <f>IF(E39="","",E39*0.1)</f>
        <v>#VALUE!</v>
      </c>
      <c r="J39" s="765"/>
      <c r="K39" s="765"/>
      <c r="L39" s="765"/>
      <c r="M39" s="766"/>
      <c r="AC39" s="198"/>
      <c r="AD39" s="202"/>
      <c r="AE39" s="202"/>
      <c r="AF39" s="202"/>
      <c r="AG39" s="199"/>
      <c r="AH39" s="199"/>
      <c r="AI39" s="199"/>
      <c r="AJ39" s="199"/>
      <c r="AK39" s="199"/>
    </row>
    <row r="40" spans="1:37" ht="15.75" x14ac:dyDescent="0.25">
      <c r="AC40" s="199"/>
      <c r="AD40" s="199"/>
      <c r="AE40" s="202"/>
      <c r="AF40" s="202"/>
      <c r="AG40" s="199"/>
      <c r="AH40" s="199"/>
      <c r="AI40" s="199"/>
      <c r="AJ40" s="199"/>
      <c r="AK40" s="199"/>
    </row>
    <row r="41" spans="1:37" ht="15.75" x14ac:dyDescent="0.25">
      <c r="A41" s="522" t="s">
        <v>204</v>
      </c>
      <c r="B41" s="641"/>
      <c r="D41" s="199"/>
      <c r="AC41" s="199"/>
      <c r="AD41" s="199"/>
      <c r="AE41" s="202"/>
      <c r="AF41" s="202"/>
      <c r="AJ41" s="199"/>
      <c r="AK41" s="199"/>
    </row>
    <row r="42" spans="1:37" ht="15.75" x14ac:dyDescent="0.25">
      <c r="A42" s="523" t="s">
        <v>10</v>
      </c>
      <c r="B42" s="523"/>
      <c r="C42" s="641"/>
      <c r="D42" s="641"/>
      <c r="AF42" s="199"/>
      <c r="AG42" s="199"/>
      <c r="AH42" s="219"/>
      <c r="AI42" s="199"/>
      <c r="AJ42" s="115" t="s">
        <v>203</v>
      </c>
      <c r="AK42" s="115"/>
    </row>
    <row r="43" spans="1:37" ht="15.75" x14ac:dyDescent="0.25">
      <c r="A43" s="523" t="s">
        <v>11</v>
      </c>
      <c r="B43" s="523"/>
      <c r="C43" s="641"/>
      <c r="D43" s="641"/>
      <c r="AG43" s="199"/>
      <c r="AH43" s="117" t="s">
        <v>203</v>
      </c>
      <c r="AI43" s="199"/>
      <c r="AJ43" s="115" t="s">
        <v>203</v>
      </c>
      <c r="AK43" s="115"/>
    </row>
  </sheetData>
  <mergeCells count="131">
    <mergeCell ref="A21:D21"/>
    <mergeCell ref="E21:O21"/>
    <mergeCell ref="Q21:T21"/>
    <mergeCell ref="V21:Z21"/>
    <mergeCell ref="A10:D10"/>
    <mergeCell ref="L10:O10"/>
    <mergeCell ref="S10:V10"/>
    <mergeCell ref="A8:F8"/>
    <mergeCell ref="J8:AL8"/>
    <mergeCell ref="AE17:AM17"/>
    <mergeCell ref="Z10:AC10"/>
    <mergeCell ref="AG10:AJ10"/>
    <mergeCell ref="L11:O11"/>
    <mergeCell ref="S11:V11"/>
    <mergeCell ref="Z11:AC11"/>
    <mergeCell ref="AG11:AJ11"/>
    <mergeCell ref="J12:O12"/>
    <mergeCell ref="Q12:V12"/>
    <mergeCell ref="X12:AC12"/>
    <mergeCell ref="AE12:AJ12"/>
    <mergeCell ref="AL12:AQ12"/>
    <mergeCell ref="AE14:AJ14"/>
    <mergeCell ref="AE13:AJ13"/>
    <mergeCell ref="AL13:AQ13"/>
    <mergeCell ref="I35:M35"/>
    <mergeCell ref="I34:M34"/>
    <mergeCell ref="A42:D42"/>
    <mergeCell ref="A43:D43"/>
    <mergeCell ref="E34:G34"/>
    <mergeCell ref="E35:G35"/>
    <mergeCell ref="V23:Z23"/>
    <mergeCell ref="E38:G38"/>
    <mergeCell ref="E39:G39"/>
    <mergeCell ref="I38:M38"/>
    <mergeCell ref="I39:M39"/>
    <mergeCell ref="A41:B41"/>
    <mergeCell ref="A37:I37"/>
    <mergeCell ref="A39:D39"/>
    <mergeCell ref="C30:G30"/>
    <mergeCell ref="A32:D32"/>
    <mergeCell ref="A33:B33"/>
    <mergeCell ref="A38:D38"/>
    <mergeCell ref="A35:D35"/>
    <mergeCell ref="A34:D34"/>
    <mergeCell ref="A26:P26"/>
    <mergeCell ref="A27:D27"/>
    <mergeCell ref="A28:D28"/>
    <mergeCell ref="E27:G27"/>
    <mergeCell ref="E28:G28"/>
    <mergeCell ref="I27:L27"/>
    <mergeCell ref="I28:L28"/>
    <mergeCell ref="Q23:U23"/>
    <mergeCell ref="H30:L30"/>
    <mergeCell ref="AJ23:AM23"/>
    <mergeCell ref="AE23:AI23"/>
    <mergeCell ref="V19:Z19"/>
    <mergeCell ref="V20:Z20"/>
    <mergeCell ref="AJ19:AM19"/>
    <mergeCell ref="Q19:T19"/>
    <mergeCell ref="Q20:T20"/>
    <mergeCell ref="E19:O19"/>
    <mergeCell ref="E20:O20"/>
    <mergeCell ref="DD1:DE1"/>
    <mergeCell ref="DD2:DE2"/>
    <mergeCell ref="A3:I3"/>
    <mergeCell ref="AL14:AQ14"/>
    <mergeCell ref="A12:G12"/>
    <mergeCell ref="DE8:DF8"/>
    <mergeCell ref="K3:AS3"/>
    <mergeCell ref="AV3:BD3"/>
    <mergeCell ref="BE3:BN3"/>
    <mergeCell ref="DD3:DE3"/>
    <mergeCell ref="DD4:DE4"/>
    <mergeCell ref="A5:I5"/>
    <mergeCell ref="K5:AS5"/>
    <mergeCell ref="A7:C7"/>
    <mergeCell ref="J7:AL7"/>
    <mergeCell ref="CS6:DD6"/>
    <mergeCell ref="DE6:DF6"/>
    <mergeCell ref="CS7:DD7"/>
    <mergeCell ref="DE7:DF7"/>
    <mergeCell ref="BI8:BM8"/>
    <mergeCell ref="BN8:BR8"/>
    <mergeCell ref="AV8:AY8"/>
    <mergeCell ref="CS4:CW4"/>
    <mergeCell ref="AZ8:BE8"/>
    <mergeCell ref="H10:K10"/>
    <mergeCell ref="H11:K11"/>
    <mergeCell ref="CS8:DD8"/>
    <mergeCell ref="BC12:BF12"/>
    <mergeCell ref="BC13:BF13"/>
    <mergeCell ref="BG12:BH12"/>
    <mergeCell ref="BG13:BH13"/>
    <mergeCell ref="AV9:AY9"/>
    <mergeCell ref="AN10:AQ10"/>
    <mergeCell ref="AN11:AQ11"/>
    <mergeCell ref="BF8:BG8"/>
    <mergeCell ref="AZ13:BA13"/>
    <mergeCell ref="BI9:BM9"/>
    <mergeCell ref="BN9:BR9"/>
    <mergeCell ref="AZ9:BE9"/>
    <mergeCell ref="BF9:BG9"/>
    <mergeCell ref="AV12:AY12"/>
    <mergeCell ref="AV13:AY13"/>
    <mergeCell ref="AZ12:BA12"/>
    <mergeCell ref="A1:BP1"/>
    <mergeCell ref="CX1:DB1"/>
    <mergeCell ref="CX2:DB2"/>
    <mergeCell ref="CX3:DB3"/>
    <mergeCell ref="CX4:DB4"/>
    <mergeCell ref="A4:J4"/>
    <mergeCell ref="K4:AS4"/>
    <mergeCell ref="CS1:CW1"/>
    <mergeCell ref="CS2:CW2"/>
    <mergeCell ref="CS3:CW3"/>
    <mergeCell ref="E18:O18"/>
    <mergeCell ref="A18:D18"/>
    <mergeCell ref="AE18:AH18"/>
    <mergeCell ref="AJ18:AM18"/>
    <mergeCell ref="A13:F13"/>
    <mergeCell ref="A20:D20"/>
    <mergeCell ref="V18:Z18"/>
    <mergeCell ref="A14:H14"/>
    <mergeCell ref="J14:O14"/>
    <mergeCell ref="Q14:V14"/>
    <mergeCell ref="X14:AC14"/>
    <mergeCell ref="J13:O13"/>
    <mergeCell ref="Q13:V13"/>
    <mergeCell ref="X13:AC13"/>
    <mergeCell ref="Q18:T18"/>
    <mergeCell ref="A17:H17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selection activeCell="F10" sqref="F10"/>
    </sheetView>
  </sheetViews>
  <sheetFormatPr defaultRowHeight="15" x14ac:dyDescent="0.25"/>
  <cols>
    <col min="2" max="2" width="2.85546875" customWidth="1"/>
    <col min="4" max="4" width="3.140625" customWidth="1"/>
    <col min="5" max="5" width="12.85546875" bestFit="1" customWidth="1"/>
    <col min="6" max="6" width="10.85546875" bestFit="1" customWidth="1"/>
    <col min="7" max="7" width="16.28515625" bestFit="1" customWidth="1"/>
    <col min="8" max="8" width="16.5703125" bestFit="1" customWidth="1"/>
    <col min="9" max="9" width="20" bestFit="1" customWidth="1"/>
    <col min="10" max="10" width="30.85546875" customWidth="1"/>
    <col min="11" max="12" width="23.42578125" bestFit="1" customWidth="1"/>
  </cols>
  <sheetData>
    <row r="1" spans="1:14" ht="18.75" x14ac:dyDescent="0.3">
      <c r="A1" s="90"/>
      <c r="B1" s="90"/>
      <c r="C1" s="90"/>
      <c r="D1" s="90"/>
      <c r="E1" s="909" t="s">
        <v>243</v>
      </c>
      <c r="F1" s="909"/>
      <c r="G1" s="909"/>
      <c r="H1" s="909"/>
      <c r="I1" s="909"/>
      <c r="J1" s="90"/>
      <c r="K1" s="90"/>
      <c r="L1" s="90"/>
      <c r="M1" s="90"/>
      <c r="N1" s="90"/>
    </row>
    <row r="2" spans="1:14" x14ac:dyDescent="0.25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14" ht="18.75" x14ac:dyDescent="0.3">
      <c r="A3" s="909" t="s">
        <v>249</v>
      </c>
      <c r="B3" s="635"/>
      <c r="C3" s="635"/>
      <c r="D3" s="331"/>
      <c r="E3" s="318" t="s">
        <v>244</v>
      </c>
      <c r="F3" s="318" t="s">
        <v>245</v>
      </c>
      <c r="G3" s="318" t="s">
        <v>246</v>
      </c>
      <c r="H3" s="318" t="s">
        <v>252</v>
      </c>
      <c r="I3" s="318" t="s">
        <v>247</v>
      </c>
      <c r="J3" s="318" t="s">
        <v>248</v>
      </c>
      <c r="K3" s="318" t="s">
        <v>251</v>
      </c>
      <c r="L3" s="318" t="s">
        <v>250</v>
      </c>
      <c r="M3" s="90"/>
      <c r="N3" s="90"/>
    </row>
    <row r="4" spans="1:14" ht="18.75" x14ac:dyDescent="0.3">
      <c r="A4" s="327">
        <v>1020</v>
      </c>
      <c r="B4" s="319" t="s">
        <v>91</v>
      </c>
      <c r="C4" s="328">
        <v>710</v>
      </c>
      <c r="D4" s="374"/>
      <c r="E4" s="325">
        <v>90</v>
      </c>
      <c r="F4" s="319">
        <f>IF(A4="","",(A4*C4)/1000000)</f>
        <v>0.72419999999999995</v>
      </c>
      <c r="G4" s="326">
        <v>1500</v>
      </c>
      <c r="H4" s="320">
        <f>IF(E4="","", ((E4*F4*G4)/1000000)*1.05)</f>
        <v>0.10265535000000001</v>
      </c>
      <c r="I4" s="321">
        <f>IF(E4="","",1000000/(E4*F4))</f>
        <v>15342.600263892726</v>
      </c>
      <c r="J4" s="326"/>
      <c r="K4" s="322">
        <f>IF(H4="","",H4*J4)</f>
        <v>0</v>
      </c>
      <c r="L4" s="323" t="str">
        <f>IF(J4="","",J4/I4)</f>
        <v/>
      </c>
      <c r="M4" s="90"/>
      <c r="N4" s="90"/>
    </row>
    <row r="5" spans="1:14" x14ac:dyDescent="0.25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</row>
  </sheetData>
  <mergeCells count="2">
    <mergeCell ref="E1:I1"/>
    <mergeCell ref="A3:C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A176"/>
  <sheetViews>
    <sheetView tabSelected="1" topLeftCell="A8" zoomScale="55" zoomScaleNormal="55" workbookViewId="0">
      <selection activeCell="H37" sqref="H37:I37"/>
    </sheetView>
  </sheetViews>
  <sheetFormatPr defaultRowHeight="14.25" x14ac:dyDescent="0.2"/>
  <cols>
    <col min="1" max="2" width="4.7109375" style="1" customWidth="1"/>
    <col min="3" max="3" width="5.7109375" style="1" bestFit="1" customWidth="1"/>
    <col min="4" max="4" width="11.7109375" style="1" customWidth="1"/>
    <col min="5" max="5" width="28" style="1" customWidth="1"/>
    <col min="6" max="6" width="9" style="1" customWidth="1"/>
    <col min="7" max="7" width="22.42578125" style="1" customWidth="1"/>
    <col min="8" max="8" width="9.140625" style="1" bestFit="1" customWidth="1"/>
    <col min="9" max="9" width="6.28515625" style="1" customWidth="1"/>
    <col min="10" max="10" width="7.28515625" style="1" customWidth="1"/>
    <col min="11" max="11" width="9.7109375" style="1" customWidth="1"/>
    <col min="12" max="12" width="9.5703125" style="1" bestFit="1" customWidth="1"/>
    <col min="13" max="13" width="12" style="1" customWidth="1"/>
    <col min="14" max="14" width="14" style="1" customWidth="1"/>
    <col min="15" max="15" width="9.7109375" style="1" customWidth="1"/>
    <col min="16" max="16" width="28.140625" style="1" customWidth="1"/>
    <col min="17" max="17" width="1.5703125" style="1" customWidth="1"/>
    <col min="18" max="18" width="15.7109375" style="1" customWidth="1"/>
    <col min="19" max="19" width="10.85546875" style="1" customWidth="1"/>
    <col min="20" max="20" width="6.28515625" style="1" customWidth="1"/>
    <col min="21" max="21" width="7.140625" style="1" customWidth="1"/>
    <col min="22" max="22" width="2.140625" style="1" customWidth="1"/>
    <col min="23" max="23" width="4.7109375" style="1" hidden="1" customWidth="1"/>
    <col min="24" max="24" width="9.42578125" style="1" hidden="1" customWidth="1"/>
    <col min="25" max="25" width="13.42578125" style="1" hidden="1" customWidth="1"/>
    <col min="26" max="26" width="6" style="1" hidden="1" customWidth="1"/>
    <col min="27" max="27" width="9.28515625" style="1" hidden="1" customWidth="1"/>
    <col min="28" max="28" width="15.7109375" style="1" customWidth="1"/>
    <col min="29" max="29" width="26.7109375" style="1" customWidth="1"/>
    <col min="30" max="30" width="7.7109375" style="1" customWidth="1"/>
    <col min="31" max="31" width="15.42578125" style="1" customWidth="1"/>
    <col min="32" max="32" width="13.7109375" style="1" customWidth="1"/>
    <col min="33" max="33" width="7" style="1" customWidth="1"/>
    <col min="34" max="34" width="6.7109375" style="1" customWidth="1"/>
    <col min="35" max="35" width="0.85546875" style="1" customWidth="1"/>
    <col min="36" max="36" width="6" style="1" customWidth="1"/>
    <col min="37" max="37" width="5.5703125" style="1" customWidth="1"/>
    <col min="38" max="38" width="7.140625" style="1" customWidth="1"/>
    <col min="39" max="39" width="11.85546875" style="1" bestFit="1" customWidth="1"/>
    <col min="40" max="40" width="6.7109375" style="1" customWidth="1"/>
    <col min="41" max="41" width="7.140625" style="1" customWidth="1"/>
    <col min="42" max="42" width="4.7109375" style="1" customWidth="1"/>
    <col min="43" max="43" width="7.42578125" style="1" customWidth="1"/>
    <col min="44" max="44" width="4.7109375" style="1" customWidth="1"/>
    <col min="45" max="46" width="0.7109375" style="1" customWidth="1"/>
    <col min="47" max="47" width="5.28515625" style="1" customWidth="1"/>
    <col min="48" max="48" width="4.7109375" style="1" customWidth="1"/>
    <col min="49" max="49" width="6.140625" style="1" customWidth="1"/>
    <col min="50" max="50" width="10.5703125" style="1" customWidth="1"/>
    <col min="51" max="51" width="7.5703125" style="1" customWidth="1"/>
    <col min="52" max="52" width="10.85546875" style="1" customWidth="1"/>
    <col min="53" max="53" width="13.42578125" style="1" customWidth="1"/>
    <col min="54" max="54" width="6.5703125" style="1" customWidth="1"/>
    <col min="55" max="55" width="7.42578125" style="1" customWidth="1"/>
    <col min="56" max="56" width="0.7109375" style="1" customWidth="1"/>
    <col min="57" max="57" width="6.28515625" style="1" customWidth="1"/>
    <col min="58" max="58" width="6" style="1" customWidth="1"/>
    <col min="59" max="59" width="7.140625" style="1" customWidth="1"/>
    <col min="60" max="60" width="11.42578125" style="1" customWidth="1"/>
    <col min="61" max="61" width="8.85546875" style="1" customWidth="1"/>
    <col min="62" max="62" width="4.7109375" style="1" customWidth="1"/>
    <col min="63" max="63" width="8.28515625" style="1" customWidth="1"/>
    <col min="64" max="64" width="4.5703125" style="1" customWidth="1"/>
    <col min="65" max="70" width="9.140625" style="1"/>
    <col min="71" max="71" width="10.28515625" style="1" customWidth="1"/>
    <col min="72" max="72" width="9.140625" style="1"/>
    <col min="73" max="73" width="12" style="1" bestFit="1" customWidth="1"/>
    <col min="74" max="74" width="13.42578125" style="1" customWidth="1"/>
    <col min="75" max="94" width="9.140625" style="1"/>
    <col min="95" max="95" width="11.42578125" style="1" customWidth="1"/>
    <col min="96" max="96" width="14.140625" style="1" customWidth="1"/>
    <col min="97" max="116" width="9.140625" style="1"/>
    <col min="117" max="117" width="12" style="1" bestFit="1" customWidth="1"/>
    <col min="118" max="118" width="14.5703125" style="1" customWidth="1"/>
    <col min="119" max="16384" width="9.140625" style="1"/>
  </cols>
  <sheetData>
    <row r="1" spans="1:65" ht="27.75" x14ac:dyDescent="0.4">
      <c r="A1" s="148"/>
      <c r="B1" s="148"/>
      <c r="C1" s="148"/>
      <c r="D1" s="148"/>
      <c r="E1" s="642" t="s">
        <v>236</v>
      </c>
      <c r="F1" s="641"/>
      <c r="G1" s="641"/>
      <c r="H1" s="314">
        <v>1</v>
      </c>
      <c r="I1" s="313"/>
      <c r="J1" s="313"/>
      <c r="K1" s="313"/>
      <c r="L1" s="313"/>
      <c r="M1" s="332"/>
      <c r="N1" s="332"/>
      <c r="O1" s="332"/>
      <c r="P1" s="332"/>
      <c r="Q1" s="332"/>
      <c r="R1" s="332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8"/>
    </row>
    <row r="2" spans="1:65" ht="26.25" customHeight="1" x14ac:dyDescent="0.35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68" t="s">
        <v>234</v>
      </c>
      <c r="Q2" s="148"/>
      <c r="R2" s="462">
        <f ca="1">NOW()</f>
        <v>45614.788987615742</v>
      </c>
      <c r="S2" s="463"/>
      <c r="T2" s="463"/>
      <c r="U2" s="463"/>
      <c r="V2" s="463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</row>
    <row r="3" spans="1:65" ht="26.25" x14ac:dyDescent="0.4">
      <c r="A3" s="466" t="s">
        <v>0</v>
      </c>
      <c r="B3" s="466"/>
      <c r="C3" s="466"/>
      <c r="D3" s="466"/>
      <c r="E3" s="472"/>
      <c r="F3" s="472"/>
      <c r="G3" s="472"/>
      <c r="H3" s="472"/>
      <c r="I3" s="472"/>
      <c r="J3" s="472"/>
      <c r="K3" s="472"/>
      <c r="L3" s="473" t="s">
        <v>2</v>
      </c>
      <c r="M3" s="473"/>
      <c r="N3" s="473"/>
      <c r="O3" s="473"/>
      <c r="P3" s="473"/>
      <c r="Q3" s="472" t="s">
        <v>255</v>
      </c>
      <c r="R3" s="472"/>
      <c r="S3" s="472"/>
      <c r="T3" s="472"/>
      <c r="U3" s="472"/>
      <c r="V3" s="472"/>
      <c r="W3" s="472"/>
      <c r="X3" s="472"/>
      <c r="Y3" s="168"/>
      <c r="Z3" s="168"/>
      <c r="AA3" s="16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</row>
    <row r="4" spans="1:65" ht="26.25" x14ac:dyDescent="0.4">
      <c r="A4" s="466" t="s">
        <v>1</v>
      </c>
      <c r="B4" s="466"/>
      <c r="C4" s="466"/>
      <c r="D4" s="466"/>
      <c r="E4" s="472"/>
      <c r="F4" s="472"/>
      <c r="G4" s="472"/>
      <c r="H4" s="472"/>
      <c r="I4" s="472"/>
      <c r="J4" s="472"/>
      <c r="K4" s="472"/>
      <c r="L4" s="472"/>
      <c r="M4" s="472"/>
      <c r="N4" s="472"/>
      <c r="O4" s="472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</row>
    <row r="5" spans="1:65" ht="18" x14ac:dyDescent="0.25"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</row>
    <row r="6" spans="1:65" ht="18.75" x14ac:dyDescent="0.3">
      <c r="AB6" s="148"/>
      <c r="AC6" s="149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</row>
    <row r="7" spans="1:65" ht="26.25" x14ac:dyDescent="0.4">
      <c r="A7" s="466" t="s">
        <v>3</v>
      </c>
      <c r="B7" s="466"/>
      <c r="C7" s="466"/>
      <c r="D7" s="466"/>
      <c r="E7" s="351" t="s">
        <v>4</v>
      </c>
      <c r="F7" s="467" t="s">
        <v>263</v>
      </c>
      <c r="G7" s="468"/>
      <c r="H7" s="468"/>
      <c r="I7" s="468"/>
      <c r="J7" s="468"/>
      <c r="K7" s="468"/>
      <c r="L7" s="468"/>
      <c r="M7" s="468"/>
      <c r="N7" s="468"/>
      <c r="O7" s="468"/>
      <c r="P7" s="363"/>
      <c r="Q7" s="363"/>
      <c r="R7" s="363"/>
      <c r="S7" s="363"/>
      <c r="T7" s="363"/>
      <c r="U7" s="363"/>
      <c r="V7" s="363"/>
      <c r="W7" s="363"/>
      <c r="X7" s="363"/>
      <c r="Y7" s="186"/>
      <c r="Z7" s="186"/>
      <c r="AA7" s="186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</row>
    <row r="8" spans="1:65" ht="33" customHeight="1" x14ac:dyDescent="0.35">
      <c r="A8" s="168"/>
      <c r="B8" s="168"/>
      <c r="C8" s="168"/>
      <c r="D8" s="168"/>
      <c r="E8" s="185" t="s">
        <v>5</v>
      </c>
      <c r="F8" s="469" t="s">
        <v>260</v>
      </c>
      <c r="G8" s="470"/>
      <c r="H8" s="470"/>
      <c r="I8" s="470"/>
      <c r="J8" s="470"/>
      <c r="K8" s="470"/>
      <c r="L8" s="470"/>
      <c r="M8" s="470"/>
      <c r="N8" s="470"/>
      <c r="O8" s="470"/>
    </row>
    <row r="9" spans="1:65" ht="25.5" customHeight="1" x14ac:dyDescent="0.35">
      <c r="V9" s="188"/>
      <c r="W9" s="182"/>
      <c r="X9" s="182"/>
      <c r="Y9" s="182"/>
    </row>
    <row r="12" spans="1:65" ht="24.75" customHeight="1" x14ac:dyDescent="0.4">
      <c r="E12" s="351" t="s">
        <v>34</v>
      </c>
      <c r="F12" s="474"/>
      <c r="G12" s="475"/>
      <c r="H12" s="179">
        <v>4</v>
      </c>
      <c r="I12" s="168"/>
      <c r="J12" s="464" t="s">
        <v>172</v>
      </c>
      <c r="K12" s="464"/>
      <c r="L12" s="464"/>
      <c r="M12" s="372">
        <v>500</v>
      </c>
      <c r="N12" s="291" t="s">
        <v>91</v>
      </c>
      <c r="O12" s="180">
        <v>350</v>
      </c>
      <c r="P12" s="168"/>
      <c r="Q12" s="471" t="s">
        <v>35</v>
      </c>
      <c r="R12" s="471"/>
      <c r="S12" s="471"/>
      <c r="T12" s="471"/>
      <c r="U12" s="179">
        <v>2</v>
      </c>
      <c r="V12" s="178"/>
    </row>
    <row r="13" spans="1:65" ht="7.5" customHeight="1" x14ac:dyDescent="0.4">
      <c r="F13" s="354"/>
      <c r="G13" s="354"/>
      <c r="H13" s="307"/>
      <c r="I13" s="186"/>
      <c r="J13" s="221"/>
      <c r="K13" s="221"/>
      <c r="L13" s="221"/>
      <c r="M13" s="309"/>
      <c r="N13" s="373"/>
      <c r="O13" s="308"/>
      <c r="P13" s="464"/>
      <c r="Q13" s="465"/>
      <c r="R13" s="465"/>
      <c r="S13" s="315"/>
      <c r="T13" s="291"/>
      <c r="U13" s="316"/>
      <c r="V13" s="222"/>
    </row>
    <row r="14" spans="1:65" ht="24.75" customHeight="1" x14ac:dyDescent="0.4">
      <c r="A14" s="622" t="s">
        <v>6</v>
      </c>
      <c r="B14" s="622"/>
      <c r="C14" s="622"/>
      <c r="D14" s="622"/>
      <c r="E14" s="408"/>
      <c r="F14" s="409"/>
      <c r="G14" s="400">
        <v>4550</v>
      </c>
      <c r="H14" s="401"/>
      <c r="I14" s="623">
        <v>8000</v>
      </c>
      <c r="J14" s="624"/>
      <c r="K14" s="625"/>
      <c r="L14" s="401"/>
      <c r="M14" s="623">
        <v>8000</v>
      </c>
      <c r="N14" s="626"/>
      <c r="O14" s="168"/>
      <c r="P14" s="168"/>
      <c r="Q14" s="221"/>
      <c r="R14" s="221"/>
      <c r="S14" s="221"/>
      <c r="T14" s="221"/>
      <c r="U14" s="309"/>
      <c r="V14" s="222"/>
    </row>
    <row r="15" spans="1:65" ht="24.75" customHeight="1" x14ac:dyDescent="0.35">
      <c r="A15" s="627" t="s">
        <v>40</v>
      </c>
      <c r="B15" s="627"/>
      <c r="C15" s="627"/>
      <c r="D15" s="627"/>
      <c r="E15" s="410"/>
      <c r="F15" s="411"/>
      <c r="G15" s="422">
        <f>IF(H35="","",IF(H35=G14,R86))</f>
        <v>339.47528303958336</v>
      </c>
      <c r="H15" s="402"/>
      <c r="I15" s="910">
        <f>IF(I14="","",AP86)</f>
        <v>478.54672959583337</v>
      </c>
      <c r="J15" s="910"/>
      <c r="K15" s="910"/>
      <c r="L15" s="423"/>
      <c r="M15" s="911">
        <f>IF(M14="","",BK86)</f>
        <v>478.54672959583331</v>
      </c>
      <c r="N15" s="912"/>
      <c r="O15" s="168"/>
      <c r="P15" s="168"/>
      <c r="Q15" s="221"/>
      <c r="R15" s="639" t="s">
        <v>264</v>
      </c>
      <c r="S15" s="640"/>
      <c r="T15" s="641"/>
      <c r="U15" s="641"/>
      <c r="V15" s="222"/>
      <c r="Z15" s="637">
        <f>'CENA MATERIALA'!G5</f>
        <v>0</v>
      </c>
      <c r="AA15" s="638"/>
      <c r="AB15" s="435">
        <f>'CENA MATERIALA'!G4</f>
        <v>1500</v>
      </c>
    </row>
    <row r="16" spans="1:65" ht="24.75" customHeight="1" x14ac:dyDescent="0.4">
      <c r="A16" s="458" t="s">
        <v>41</v>
      </c>
      <c r="B16" s="458"/>
      <c r="C16" s="458"/>
      <c r="D16" s="458"/>
      <c r="E16" s="410"/>
      <c r="F16" s="412"/>
      <c r="G16" s="421">
        <f>IF(G15="","",G15/G14)</f>
        <v>7.4609952316391948E-2</v>
      </c>
      <c r="H16" s="394"/>
      <c r="I16" s="913">
        <f>IF(I15="","",I15/I14)</f>
        <v>5.9818341199479173E-2</v>
      </c>
      <c r="J16" s="913"/>
      <c r="K16" s="913"/>
      <c r="L16" s="424"/>
      <c r="M16" s="914">
        <f>IF(M15="","",M15/M14)</f>
        <v>5.9818341199479166E-2</v>
      </c>
      <c r="N16" s="915"/>
      <c r="O16" s="168"/>
      <c r="P16" s="168"/>
      <c r="Q16" s="221"/>
      <c r="U16" s="309"/>
      <c r="V16" s="222"/>
    </row>
    <row r="17" spans="1:66" ht="24.75" customHeight="1" x14ac:dyDescent="0.35">
      <c r="A17" s="447" t="s">
        <v>253</v>
      </c>
      <c r="B17" s="448"/>
      <c r="C17" s="448"/>
      <c r="D17" s="448"/>
      <c r="E17" s="410"/>
      <c r="F17" s="412"/>
      <c r="G17" s="425">
        <f>IF(G14="","",G16*1000)</f>
        <v>74.609952316391954</v>
      </c>
      <c r="H17" s="423"/>
      <c r="I17" s="916">
        <f>IF(I14="","",I16*1000)</f>
        <v>59.818341199479171</v>
      </c>
      <c r="J17" s="917"/>
      <c r="K17" s="917"/>
      <c r="L17" s="423"/>
      <c r="M17" s="916">
        <f>IF(M14="","",M16*1000)</f>
        <v>59.818341199479164</v>
      </c>
      <c r="N17" s="917"/>
      <c r="O17" s="168"/>
      <c r="P17" s="168"/>
      <c r="Q17" s="221"/>
      <c r="R17" s="639" t="s">
        <v>265</v>
      </c>
      <c r="S17" s="640"/>
      <c r="T17" s="641"/>
      <c r="U17" s="641"/>
      <c r="V17" s="222"/>
      <c r="Z17" s="521"/>
      <c r="AA17" s="641"/>
      <c r="AB17" s="436">
        <f>'CENA MATERIALA'!H4</f>
        <v>0.10265535000000001</v>
      </c>
    </row>
    <row r="18" spans="1:66" ht="24.75" customHeight="1" x14ac:dyDescent="0.4">
      <c r="A18" s="18"/>
      <c r="B18" s="18"/>
      <c r="C18" s="18"/>
      <c r="D18" s="18"/>
      <c r="E18" s="375" t="s">
        <v>110</v>
      </c>
      <c r="F18" s="392"/>
      <c r="G18" s="393">
        <f>IF(H12="","",(ROUNDUP(G14/U12,0)))</f>
        <v>2275</v>
      </c>
      <c r="H18" s="394"/>
      <c r="I18" s="394"/>
      <c r="J18" s="619">
        <f>IF(H12="","",ROUNDUP(I14/U12,0))</f>
        <v>4000</v>
      </c>
      <c r="K18" s="620"/>
      <c r="L18" s="394"/>
      <c r="M18" s="619">
        <f>M14/U12</f>
        <v>4000</v>
      </c>
      <c r="N18" s="621"/>
      <c r="P18" s="168"/>
      <c r="Q18" s="221"/>
      <c r="R18" s="221"/>
      <c r="S18" s="221"/>
      <c r="T18" s="221"/>
      <c r="U18" s="309"/>
      <c r="V18" s="222"/>
    </row>
    <row r="19" spans="1:66" ht="24.75" customHeight="1" x14ac:dyDescent="0.4">
      <c r="A19" s="18"/>
      <c r="B19" s="18"/>
      <c r="C19" s="18"/>
      <c r="D19" s="18"/>
      <c r="E19" s="395" t="s">
        <v>254</v>
      </c>
      <c r="F19" s="396"/>
      <c r="G19" s="397">
        <v>225</v>
      </c>
      <c r="H19" s="394"/>
      <c r="I19" s="394"/>
      <c r="J19" s="438">
        <v>300</v>
      </c>
      <c r="K19" s="439"/>
      <c r="L19" s="394"/>
      <c r="M19" s="438">
        <v>300</v>
      </c>
      <c r="N19" s="439"/>
      <c r="O19" s="190"/>
      <c r="P19" s="168"/>
      <c r="Q19" s="221"/>
      <c r="R19" s="221"/>
      <c r="S19" s="221"/>
      <c r="T19" s="221"/>
      <c r="U19" s="309"/>
      <c r="V19" s="222"/>
    </row>
    <row r="20" spans="1:66" ht="24.75" customHeight="1" x14ac:dyDescent="0.4">
      <c r="A20" s="18"/>
      <c r="B20" s="18"/>
      <c r="C20" s="18"/>
      <c r="D20" s="18"/>
      <c r="E20" s="375" t="s">
        <v>258</v>
      </c>
      <c r="F20" s="398"/>
      <c r="G20" s="397">
        <f>IF(G18="","",G18+G19)</f>
        <v>2500</v>
      </c>
      <c r="H20" s="394"/>
      <c r="I20" s="394"/>
      <c r="J20" s="438">
        <f>IF(J18="","",J18+J19)</f>
        <v>4300</v>
      </c>
      <c r="K20" s="442"/>
      <c r="L20" s="394"/>
      <c r="M20" s="438">
        <f>IF(M18="","",M18+M19)</f>
        <v>4300</v>
      </c>
      <c r="N20" s="442"/>
      <c r="O20" s="187"/>
      <c r="P20" s="168"/>
      <c r="Q20" s="221"/>
      <c r="R20" s="221"/>
      <c r="S20" s="221"/>
      <c r="T20" s="221"/>
      <c r="U20" s="309"/>
      <c r="V20" s="222"/>
    </row>
    <row r="21" spans="1:66" ht="24.75" customHeight="1" x14ac:dyDescent="0.4">
      <c r="A21" s="18"/>
      <c r="B21" s="18"/>
      <c r="C21" s="18"/>
      <c r="D21" s="18"/>
      <c r="E21" s="399" t="s">
        <v>261</v>
      </c>
      <c r="F21" s="398"/>
      <c r="G21" s="426">
        <f>IF($H$12="","",(ROUNDUP(G20/$H$12,0)))</f>
        <v>625</v>
      </c>
      <c r="H21" s="394"/>
      <c r="I21" s="394"/>
      <c r="J21" s="445">
        <f>IF($H$12="","",(ROUNDUP(J20/$H$12,0)))</f>
        <v>1075</v>
      </c>
      <c r="K21" s="446"/>
      <c r="L21" s="394"/>
      <c r="M21" s="445">
        <f>IF($H$12="","",(ROUNDUP(M20/$H$12,0)))</f>
        <v>1075</v>
      </c>
      <c r="N21" s="446"/>
      <c r="O21" s="306"/>
      <c r="P21" s="168"/>
      <c r="Q21" s="221"/>
      <c r="R21" s="221"/>
      <c r="S21" s="221"/>
      <c r="T21" s="221"/>
      <c r="U21" s="309"/>
      <c r="V21" s="222"/>
    </row>
    <row r="22" spans="1:66" ht="24.75" customHeight="1" x14ac:dyDescent="0.4">
      <c r="A22" s="394"/>
      <c r="B22" s="394"/>
      <c r="C22" s="394"/>
      <c r="D22" s="394"/>
      <c r="E22" s="18"/>
      <c r="F22" s="18"/>
      <c r="G22" s="18"/>
      <c r="H22" s="18"/>
      <c r="I22" s="18"/>
      <c r="J22" s="455"/>
      <c r="K22" s="442"/>
      <c r="L22" s="18"/>
      <c r="M22" s="455"/>
      <c r="N22" s="442"/>
      <c r="O22" s="306"/>
      <c r="P22" s="168"/>
      <c r="Q22" s="221"/>
      <c r="R22" s="221"/>
      <c r="S22" s="221"/>
      <c r="T22" s="221"/>
      <c r="U22" s="309"/>
      <c r="V22" s="222"/>
    </row>
    <row r="23" spans="1:66" ht="12" customHeight="1" x14ac:dyDescent="0.2">
      <c r="BN23" s="340"/>
    </row>
    <row r="24" spans="1:66" ht="25.5" customHeight="1" x14ac:dyDescent="0.35">
      <c r="A24" s="493" t="s">
        <v>6</v>
      </c>
      <c r="B24" s="493"/>
      <c r="C24" s="493"/>
      <c r="D24" s="493"/>
      <c r="E24" s="413"/>
      <c r="F24" s="414"/>
      <c r="G24" s="386">
        <v>1000</v>
      </c>
      <c r="H24" s="387"/>
      <c r="I24" s="494">
        <v>1000</v>
      </c>
      <c r="J24" s="495"/>
      <c r="K24" s="496"/>
      <c r="L24" s="387"/>
      <c r="M24" s="494">
        <v>1000</v>
      </c>
      <c r="N24" s="497"/>
      <c r="O24" s="168"/>
      <c r="P24" s="491" t="s">
        <v>170</v>
      </c>
      <c r="Q24" s="492"/>
      <c r="R24" s="292" t="str">
        <f>IF(O52="","",IF(O52&gt;0,200))</f>
        <v/>
      </c>
      <c r="S24" s="181" t="str">
        <f>IF(O46="","",IF(O46=1,"",IF(O46=2,"",IF(O46=3,"",IF(O46=4,"",IF(O46=5,200))))))</f>
        <v/>
      </c>
      <c r="BN24" s="340"/>
    </row>
    <row r="25" spans="1:66" ht="25.5" customHeight="1" x14ac:dyDescent="0.35">
      <c r="A25" s="478" t="s">
        <v>40</v>
      </c>
      <c r="B25" s="478"/>
      <c r="C25" s="478"/>
      <c r="D25" s="478"/>
      <c r="E25" s="415"/>
      <c r="F25" s="416"/>
      <c r="G25" s="430">
        <f>IF(G24="","",CG86)</f>
        <v>215.82712788750001</v>
      </c>
      <c r="H25" s="431"/>
      <c r="I25" s="918">
        <f>IF(I24="","",DC86)</f>
        <v>215.82712788750001</v>
      </c>
      <c r="J25" s="918"/>
      <c r="K25" s="918"/>
      <c r="L25" s="431"/>
      <c r="M25" s="919">
        <f>IF(M24="","",DY86)</f>
        <v>215.82712788750001</v>
      </c>
      <c r="N25" s="920"/>
      <c r="O25" s="168"/>
      <c r="P25" s="368"/>
      <c r="Q25" s="369"/>
      <c r="R25" s="370"/>
      <c r="S25" s="371"/>
      <c r="BN25" s="340"/>
    </row>
    <row r="26" spans="1:66" ht="25.5" customHeight="1" x14ac:dyDescent="0.35">
      <c r="A26" s="482" t="s">
        <v>41</v>
      </c>
      <c r="B26" s="482"/>
      <c r="C26" s="482"/>
      <c r="D26" s="482"/>
      <c r="E26" s="415"/>
      <c r="F26" s="417"/>
      <c r="G26" s="433">
        <f>IF(G25="","",G25/G24)</f>
        <v>0.21582712788750003</v>
      </c>
      <c r="H26" s="434"/>
      <c r="I26" s="921">
        <f>IF(I25="","",I25/I24)</f>
        <v>0.21582712788750003</v>
      </c>
      <c r="J26" s="921"/>
      <c r="K26" s="921"/>
      <c r="L26" s="434"/>
      <c r="M26" s="922">
        <f>IF(M25="","",M25/M24)</f>
        <v>0.21582712788750003</v>
      </c>
      <c r="N26" s="923"/>
      <c r="O26" s="168"/>
      <c r="P26" s="368"/>
      <c r="Q26" s="369"/>
      <c r="R26" s="370"/>
      <c r="S26" s="371"/>
      <c r="BN26" s="340"/>
    </row>
    <row r="27" spans="1:66" ht="25.5" customHeight="1" x14ac:dyDescent="0.35">
      <c r="A27" s="449" t="s">
        <v>253</v>
      </c>
      <c r="B27" s="450"/>
      <c r="C27" s="450"/>
      <c r="D27" s="450"/>
      <c r="E27" s="381"/>
      <c r="F27" s="381"/>
      <c r="G27" s="432">
        <f>IF(G24="","",G26*1000)</f>
        <v>215.82712788750001</v>
      </c>
      <c r="H27" s="431"/>
      <c r="I27" s="926">
        <f>IF(I24="","",I26*1000)</f>
        <v>215.82712788750001</v>
      </c>
      <c r="J27" s="927"/>
      <c r="K27" s="927"/>
      <c r="L27" s="431"/>
      <c r="M27" s="926">
        <f>IF(M24="","",M26*1000)</f>
        <v>215.82712788750001</v>
      </c>
      <c r="N27" s="927"/>
      <c r="O27" s="168"/>
      <c r="P27" s="368"/>
      <c r="Q27" s="369"/>
      <c r="R27" s="370"/>
      <c r="S27" s="371"/>
      <c r="BN27" s="340"/>
    </row>
    <row r="28" spans="1:66" ht="23.25" x14ac:dyDescent="0.35">
      <c r="A28" s="376"/>
      <c r="B28" s="376"/>
      <c r="C28" s="376"/>
      <c r="D28" s="376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9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340"/>
    </row>
    <row r="29" spans="1:66" ht="23.25" x14ac:dyDescent="0.35">
      <c r="A29" s="376"/>
      <c r="B29" s="376"/>
      <c r="C29" s="376"/>
      <c r="D29" s="376"/>
      <c r="E29" s="377" t="s">
        <v>110</v>
      </c>
      <c r="F29" s="378"/>
      <c r="G29" s="379">
        <f>G24/U12</f>
        <v>500</v>
      </c>
      <c r="H29" s="380"/>
      <c r="I29" s="380"/>
      <c r="J29" s="488">
        <f>I24/U12</f>
        <v>500</v>
      </c>
      <c r="K29" s="489"/>
      <c r="L29" s="380"/>
      <c r="M29" s="488">
        <f>M24/U12</f>
        <v>500</v>
      </c>
      <c r="N29" s="490"/>
      <c r="O29" s="190"/>
      <c r="P29" s="491" t="s">
        <v>171</v>
      </c>
      <c r="Q29" s="492"/>
      <c r="R29" s="476" t="str">
        <f>IF(P29="","",KLIŠE!H11)</f>
        <v/>
      </c>
      <c r="S29" s="477"/>
      <c r="T29" s="173"/>
      <c r="U29" s="169"/>
      <c r="V29" s="173"/>
      <c r="W29" s="173"/>
      <c r="X29" s="173"/>
      <c r="Y29" s="168"/>
      <c r="Z29" s="168"/>
      <c r="AA29" s="174"/>
      <c r="AB29" s="153"/>
      <c r="AC29" s="153"/>
      <c r="AD29" s="153"/>
      <c r="AE29" s="152" t="s">
        <v>23</v>
      </c>
      <c r="AF29" s="152"/>
      <c r="AG29" s="152"/>
      <c r="AH29" s="151"/>
      <c r="AI29" s="152"/>
      <c r="AJ29" s="152"/>
      <c r="AK29" s="152"/>
      <c r="AL29" s="151"/>
      <c r="AM29" s="152"/>
      <c r="AN29" s="152"/>
      <c r="AO29" s="152"/>
      <c r="AP29" s="151"/>
      <c r="AQ29" s="152"/>
      <c r="AR29" s="152"/>
      <c r="AS29" s="152"/>
      <c r="AT29" s="151"/>
      <c r="AU29" s="152"/>
      <c r="AV29" s="152"/>
      <c r="AW29" s="152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340"/>
    </row>
    <row r="30" spans="1:66" ht="24.75" customHeight="1" x14ac:dyDescent="0.35">
      <c r="A30" s="376"/>
      <c r="B30" s="376"/>
      <c r="C30" s="376"/>
      <c r="D30" s="376"/>
      <c r="E30" s="381" t="s">
        <v>256</v>
      </c>
      <c r="F30" s="382"/>
      <c r="G30" s="383">
        <v>300</v>
      </c>
      <c r="H30" s="380"/>
      <c r="I30" s="380"/>
      <c r="J30" s="440">
        <v>300</v>
      </c>
      <c r="K30" s="699"/>
      <c r="L30" s="380"/>
      <c r="M30" s="929">
        <v>300</v>
      </c>
      <c r="N30" s="930"/>
      <c r="O30" s="187"/>
      <c r="P30" s="187"/>
      <c r="Q30" s="168"/>
      <c r="R30" s="175"/>
      <c r="S30" s="175"/>
      <c r="T30" s="175"/>
      <c r="U30" s="169"/>
      <c r="V30" s="175"/>
      <c r="W30" s="175"/>
      <c r="X30" s="175"/>
      <c r="Y30" s="168"/>
      <c r="Z30" s="168"/>
      <c r="AA30" s="176"/>
      <c r="AB30" s="155"/>
      <c r="AC30" s="155"/>
      <c r="AD30" s="155"/>
      <c r="AE30" s="154"/>
      <c r="AF30" s="154"/>
      <c r="AG30" s="154"/>
      <c r="AH30" s="151"/>
      <c r="AI30" s="154"/>
      <c r="AJ30" s="154"/>
      <c r="AK30" s="154"/>
      <c r="AL30" s="151"/>
      <c r="AM30" s="154"/>
      <c r="AN30" s="154"/>
      <c r="AO30" s="154"/>
      <c r="AP30" s="151"/>
      <c r="AQ30" s="154"/>
      <c r="AR30" s="154"/>
      <c r="AS30" s="154"/>
      <c r="AT30" s="151"/>
      <c r="AU30" s="154"/>
      <c r="AV30" s="154"/>
      <c r="AW30" s="154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340"/>
    </row>
    <row r="31" spans="1:66" ht="26.25" customHeight="1" x14ac:dyDescent="0.35">
      <c r="A31" s="376"/>
      <c r="B31" s="376"/>
      <c r="C31" s="376"/>
      <c r="D31" s="376"/>
      <c r="E31" s="384" t="s">
        <v>258</v>
      </c>
      <c r="F31" s="382"/>
      <c r="G31" s="428">
        <f>IF(G29="","",G29+G30)</f>
        <v>800</v>
      </c>
      <c r="H31" s="427"/>
      <c r="I31" s="427"/>
      <c r="J31" s="924">
        <f>IF(J29="","",J29+J30)</f>
        <v>800</v>
      </c>
      <c r="K31" s="925"/>
      <c r="L31" s="427"/>
      <c r="M31" s="924">
        <f>IF(M29="","",M29+M30)</f>
        <v>800</v>
      </c>
      <c r="N31" s="925"/>
      <c r="O31" s="306"/>
      <c r="P31" s="486" t="str">
        <f>IF(B37="","",B37)</f>
        <v/>
      </c>
      <c r="Q31" s="487"/>
      <c r="R31" s="487"/>
      <c r="S31" s="487"/>
      <c r="T31" s="487"/>
      <c r="U31" s="487"/>
      <c r="V31" s="365"/>
      <c r="W31" s="365"/>
      <c r="X31" s="365"/>
      <c r="Y31" s="168"/>
      <c r="Z31" s="168"/>
      <c r="AA31" s="177"/>
      <c r="AB31" s="157"/>
      <c r="AC31" s="157"/>
      <c r="AD31" s="157"/>
      <c r="AE31" s="156"/>
      <c r="AF31" s="156"/>
      <c r="AG31" s="156"/>
      <c r="AH31" s="151"/>
      <c r="AI31" s="156"/>
      <c r="AJ31" s="156"/>
      <c r="AK31" s="156"/>
      <c r="AL31" s="151"/>
      <c r="AM31" s="156"/>
      <c r="AN31" s="156"/>
      <c r="AO31" s="156"/>
      <c r="AP31" s="151"/>
      <c r="AQ31" s="156"/>
      <c r="AR31" s="156"/>
      <c r="AS31" s="156"/>
      <c r="AT31" s="151"/>
      <c r="AU31" s="156"/>
      <c r="AV31" s="156"/>
      <c r="AW31" s="156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340"/>
    </row>
    <row r="32" spans="1:66" ht="25.5" customHeight="1" x14ac:dyDescent="0.35">
      <c r="A32" s="380"/>
      <c r="B32" s="380"/>
      <c r="C32" s="380"/>
      <c r="D32" s="380"/>
      <c r="E32" s="377" t="s">
        <v>261</v>
      </c>
      <c r="F32" s="382"/>
      <c r="G32" s="429">
        <f>IF($H$12="","",(ROUNDUP(G31/$H$12,0)))</f>
        <v>200</v>
      </c>
      <c r="H32" s="427"/>
      <c r="I32" s="427"/>
      <c r="J32" s="928">
        <f>IF($H$12="","",(ROUNDUP(J31/$H$12,0)))</f>
        <v>200</v>
      </c>
      <c r="K32" s="925"/>
      <c r="L32" s="427"/>
      <c r="M32" s="928">
        <f>IF($H$12="","",(ROUNDUP(M31/$H$12,0)))</f>
        <v>200</v>
      </c>
      <c r="N32" s="925"/>
      <c r="O32" s="168"/>
      <c r="P32" s="486" t="str">
        <f>IF(B40="","",B40)</f>
        <v/>
      </c>
      <c r="Q32" s="487"/>
      <c r="R32" s="487"/>
      <c r="S32" s="487"/>
      <c r="T32" s="487"/>
      <c r="U32" s="487"/>
      <c r="V32" s="168"/>
      <c r="W32" s="168"/>
      <c r="X32" s="168"/>
      <c r="Y32" s="168"/>
      <c r="Z32" s="168"/>
      <c r="AA32" s="169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48"/>
      <c r="AY32" s="148"/>
      <c r="AZ32" s="148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48"/>
      <c r="BM32" s="148"/>
      <c r="BN32" s="340"/>
    </row>
    <row r="33" spans="1:131" ht="18" customHeight="1" x14ac:dyDescent="0.2">
      <c r="BN33" s="340"/>
    </row>
    <row r="34" spans="1:131" ht="16.5" customHeight="1" x14ac:dyDescent="0.25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58"/>
      <c r="W34" s="151"/>
      <c r="X34" s="151"/>
      <c r="Y34" s="151"/>
      <c r="Z34" s="151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58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0"/>
      <c r="BM34" s="150"/>
      <c r="BN34" s="340"/>
    </row>
    <row r="35" spans="1:131" ht="24" customHeight="1" x14ac:dyDescent="0.3">
      <c r="A35" s="498" t="s">
        <v>27</v>
      </c>
      <c r="B35" s="498"/>
      <c r="C35" s="498"/>
      <c r="D35" s="148"/>
      <c r="E35" s="148"/>
      <c r="F35" s="148"/>
      <c r="G35" s="148"/>
      <c r="H35" s="499">
        <f>IF(G14="","",G14)</f>
        <v>4550</v>
      </c>
      <c r="I35" s="500"/>
      <c r="J35" s="148"/>
      <c r="K35" s="347" t="s">
        <v>13</v>
      </c>
      <c r="L35" s="347"/>
      <c r="M35" s="347"/>
      <c r="N35" s="347"/>
      <c r="O35" s="347"/>
      <c r="P35" s="347"/>
      <c r="Q35" s="148"/>
      <c r="R35" s="148"/>
      <c r="S35" s="148"/>
      <c r="T35" s="148"/>
      <c r="U35" s="148"/>
      <c r="V35" s="151"/>
      <c r="W35" s="153"/>
      <c r="X35" s="153"/>
      <c r="Y35" s="153"/>
      <c r="Z35" s="498" t="s">
        <v>27</v>
      </c>
      <c r="AA35" s="498"/>
      <c r="AB35" s="498"/>
      <c r="AC35" s="148"/>
      <c r="AD35" s="148"/>
      <c r="AE35" s="148"/>
      <c r="AF35" s="148"/>
      <c r="AG35" s="499">
        <f>IF(I14="","",I14)</f>
        <v>8000</v>
      </c>
      <c r="AH35" s="500"/>
      <c r="AI35" s="148"/>
      <c r="AJ35" s="501" t="s">
        <v>13</v>
      </c>
      <c r="AK35" s="501"/>
      <c r="AL35" s="501"/>
      <c r="AM35" s="501"/>
      <c r="AN35" s="501"/>
      <c r="AO35" s="148"/>
      <c r="AP35" s="148"/>
      <c r="AQ35" s="148"/>
      <c r="AR35" s="148"/>
      <c r="AS35" s="151"/>
      <c r="AT35" s="151"/>
      <c r="AU35" s="498" t="s">
        <v>27</v>
      </c>
      <c r="AV35" s="498"/>
      <c r="AW35" s="498"/>
      <c r="AX35" s="148"/>
      <c r="AY35" s="148"/>
      <c r="AZ35" s="148"/>
      <c r="BA35" s="148"/>
      <c r="BB35" s="499">
        <f>IF(M14="","",M14)</f>
        <v>8000</v>
      </c>
      <c r="BC35" s="500"/>
      <c r="BD35" s="148"/>
      <c r="BE35" s="501" t="s">
        <v>13</v>
      </c>
      <c r="BF35" s="501"/>
      <c r="BG35" s="501"/>
      <c r="BH35" s="501"/>
      <c r="BI35" s="501"/>
      <c r="BJ35" s="148"/>
      <c r="BK35" s="148"/>
      <c r="BL35" s="148"/>
      <c r="BM35" s="148"/>
      <c r="BN35" s="340"/>
      <c r="BP35" s="498" t="s">
        <v>27</v>
      </c>
      <c r="BQ35" s="498"/>
      <c r="BR35" s="498"/>
      <c r="BS35" s="148"/>
      <c r="BT35" s="148"/>
      <c r="BU35" s="148"/>
      <c r="BV35" s="148"/>
      <c r="BW35" s="499">
        <f>IF(G24="","",G24)</f>
        <v>1000</v>
      </c>
      <c r="BX35" s="500"/>
      <c r="BY35" s="148"/>
      <c r="BZ35" s="501" t="s">
        <v>13</v>
      </c>
      <c r="CA35" s="501"/>
      <c r="CB35" s="501"/>
      <c r="CC35" s="501"/>
      <c r="CD35" s="501"/>
      <c r="CE35" s="501"/>
      <c r="CF35" s="148"/>
      <c r="CG35" s="148"/>
      <c r="CH35" s="148"/>
      <c r="CI35" s="148"/>
      <c r="CL35" s="498" t="s">
        <v>27</v>
      </c>
      <c r="CM35" s="498"/>
      <c r="CN35" s="498"/>
      <c r="CO35" s="148"/>
      <c r="CP35" s="148"/>
      <c r="CQ35" s="148"/>
      <c r="CR35" s="148"/>
      <c r="CS35" s="499">
        <f>IF(I24="","",I24)</f>
        <v>1000</v>
      </c>
      <c r="CT35" s="500"/>
      <c r="CU35" s="148"/>
      <c r="CV35" s="501" t="s">
        <v>13</v>
      </c>
      <c r="CW35" s="501"/>
      <c r="CX35" s="501"/>
      <c r="CY35" s="501"/>
      <c r="CZ35" s="501"/>
      <c r="DA35" s="501"/>
      <c r="DB35" s="148"/>
      <c r="DC35" s="148"/>
      <c r="DD35" s="148"/>
      <c r="DE35" s="148"/>
      <c r="DH35" s="498" t="s">
        <v>27</v>
      </c>
      <c r="DI35" s="498"/>
      <c r="DJ35" s="498"/>
      <c r="DK35" s="148"/>
      <c r="DL35" s="148"/>
      <c r="DM35" s="148"/>
      <c r="DN35" s="148"/>
      <c r="DO35" s="499">
        <f>IF(M24="","",M24)</f>
        <v>1000</v>
      </c>
      <c r="DP35" s="500"/>
      <c r="DQ35" s="148"/>
      <c r="DR35" s="501" t="s">
        <v>13</v>
      </c>
      <c r="DS35" s="501"/>
      <c r="DT35" s="501"/>
      <c r="DU35" s="501"/>
      <c r="DV35" s="501"/>
      <c r="DW35" s="501"/>
      <c r="DX35" s="148"/>
      <c r="DY35" s="148"/>
      <c r="DZ35" s="148"/>
      <c r="EA35" s="148"/>
    </row>
    <row r="36" spans="1:131" ht="20.25" customHeight="1" x14ac:dyDescent="0.25">
      <c r="A36" s="159"/>
      <c r="B36" s="502" t="s">
        <v>31</v>
      </c>
      <c r="C36" s="502"/>
      <c r="D36" s="341"/>
      <c r="E36" s="341"/>
      <c r="F36" s="341"/>
      <c r="G36" s="341"/>
      <c r="H36" s="341"/>
      <c r="I36" s="341"/>
      <c r="J36" s="148"/>
      <c r="K36" s="160"/>
      <c r="L36" s="503" t="s">
        <v>14</v>
      </c>
      <c r="M36" s="503"/>
      <c r="N36" s="346"/>
      <c r="O36" s="161">
        <v>1</v>
      </c>
      <c r="P36" s="162">
        <f>IF(O36="","",IF(($H$35/($H$12)/2500)&lt;=0.5,0.25,IF(($H$35/($H$12)/2500)&gt;0.25,($H$35/($H$12)/2500))))</f>
        <v>0.25</v>
      </c>
      <c r="Q36" s="159"/>
      <c r="R36" s="504">
        <f>IF(P36="","",(P36*17))</f>
        <v>4.25</v>
      </c>
      <c r="S36" s="504"/>
      <c r="T36" s="159"/>
      <c r="U36" s="148"/>
      <c r="V36" s="151"/>
      <c r="W36" s="151"/>
      <c r="X36" s="148"/>
      <c r="Y36" s="148"/>
      <c r="Z36" s="159"/>
      <c r="AA36" s="502" t="s">
        <v>31</v>
      </c>
      <c r="AB36" s="502"/>
      <c r="AC36" s="341"/>
      <c r="AD36" s="341"/>
      <c r="AE36" s="341"/>
      <c r="AF36" s="341"/>
      <c r="AG36" s="341"/>
      <c r="AH36" s="341"/>
      <c r="AI36" s="148"/>
      <c r="AJ36" s="160"/>
      <c r="AK36" s="503" t="s">
        <v>14</v>
      </c>
      <c r="AL36" s="503"/>
      <c r="AM36" s="191">
        <f>IF($O$36="","",$O$36)</f>
        <v>1</v>
      </c>
      <c r="AN36" s="162">
        <f>IF(AM36="","",IF(($AG$35/($H$12)/2500)&lt;=0.5,0.5,IF(($AG$35/($H$12)/2500)&gt;0.25,($AG$35/($H$12)/2500))))</f>
        <v>0.8</v>
      </c>
      <c r="AO36" s="159"/>
      <c r="AP36" s="504">
        <f>IF(AN36="","",(AN36*17))</f>
        <v>13.600000000000001</v>
      </c>
      <c r="AQ36" s="504"/>
      <c r="AR36" s="159"/>
      <c r="AS36" s="151"/>
      <c r="AT36" s="151"/>
      <c r="AU36" s="159"/>
      <c r="AV36" s="502" t="s">
        <v>31</v>
      </c>
      <c r="AW36" s="502"/>
      <c r="AX36" s="341"/>
      <c r="AY36" s="341"/>
      <c r="AZ36" s="341"/>
      <c r="BA36" s="341"/>
      <c r="BB36" s="341"/>
      <c r="BC36" s="341"/>
      <c r="BD36" s="148"/>
      <c r="BE36" s="160"/>
      <c r="BF36" s="503" t="s">
        <v>14</v>
      </c>
      <c r="BG36" s="503"/>
      <c r="BH36" s="191">
        <f>IF($O$36="","",$O$36)</f>
        <v>1</v>
      </c>
      <c r="BI36" s="162">
        <f>IF(BH36="","",IF(($BB$35/($H$12)/2500)&lt;=0.25,0.5,IF(($BB$35/($H$12)/2500)&gt;0.5,($BB$35/($H$12)/2500))))</f>
        <v>0.8</v>
      </c>
      <c r="BJ36" s="159"/>
      <c r="BK36" s="504">
        <f>IF(BI36="","",(BI36*17))</f>
        <v>13.600000000000001</v>
      </c>
      <c r="BL36" s="504"/>
      <c r="BM36" s="159"/>
      <c r="BN36" s="340"/>
      <c r="BP36" s="159"/>
      <c r="BQ36" s="502" t="s">
        <v>31</v>
      </c>
      <c r="BR36" s="502"/>
      <c r="BS36" s="341"/>
      <c r="BT36" s="341"/>
      <c r="BU36" s="341"/>
      <c r="BV36" s="341"/>
      <c r="BW36" s="341"/>
      <c r="BX36" s="341"/>
      <c r="BY36" s="148"/>
      <c r="BZ36" s="160"/>
      <c r="CA36" s="503" t="s">
        <v>14</v>
      </c>
      <c r="CB36" s="503"/>
      <c r="CC36" s="346"/>
      <c r="CD36" s="191">
        <f>BH36</f>
        <v>1</v>
      </c>
      <c r="CE36" s="162">
        <f>IF(CD36="","",IF(($BW$35/($H$12)/2500)&lt;=0.5,0.5,IF(($BW$35/($H$12)/2500)&gt;0.25,($BW$35/($H$12)/2500))))</f>
        <v>0.5</v>
      </c>
      <c r="CF36" s="159"/>
      <c r="CG36" s="504">
        <f>IF(CE36="","",(CE36*17))</f>
        <v>8.5</v>
      </c>
      <c r="CH36" s="504"/>
      <c r="CI36" s="159"/>
      <c r="CL36" s="159"/>
      <c r="CM36" s="502" t="s">
        <v>31</v>
      </c>
      <c r="CN36" s="502"/>
      <c r="CO36" s="341"/>
      <c r="CP36" s="341"/>
      <c r="CQ36" s="341"/>
      <c r="CR36" s="341"/>
      <c r="CS36" s="341"/>
      <c r="CT36" s="341"/>
      <c r="CU36" s="148"/>
      <c r="CV36" s="160"/>
      <c r="CW36" s="503" t="s">
        <v>14</v>
      </c>
      <c r="CX36" s="503"/>
      <c r="CY36" s="346"/>
      <c r="CZ36" s="191">
        <f>CD36</f>
        <v>1</v>
      </c>
      <c r="DA36" s="162">
        <f>IF(CZ36="","",IF(($CS$35/($H$12)/2500)&lt;=0.5,0.5,IF(($CS$35/($H$12)/2500)&gt;0.25,($CS$35/($H$12)/2500))))</f>
        <v>0.5</v>
      </c>
      <c r="DB36" s="159"/>
      <c r="DC36" s="504">
        <f>IF(DA36="","",(DA36*17))</f>
        <v>8.5</v>
      </c>
      <c r="DD36" s="504"/>
      <c r="DE36" s="159"/>
      <c r="DH36" s="159"/>
      <c r="DI36" s="502" t="s">
        <v>31</v>
      </c>
      <c r="DJ36" s="502"/>
      <c r="DK36" s="341"/>
      <c r="DL36" s="341"/>
      <c r="DM36" s="341"/>
      <c r="DN36" s="341"/>
      <c r="DO36" s="341"/>
      <c r="DP36" s="341"/>
      <c r="DQ36" s="148"/>
      <c r="DR36" s="160"/>
      <c r="DS36" s="503" t="s">
        <v>14</v>
      </c>
      <c r="DT36" s="503"/>
      <c r="DU36" s="346"/>
      <c r="DV36" s="191">
        <f>CZ36</f>
        <v>1</v>
      </c>
      <c r="DW36" s="162">
        <f>IF(DV36="","",IF(($DO$35/($H$12)/2500)&lt;=0.5,0.5,IF(($DO$35/($H$12)/2500)&gt;0.25,($DO$35/($H$12)/2500))))</f>
        <v>0.5</v>
      </c>
      <c r="DX36" s="159"/>
      <c r="DY36" s="504">
        <f>IF(DW36="","",(DW36*17))</f>
        <v>8.5</v>
      </c>
      <c r="DZ36" s="504"/>
      <c r="EA36" s="159"/>
    </row>
    <row r="37" spans="1:131" ht="23.25" customHeight="1" x14ac:dyDescent="0.25">
      <c r="A37" s="159"/>
      <c r="B37" s="505"/>
      <c r="C37" s="506"/>
      <c r="D37" s="506"/>
      <c r="E37" s="506"/>
      <c r="F37" s="507"/>
      <c r="G37" s="437">
        <f>$AB$17</f>
        <v>0.10265535000000001</v>
      </c>
      <c r="H37" s="504">
        <f>IF(G37="","",IF($G$37&gt;0,(($G$18+50)/($H$12/$U$12)*$G$37))*1.03)</f>
        <v>122.91694970625002</v>
      </c>
      <c r="I37" s="504"/>
      <c r="J37" s="163"/>
      <c r="K37" s="160"/>
      <c r="L37" s="503" t="s">
        <v>15</v>
      </c>
      <c r="M37" s="503"/>
      <c r="N37" s="346"/>
      <c r="O37" s="161"/>
      <c r="P37" s="162" t="str">
        <f>IF(O37="","",IF(($H$35/($H$12)/2500)&lt;=0.25,0.5,IF(($H$35/($H$12)/2500)&gt;0.25,($H$35/($H$12)/2500))))</f>
        <v/>
      </c>
      <c r="Q37" s="159"/>
      <c r="R37" s="508" t="str">
        <f>IF(P37="","",(P37*17))</f>
        <v/>
      </c>
      <c r="S37" s="508"/>
      <c r="T37" s="159"/>
      <c r="U37" s="148"/>
      <c r="V37" s="151"/>
      <c r="W37" s="151"/>
      <c r="X37" s="148"/>
      <c r="Y37" s="148"/>
      <c r="Z37" s="159"/>
      <c r="AA37" s="509" t="str">
        <f>IF(B37="","",B37)</f>
        <v/>
      </c>
      <c r="AB37" s="510"/>
      <c r="AC37" s="510"/>
      <c r="AD37" s="510"/>
      <c r="AE37" s="511"/>
      <c r="AF37" s="437">
        <f>$AB$17</f>
        <v>0.10265535000000001</v>
      </c>
      <c r="AG37" s="504">
        <f>IF(AF37="","",IF($G$37&gt;0,(($J$18+50)/($H$12/$U$12)*$G$37))*1.03)</f>
        <v>214.11339626250003</v>
      </c>
      <c r="AH37" s="504"/>
      <c r="AI37" s="163"/>
      <c r="AJ37" s="160"/>
      <c r="AK37" s="503" t="s">
        <v>15</v>
      </c>
      <c r="AL37" s="503"/>
      <c r="AM37" s="191" t="str">
        <f>IF($O$37="","",$O$37)</f>
        <v/>
      </c>
      <c r="AN37" s="162" t="str">
        <f>IF(AM37="","",IF(($AG$35/($H$12)/2500)&lt;=0.5,0.5,IF(($AG$35/($H$12)/2500)&gt;0.25,($AG$35/($H$12)/2500))))</f>
        <v/>
      </c>
      <c r="AO37" s="159"/>
      <c r="AP37" s="508" t="str">
        <f>IF(AN37="","",(AN37*17))</f>
        <v/>
      </c>
      <c r="AQ37" s="508"/>
      <c r="AR37" s="159"/>
      <c r="AS37" s="151"/>
      <c r="AT37" s="151"/>
      <c r="AU37" s="159"/>
      <c r="AV37" s="509" t="str">
        <f>IF(B37="","",B37)</f>
        <v/>
      </c>
      <c r="AW37" s="510"/>
      <c r="AX37" s="510"/>
      <c r="AY37" s="510"/>
      <c r="AZ37" s="511"/>
      <c r="BA37" s="437">
        <f>$AB$17</f>
        <v>0.10265535000000001</v>
      </c>
      <c r="BB37" s="504">
        <f>IF(BA37="","",IF($G$37&gt;0,(($M$18+50)/($H$12/$U$12)*$G$37))*1.03)</f>
        <v>214.11339626250003</v>
      </c>
      <c r="BC37" s="504"/>
      <c r="BD37" s="163"/>
      <c r="BE37" s="160"/>
      <c r="BF37" s="503" t="s">
        <v>15</v>
      </c>
      <c r="BG37" s="503"/>
      <c r="BH37" s="191" t="str">
        <f>IF($O$37="","",$O$37)</f>
        <v/>
      </c>
      <c r="BI37" s="162" t="str">
        <f>IF(BH37="","",IF(($BB$35/($H$12)/2500)&lt;=0.5,0.5,IF(($BB$35/($H$12)/2500)&gt;0.25,($BB$35/($H$12)/2500))))</f>
        <v/>
      </c>
      <c r="BJ37" s="159"/>
      <c r="BK37" s="508" t="str">
        <f>IF(BI37="","",(BI37*17))</f>
        <v/>
      </c>
      <c r="BL37" s="508"/>
      <c r="BM37" s="159"/>
      <c r="BN37" s="340"/>
      <c r="BP37" s="159"/>
      <c r="BQ37" s="509" t="str">
        <f>AV37</f>
        <v/>
      </c>
      <c r="BR37" s="510"/>
      <c r="BS37" s="510"/>
      <c r="BT37" s="510"/>
      <c r="BU37" s="511"/>
      <c r="BV37" s="437">
        <f>$AB$17</f>
        <v>0.10265535000000001</v>
      </c>
      <c r="BW37" s="504">
        <f>IF(BV37="","",IF($G$37&gt;0,(($G$29+50)/($H$12/$U$12)*$G$37))*1.03)</f>
        <v>29.077127887500005</v>
      </c>
      <c r="BX37" s="504"/>
      <c r="BY37" s="163"/>
      <c r="BZ37" s="160"/>
      <c r="CA37" s="503" t="s">
        <v>15</v>
      </c>
      <c r="CB37" s="503"/>
      <c r="CC37" s="346"/>
      <c r="CD37" s="191" t="str">
        <f>BH37</f>
        <v/>
      </c>
      <c r="CE37" s="162" t="str">
        <f>IF(CD37="","",IF(($BW$35/($H$12)/2500)&lt;=0.5,0.5,IF(($BW$35/($H$12)/2500)&gt;0.25,($BW$35/($H$12)/2500))))</f>
        <v/>
      </c>
      <c r="CF37" s="159"/>
      <c r="CG37" s="508" t="str">
        <f>IF(CE37="","",(CE37*17))</f>
        <v/>
      </c>
      <c r="CH37" s="508"/>
      <c r="CI37" s="159"/>
      <c r="CL37" s="159"/>
      <c r="CM37" s="509" t="str">
        <f>BQ37</f>
        <v/>
      </c>
      <c r="CN37" s="510"/>
      <c r="CO37" s="510"/>
      <c r="CP37" s="510"/>
      <c r="CQ37" s="511"/>
      <c r="CR37" s="437">
        <f>$AB$17</f>
        <v>0.10265535000000001</v>
      </c>
      <c r="CS37" s="504">
        <f>IF(CR37="","",IF($G$37&gt;0,(($J$29+50)/($H$12/$U$12)*$G$37))*1.03)</f>
        <v>29.077127887500005</v>
      </c>
      <c r="CT37" s="504"/>
      <c r="CU37" s="163"/>
      <c r="CV37" s="160"/>
      <c r="CW37" s="503" t="s">
        <v>15</v>
      </c>
      <c r="CX37" s="503"/>
      <c r="CY37" s="346"/>
      <c r="CZ37" s="191" t="str">
        <f>CD37</f>
        <v/>
      </c>
      <c r="DA37" s="162" t="str">
        <f>IF(CZ37="","",IF(($CS$35/($H$12)/2500)&lt;=0.5,0.5,IF(($CS$35/($H$12)/2500)&gt;0.25,($CS$35/($H$12)/2500))))</f>
        <v/>
      </c>
      <c r="DB37" s="159"/>
      <c r="DC37" s="508" t="str">
        <f>IF(DA37="","",(DA37*17))</f>
        <v/>
      </c>
      <c r="DD37" s="508"/>
      <c r="DE37" s="159"/>
      <c r="DH37" s="159"/>
      <c r="DI37" s="509" t="str">
        <f>CM37</f>
        <v/>
      </c>
      <c r="DJ37" s="510"/>
      <c r="DK37" s="510"/>
      <c r="DL37" s="510"/>
      <c r="DM37" s="511"/>
      <c r="DN37" s="437">
        <f>$AB$17</f>
        <v>0.10265535000000001</v>
      </c>
      <c r="DO37" s="504">
        <f>IF(DN37="","",IF($G$37&gt;0,(($M$29+50)/($H$12/$U$12)*$G$37))*1.03)</f>
        <v>29.077127887500005</v>
      </c>
      <c r="DP37" s="504"/>
      <c r="DQ37" s="163"/>
      <c r="DR37" s="160"/>
      <c r="DS37" s="503" t="s">
        <v>15</v>
      </c>
      <c r="DT37" s="503"/>
      <c r="DU37" s="346"/>
      <c r="DV37" s="191" t="str">
        <f>CZ37</f>
        <v/>
      </c>
      <c r="DW37" s="162" t="str">
        <f>IF(DV37="","",IF(($DO$35/($H$12)/2500)&lt;=0.5,0.5,IF(($DO$35/($H$12)/2500)&gt;0.25,($DO$35/($H$12)/2500))))</f>
        <v/>
      </c>
      <c r="DX37" s="159"/>
      <c r="DY37" s="508" t="str">
        <f>IF(DW37="","",(DW37*17))</f>
        <v/>
      </c>
      <c r="DZ37" s="508"/>
      <c r="EA37" s="159"/>
    </row>
    <row r="38" spans="1:131" ht="22.5" customHeight="1" x14ac:dyDescent="0.25">
      <c r="A38" s="159"/>
      <c r="B38" s="159"/>
      <c r="C38" s="159"/>
      <c r="D38" s="159"/>
      <c r="E38" s="159"/>
      <c r="F38" s="159"/>
      <c r="G38" s="159"/>
      <c r="H38" s="159"/>
      <c r="I38" s="159"/>
      <c r="J38" s="163"/>
      <c r="K38" s="160"/>
      <c r="L38" s="503" t="s">
        <v>16</v>
      </c>
      <c r="M38" s="503"/>
      <c r="N38" s="346"/>
      <c r="O38" s="161"/>
      <c r="P38" s="162" t="str">
        <f>IF(O38="","",IF(($H$35/($H$12)/2000)&lt;=0.5,0.5,IF(($H$35/($H$12)/2000)&gt;0.25,($H$35/($H$12)/2000))))</f>
        <v/>
      </c>
      <c r="Q38" s="159"/>
      <c r="R38" s="508" t="str">
        <f>IF(P38="","",(P38*17))</f>
        <v/>
      </c>
      <c r="S38" s="508"/>
      <c r="T38" s="159"/>
      <c r="U38" s="148"/>
      <c r="V38" s="151"/>
      <c r="W38" s="148"/>
      <c r="X38" s="148"/>
      <c r="Y38" s="148"/>
      <c r="Z38" s="159"/>
      <c r="AA38" s="159"/>
      <c r="AB38" s="159"/>
      <c r="AC38" s="159"/>
      <c r="AD38" s="159"/>
      <c r="AE38" s="159"/>
      <c r="AF38" s="159"/>
      <c r="AG38" s="159"/>
      <c r="AH38" s="159"/>
      <c r="AI38" s="163"/>
      <c r="AJ38" s="160"/>
      <c r="AK38" s="503" t="s">
        <v>16</v>
      </c>
      <c r="AL38" s="503"/>
      <c r="AM38" s="191" t="str">
        <f>IF($O$38="","",$O$38)</f>
        <v/>
      </c>
      <c r="AN38" s="162" t="str">
        <f>IF(AM38="","",IF(($AG$35/($H$12)/2000)&lt;=0.25,0.5,IF(($AG$35/($H$12)/2000)&gt;0.25,($AG$35/($H$12)/2000))))</f>
        <v/>
      </c>
      <c r="AO38" s="159"/>
      <c r="AP38" s="508" t="str">
        <f>IF(AN38="","",(AN38*17))</f>
        <v/>
      </c>
      <c r="AQ38" s="508"/>
      <c r="AR38" s="159"/>
      <c r="AS38" s="151"/>
      <c r="AT38" s="151"/>
      <c r="AU38" s="159"/>
      <c r="AV38" s="159"/>
      <c r="AW38" s="159"/>
      <c r="AX38" s="159"/>
      <c r="AY38" s="159"/>
      <c r="AZ38" s="159"/>
      <c r="BA38" s="159"/>
      <c r="BB38" s="159"/>
      <c r="BC38" s="159"/>
      <c r="BD38" s="163"/>
      <c r="BE38" s="160"/>
      <c r="BF38" s="503" t="s">
        <v>16</v>
      </c>
      <c r="BG38" s="503"/>
      <c r="BH38" s="191" t="str">
        <f>IF($O$38="","",$O$38)</f>
        <v/>
      </c>
      <c r="BI38" s="162" t="str">
        <f>IF(BH38="","",IF(($BB$35/($H$12)/2000)&lt;=0.5,0.5,IF(($BB$35/($H$12)/2000)&gt;0.25,($BB$35/($H$12)/2000))))</f>
        <v/>
      </c>
      <c r="BJ38" s="159"/>
      <c r="BK38" s="508" t="str">
        <f>IF(BI38="","",(BI38*17))</f>
        <v/>
      </c>
      <c r="BL38" s="508"/>
      <c r="BM38" s="159"/>
      <c r="BN38" s="340"/>
      <c r="BP38" s="159"/>
      <c r="BQ38" s="159"/>
      <c r="BR38" s="159"/>
      <c r="BS38" s="159"/>
      <c r="BT38" s="159"/>
      <c r="BU38" s="159"/>
      <c r="BV38" s="159"/>
      <c r="BW38" s="159"/>
      <c r="BX38" s="159"/>
      <c r="BY38" s="163"/>
      <c r="BZ38" s="160"/>
      <c r="CA38" s="503" t="s">
        <v>16</v>
      </c>
      <c r="CB38" s="503"/>
      <c r="CC38" s="346"/>
      <c r="CD38" s="191" t="str">
        <f>BH38</f>
        <v/>
      </c>
      <c r="CE38" s="162" t="str">
        <f>IF(CD38="","",IF(($BW$35/($H$12)/2000)&lt;=0.5,0.5,IF(($BW$35/($H$12)/2000)&gt;0.25,($BW$35/($H$12)/2000))))</f>
        <v/>
      </c>
      <c r="CF38" s="159"/>
      <c r="CG38" s="508" t="str">
        <f>IF(CE38="","",(CE38*17))</f>
        <v/>
      </c>
      <c r="CH38" s="508"/>
      <c r="CI38" s="159"/>
      <c r="CL38" s="159"/>
      <c r="CM38" s="159"/>
      <c r="CN38" s="159"/>
      <c r="CO38" s="159"/>
      <c r="CP38" s="159"/>
      <c r="CQ38" s="159"/>
      <c r="CR38" s="159"/>
      <c r="CS38" s="159"/>
      <c r="CT38" s="159"/>
      <c r="CU38" s="163"/>
      <c r="CV38" s="160"/>
      <c r="CW38" s="503" t="s">
        <v>16</v>
      </c>
      <c r="CX38" s="503"/>
      <c r="CY38" s="346"/>
      <c r="CZ38" s="191" t="str">
        <f>CD38</f>
        <v/>
      </c>
      <c r="DA38" s="162" t="str">
        <f>IF(CZ38="","",IF(($CS$35/($H$12)/2000)&lt;=0.5,0.5,IF(($CS$35/($H$12)/2000)&gt;0.25,($CS35/($H$12)/2000))))</f>
        <v/>
      </c>
      <c r="DB38" s="159"/>
      <c r="DC38" s="508" t="str">
        <f>IF(DA38="","",(DA38*17))</f>
        <v/>
      </c>
      <c r="DD38" s="508"/>
      <c r="DE38" s="159"/>
      <c r="DH38" s="159"/>
      <c r="DI38" s="159"/>
      <c r="DJ38" s="159"/>
      <c r="DK38" s="159"/>
      <c r="DL38" s="159"/>
      <c r="DM38" s="159"/>
      <c r="DN38" s="159"/>
      <c r="DO38" s="159"/>
      <c r="DP38" s="159"/>
      <c r="DQ38" s="163"/>
      <c r="DR38" s="160"/>
      <c r="DS38" s="503" t="s">
        <v>16</v>
      </c>
      <c r="DT38" s="503"/>
      <c r="DU38" s="346"/>
      <c r="DV38" s="191" t="str">
        <f>CZ38</f>
        <v/>
      </c>
      <c r="DW38" s="162" t="str">
        <f>IF(DV38="","",IF(($DO$35/($H$12)/2000)&lt;=0.5,0.5,IF(($DO$35/($H$12)/2000)&gt;0.25,($DO$35/($H$12)/2000))))</f>
        <v/>
      </c>
      <c r="DX38" s="159"/>
      <c r="DY38" s="508" t="str">
        <f>IF(DW38="","",(DW38*17))</f>
        <v/>
      </c>
      <c r="DZ38" s="508"/>
      <c r="EA38" s="159"/>
    </row>
    <row r="39" spans="1:131" ht="15.75" customHeight="1" x14ac:dyDescent="0.25">
      <c r="A39" s="159"/>
      <c r="B39" s="502" t="s">
        <v>32</v>
      </c>
      <c r="C39" s="502"/>
      <c r="D39" s="159"/>
      <c r="E39" s="159"/>
      <c r="F39" s="159"/>
      <c r="G39" s="159"/>
      <c r="H39" s="159"/>
      <c r="I39" s="159"/>
      <c r="J39" s="163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48"/>
      <c r="V39" s="151"/>
      <c r="W39" s="151"/>
      <c r="X39" s="148"/>
      <c r="Y39" s="148"/>
      <c r="Z39" s="159"/>
      <c r="AA39" s="502" t="s">
        <v>32</v>
      </c>
      <c r="AB39" s="502"/>
      <c r="AC39" s="159"/>
      <c r="AD39" s="159"/>
      <c r="AE39" s="159"/>
      <c r="AF39" s="159"/>
      <c r="AG39" s="159"/>
      <c r="AH39" s="159"/>
      <c r="AI39" s="163"/>
      <c r="AJ39" s="159"/>
      <c r="AK39" s="159"/>
      <c r="AL39" s="159"/>
      <c r="AM39" s="159"/>
      <c r="AN39" s="159"/>
      <c r="AO39" s="159"/>
      <c r="AP39" s="159"/>
      <c r="AQ39" s="159"/>
      <c r="AR39" s="159"/>
      <c r="AS39" s="151"/>
      <c r="AT39" s="151"/>
      <c r="AU39" s="159"/>
      <c r="AV39" s="502" t="s">
        <v>32</v>
      </c>
      <c r="AW39" s="502"/>
      <c r="AX39" s="159"/>
      <c r="AY39" s="159"/>
      <c r="AZ39" s="159"/>
      <c r="BA39" s="159"/>
      <c r="BB39" s="159"/>
      <c r="BC39" s="159"/>
      <c r="BD39" s="163"/>
      <c r="BE39" s="159"/>
      <c r="BF39" s="159"/>
      <c r="BG39" s="159"/>
      <c r="BH39" s="159"/>
      <c r="BI39" s="159"/>
      <c r="BJ39" s="159"/>
      <c r="BK39" s="159"/>
      <c r="BL39" s="159"/>
      <c r="BM39" s="159"/>
      <c r="BN39" s="340"/>
      <c r="BP39" s="159"/>
      <c r="BQ39" s="502" t="s">
        <v>32</v>
      </c>
      <c r="BR39" s="502"/>
      <c r="BS39" s="159"/>
      <c r="BT39" s="159"/>
      <c r="BU39" s="159"/>
      <c r="BV39" s="159"/>
      <c r="BW39" s="159"/>
      <c r="BX39" s="159"/>
      <c r="BY39" s="163"/>
      <c r="BZ39" s="159"/>
      <c r="CA39" s="159"/>
      <c r="CB39" s="159"/>
      <c r="CC39" s="159"/>
      <c r="CD39" s="159"/>
      <c r="CE39" s="159"/>
      <c r="CF39" s="159"/>
      <c r="CG39" s="159"/>
      <c r="CH39" s="159"/>
      <c r="CI39" s="159"/>
      <c r="CL39" s="159"/>
      <c r="CM39" s="502" t="s">
        <v>32</v>
      </c>
      <c r="CN39" s="502"/>
      <c r="CO39" s="159"/>
      <c r="CP39" s="159"/>
      <c r="CQ39" s="159"/>
      <c r="CR39" s="159"/>
      <c r="CS39" s="159"/>
      <c r="CT39" s="159"/>
      <c r="CU39" s="163"/>
      <c r="CV39" s="159"/>
      <c r="CW39" s="159"/>
      <c r="CX39" s="159"/>
      <c r="CY39" s="159"/>
      <c r="CZ39" s="159"/>
      <c r="DA39" s="159"/>
      <c r="DB39" s="159"/>
      <c r="DC39" s="159"/>
      <c r="DD39" s="159"/>
      <c r="DE39" s="159"/>
      <c r="DH39" s="159"/>
      <c r="DI39" s="502" t="s">
        <v>32</v>
      </c>
      <c r="DJ39" s="502"/>
      <c r="DK39" s="159"/>
      <c r="DL39" s="159"/>
      <c r="DM39" s="159"/>
      <c r="DN39" s="159"/>
      <c r="DO39" s="159"/>
      <c r="DP39" s="159"/>
      <c r="DQ39" s="163"/>
      <c r="DR39" s="159"/>
      <c r="DS39" s="159"/>
      <c r="DT39" s="159"/>
      <c r="DU39" s="159"/>
      <c r="DV39" s="159"/>
      <c r="DW39" s="159"/>
      <c r="DX39" s="159"/>
      <c r="DY39" s="159"/>
      <c r="DZ39" s="159"/>
      <c r="EA39" s="159"/>
    </row>
    <row r="40" spans="1:131" ht="24.75" customHeight="1" thickBot="1" x14ac:dyDescent="0.35">
      <c r="A40" s="159"/>
      <c r="B40" s="514"/>
      <c r="C40" s="515"/>
      <c r="D40" s="515"/>
      <c r="E40" s="515"/>
      <c r="F40" s="516"/>
      <c r="G40" s="164"/>
      <c r="H40" s="504" t="str">
        <f>IF(G40="","",IF($G$40&gt;0,(($G$18+50)/($H$12/$U$12)*$G$40))*1.03)</f>
        <v/>
      </c>
      <c r="I40" s="504"/>
      <c r="J40" s="163"/>
      <c r="K40" s="165"/>
      <c r="L40" s="342" t="s">
        <v>8</v>
      </c>
      <c r="M40" s="342"/>
      <c r="N40" s="342"/>
      <c r="O40" s="342"/>
      <c r="P40" s="165"/>
      <c r="Q40" s="165"/>
      <c r="R40" s="165"/>
      <c r="S40" s="513">
        <f>SUM(R38,R37,R36)</f>
        <v>4.25</v>
      </c>
      <c r="T40" s="513"/>
      <c r="U40" s="148"/>
      <c r="V40" s="151"/>
      <c r="W40" s="151"/>
      <c r="X40" s="148"/>
      <c r="Y40" s="148"/>
      <c r="Z40" s="159"/>
      <c r="AA40" s="517" t="str">
        <f>IF(B40="","",B40)</f>
        <v/>
      </c>
      <c r="AB40" s="518"/>
      <c r="AC40" s="518"/>
      <c r="AD40" s="518"/>
      <c r="AE40" s="519"/>
      <c r="AF40" s="192" t="str">
        <f>IF(G40="","",G40)</f>
        <v/>
      </c>
      <c r="AG40" s="504" t="str">
        <f>IF(AF40="","",IF($G$40&gt;0,(($J$18+50)/($H$12/$U$12)*$G$40))*1.03)</f>
        <v/>
      </c>
      <c r="AH40" s="504"/>
      <c r="AI40" s="163"/>
      <c r="AJ40" s="165"/>
      <c r="AK40" s="512" t="s">
        <v>8</v>
      </c>
      <c r="AL40" s="512"/>
      <c r="AM40" s="512"/>
      <c r="AN40" s="165"/>
      <c r="AO40" s="165"/>
      <c r="AP40" s="165"/>
      <c r="AQ40" s="513">
        <f>SUM(AP38,AP37,AP36)</f>
        <v>13.600000000000001</v>
      </c>
      <c r="AR40" s="513"/>
      <c r="AS40" s="166"/>
      <c r="AT40" s="151"/>
      <c r="AU40" s="159"/>
      <c r="AV40" s="517" t="str">
        <f>IF(B40="","",B40)</f>
        <v/>
      </c>
      <c r="AW40" s="518"/>
      <c r="AX40" s="518"/>
      <c r="AY40" s="518"/>
      <c r="AZ40" s="519"/>
      <c r="BA40" s="192" t="str">
        <f>IF($G$40="","",$G$40)</f>
        <v/>
      </c>
      <c r="BB40" s="504" t="str">
        <f>IF(BA40="","",IF($G$40&gt;0,(($M$18+50)/($H$12/$U$12)*$G$40))*1.03)</f>
        <v/>
      </c>
      <c r="BC40" s="504"/>
      <c r="BD40" s="163"/>
      <c r="BE40" s="165"/>
      <c r="BF40" s="512" t="s">
        <v>8</v>
      </c>
      <c r="BG40" s="512"/>
      <c r="BH40" s="512"/>
      <c r="BI40" s="165"/>
      <c r="BJ40" s="165"/>
      <c r="BK40" s="165"/>
      <c r="BL40" s="513">
        <f>SUM(BK38,BK37,BK36)</f>
        <v>13.600000000000001</v>
      </c>
      <c r="BM40" s="513"/>
      <c r="BN40" s="340"/>
      <c r="BP40" s="159"/>
      <c r="BQ40" s="517" t="str">
        <f>AV40</f>
        <v/>
      </c>
      <c r="BR40" s="518"/>
      <c r="BS40" s="518"/>
      <c r="BT40" s="518"/>
      <c r="BU40" s="519"/>
      <c r="BV40" s="192" t="str">
        <f>IF($G$40="","",$G$40)</f>
        <v/>
      </c>
      <c r="BW40" s="504" t="str">
        <f>IF(BV40="","",IF($G$40&gt;0,(($G$29+50)/($H$12/$U$12)*$G$40))*1.03)</f>
        <v/>
      </c>
      <c r="BX40" s="504"/>
      <c r="BY40" s="163"/>
      <c r="BZ40" s="165"/>
      <c r="CA40" s="512" t="s">
        <v>8</v>
      </c>
      <c r="CB40" s="512"/>
      <c r="CC40" s="512"/>
      <c r="CD40" s="512"/>
      <c r="CE40" s="165"/>
      <c r="CF40" s="165"/>
      <c r="CG40" s="165"/>
      <c r="CH40" s="513">
        <f>SUM(CG38,CG37,CG36)</f>
        <v>8.5</v>
      </c>
      <c r="CI40" s="513"/>
      <c r="CL40" s="159"/>
      <c r="CM40" s="517" t="str">
        <f>BQ40</f>
        <v/>
      </c>
      <c r="CN40" s="518"/>
      <c r="CO40" s="518"/>
      <c r="CP40" s="518"/>
      <c r="CQ40" s="519"/>
      <c r="CR40" s="192" t="str">
        <f>IF($G$40="","",$G$40)</f>
        <v/>
      </c>
      <c r="CS40" s="504" t="str">
        <f>IF(CR40="","",IF($G$40&gt;0,(($J$29+50)/($H$12/$U$12)*$G$40))*1.03)</f>
        <v/>
      </c>
      <c r="CT40" s="504"/>
      <c r="CU40" s="163"/>
      <c r="CV40" s="165"/>
      <c r="CW40" s="512" t="s">
        <v>8</v>
      </c>
      <c r="CX40" s="512"/>
      <c r="CY40" s="512"/>
      <c r="CZ40" s="512"/>
      <c r="DA40" s="165"/>
      <c r="DB40" s="165"/>
      <c r="DC40" s="165"/>
      <c r="DD40" s="513">
        <f>SUM(DC38,DC37,DC36)</f>
        <v>8.5</v>
      </c>
      <c r="DE40" s="513"/>
      <c r="DH40" s="159"/>
      <c r="DI40" s="517" t="str">
        <f>CM40</f>
        <v/>
      </c>
      <c r="DJ40" s="518"/>
      <c r="DK40" s="518"/>
      <c r="DL40" s="518"/>
      <c r="DM40" s="519"/>
      <c r="DN40" s="192" t="str">
        <f>IF($G$40="","",$G$40)</f>
        <v/>
      </c>
      <c r="DO40" s="504" t="str">
        <f>IF(DN40="","",IF($G$40&gt;0,(($M$29+50)/($H$12/$U$12)*$G$40))*1.03)</f>
        <v/>
      </c>
      <c r="DP40" s="504"/>
      <c r="DQ40" s="163"/>
      <c r="DR40" s="165"/>
      <c r="DS40" s="512" t="s">
        <v>8</v>
      </c>
      <c r="DT40" s="512"/>
      <c r="DU40" s="512"/>
      <c r="DV40" s="512"/>
      <c r="DW40" s="165"/>
      <c r="DX40" s="165"/>
      <c r="DY40" s="165"/>
      <c r="DZ40" s="513">
        <f>SUM(DY38,DY37,DY36)</f>
        <v>8.5</v>
      </c>
      <c r="EA40" s="513"/>
    </row>
    <row r="41" spans="1:131" ht="15.75" customHeight="1" x14ac:dyDescent="0.25">
      <c r="A41" s="167"/>
      <c r="B41" s="159"/>
      <c r="C41" s="159"/>
      <c r="D41" s="159"/>
      <c r="E41" s="159"/>
      <c r="F41" s="159"/>
      <c r="G41" s="159" t="s">
        <v>23</v>
      </c>
      <c r="H41" s="159"/>
      <c r="I41" s="159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51"/>
      <c r="W41" s="151"/>
      <c r="X41" s="148"/>
      <c r="Y41" s="148"/>
      <c r="Z41" s="167"/>
      <c r="AA41" s="159"/>
      <c r="AB41" s="159"/>
      <c r="AC41" s="159"/>
      <c r="AD41" s="159"/>
      <c r="AE41" s="159"/>
      <c r="AF41" s="159" t="s">
        <v>23</v>
      </c>
      <c r="AG41" s="159"/>
      <c r="AH41" s="159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51"/>
      <c r="AT41" s="151"/>
      <c r="AU41" s="167"/>
      <c r="AV41" s="159"/>
      <c r="AW41" s="159"/>
      <c r="AX41" s="159"/>
      <c r="AY41" s="159"/>
      <c r="AZ41" s="159"/>
      <c r="BA41" s="159" t="s">
        <v>23</v>
      </c>
      <c r="BB41" s="159"/>
      <c r="BC41" s="159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340"/>
      <c r="BP41" s="167"/>
      <c r="BQ41" s="159"/>
      <c r="BR41" s="159"/>
      <c r="BS41" s="159"/>
      <c r="BT41" s="159"/>
      <c r="BU41" s="159"/>
      <c r="BV41" s="159" t="s">
        <v>23</v>
      </c>
      <c r="BW41" s="159"/>
      <c r="BX41" s="159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L41" s="167"/>
      <c r="CM41" s="159"/>
      <c r="CN41" s="159"/>
      <c r="CO41" s="159"/>
      <c r="CP41" s="159"/>
      <c r="CQ41" s="159"/>
      <c r="CR41" s="159" t="s">
        <v>23</v>
      </c>
      <c r="CS41" s="159"/>
      <c r="CT41" s="159"/>
      <c r="CU41" s="148"/>
      <c r="CV41" s="148"/>
      <c r="CW41" s="148"/>
      <c r="CX41" s="148"/>
      <c r="CY41" s="148"/>
      <c r="CZ41" s="148"/>
      <c r="DA41" s="148"/>
      <c r="DB41" s="148"/>
      <c r="DC41" s="148"/>
      <c r="DD41" s="148"/>
      <c r="DE41" s="148"/>
      <c r="DH41" s="167"/>
      <c r="DI41" s="159"/>
      <c r="DJ41" s="159"/>
      <c r="DK41" s="159"/>
      <c r="DL41" s="159"/>
      <c r="DM41" s="159"/>
      <c r="DN41" s="159" t="s">
        <v>23</v>
      </c>
      <c r="DO41" s="159"/>
      <c r="DP41" s="159"/>
      <c r="DQ41" s="148"/>
      <c r="DR41" s="148"/>
      <c r="DS41" s="148"/>
      <c r="DT41" s="148"/>
      <c r="DU41" s="148"/>
      <c r="DV41" s="148"/>
      <c r="DW41" s="148"/>
      <c r="DX41" s="148"/>
      <c r="DY41" s="148"/>
      <c r="DZ41" s="148"/>
      <c r="EA41" s="148"/>
    </row>
    <row r="42" spans="1:131" ht="16.5" customHeight="1" thickBot="1" x14ac:dyDescent="0.35">
      <c r="A42" s="165"/>
      <c r="B42" s="512" t="s">
        <v>8</v>
      </c>
      <c r="C42" s="512"/>
      <c r="D42" s="512"/>
      <c r="E42" s="165"/>
      <c r="F42" s="165"/>
      <c r="G42" s="165"/>
      <c r="H42" s="513">
        <f>SUM(H37:H40)</f>
        <v>122.91694970625002</v>
      </c>
      <c r="I42" s="513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51"/>
      <c r="W42" s="151"/>
      <c r="X42" s="148"/>
      <c r="Y42" s="148"/>
      <c r="Z42" s="165"/>
      <c r="AA42" s="512" t="s">
        <v>8</v>
      </c>
      <c r="AB42" s="512"/>
      <c r="AC42" s="512"/>
      <c r="AD42" s="165"/>
      <c r="AE42" s="165"/>
      <c r="AF42" s="165"/>
      <c r="AG42" s="513">
        <f>SUM(AG37:AG40)</f>
        <v>214.11339626250003</v>
      </c>
      <c r="AH42" s="513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51"/>
      <c r="AT42" s="151"/>
      <c r="AU42" s="165"/>
      <c r="AV42" s="512" t="s">
        <v>8</v>
      </c>
      <c r="AW42" s="512"/>
      <c r="AX42" s="512"/>
      <c r="AY42" s="165"/>
      <c r="AZ42" s="165"/>
      <c r="BA42" s="165"/>
      <c r="BB42" s="513">
        <f>SUM(BB37:BB40)</f>
        <v>214.11339626250003</v>
      </c>
      <c r="BC42" s="513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340"/>
      <c r="BP42" s="165"/>
      <c r="BQ42" s="512" t="s">
        <v>8</v>
      </c>
      <c r="BR42" s="512"/>
      <c r="BS42" s="512"/>
      <c r="BT42" s="165"/>
      <c r="BU42" s="165"/>
      <c r="BV42" s="165"/>
      <c r="BW42" s="513">
        <f>SUM(BW37:BW40)</f>
        <v>29.077127887500005</v>
      </c>
      <c r="BX42" s="513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L42" s="165"/>
      <c r="CM42" s="512" t="s">
        <v>8</v>
      </c>
      <c r="CN42" s="512"/>
      <c r="CO42" s="512"/>
      <c r="CP42" s="165"/>
      <c r="CQ42" s="165"/>
      <c r="CR42" s="165"/>
      <c r="CS42" s="513">
        <f>SUM(CS37:CS40)</f>
        <v>29.077127887500005</v>
      </c>
      <c r="CT42" s="513"/>
      <c r="CU42" s="148"/>
      <c r="CV42" s="148"/>
      <c r="CW42" s="148"/>
      <c r="CX42" s="148"/>
      <c r="CY42" s="148"/>
      <c r="CZ42" s="148"/>
      <c r="DA42" s="148"/>
      <c r="DB42" s="148"/>
      <c r="DC42" s="148"/>
      <c r="DD42" s="148"/>
      <c r="DE42" s="148"/>
      <c r="DH42" s="165"/>
      <c r="DI42" s="512" t="s">
        <v>8</v>
      </c>
      <c r="DJ42" s="512"/>
      <c r="DK42" s="512"/>
      <c r="DL42" s="165"/>
      <c r="DM42" s="165"/>
      <c r="DN42" s="165"/>
      <c r="DO42" s="513">
        <f>SUM(DO37:DO40)</f>
        <v>29.077127887500005</v>
      </c>
      <c r="DP42" s="513"/>
      <c r="DQ42" s="148"/>
      <c r="DR42" s="148"/>
      <c r="DS42" s="148"/>
      <c r="DT42" s="148"/>
      <c r="DU42" s="148"/>
      <c r="DV42" s="148"/>
      <c r="DW42" s="148"/>
      <c r="DX42" s="148"/>
      <c r="DY42" s="148"/>
      <c r="DZ42" s="148"/>
      <c r="EA42" s="148"/>
    </row>
    <row r="43" spans="1:131" ht="15" customHeight="1" x14ac:dyDescent="0.2">
      <c r="A43" s="344"/>
      <c r="B43" s="344"/>
      <c r="C43" s="344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V43" s="344"/>
      <c r="W43" s="344"/>
      <c r="Z43" s="344"/>
      <c r="AA43" s="344"/>
      <c r="AB43" s="344"/>
      <c r="AC43" s="344"/>
      <c r="AD43" s="344"/>
      <c r="AE43" s="344"/>
      <c r="AF43" s="344"/>
      <c r="AG43" s="344"/>
      <c r="AH43" s="344"/>
      <c r="AI43" s="344"/>
      <c r="AJ43" s="344"/>
      <c r="AK43" s="344"/>
      <c r="AL43" s="344"/>
      <c r="AM43" s="344"/>
      <c r="AN43" s="344"/>
      <c r="AO43" s="344"/>
      <c r="AP43" s="344"/>
      <c r="AQ43" s="344"/>
      <c r="AR43" s="344"/>
      <c r="AS43" s="344"/>
      <c r="AT43" s="344"/>
      <c r="AU43" s="344"/>
      <c r="AV43" s="344"/>
      <c r="AW43" s="344"/>
      <c r="AX43" s="344"/>
      <c r="AY43" s="344"/>
      <c r="AZ43" s="344"/>
      <c r="BA43" s="344"/>
      <c r="BB43" s="344"/>
      <c r="BC43" s="344"/>
      <c r="BD43" s="344"/>
      <c r="BE43" s="344"/>
      <c r="BF43" s="344"/>
      <c r="BG43" s="344"/>
      <c r="BH43" s="344"/>
      <c r="BI43" s="344"/>
      <c r="BJ43" s="344"/>
      <c r="BK43" s="344"/>
      <c r="BL43" s="344"/>
      <c r="BM43" s="344"/>
      <c r="BN43" s="340"/>
      <c r="BP43" s="344"/>
      <c r="BQ43" s="344"/>
      <c r="BR43" s="344"/>
      <c r="BS43" s="344"/>
      <c r="BT43" s="344"/>
      <c r="BU43" s="344"/>
      <c r="BV43" s="344"/>
      <c r="BW43" s="344"/>
      <c r="BX43" s="344"/>
      <c r="BY43" s="344"/>
      <c r="BZ43" s="344"/>
      <c r="CA43" s="344"/>
      <c r="CB43" s="344"/>
      <c r="CC43" s="344"/>
      <c r="CD43" s="344"/>
      <c r="CE43" s="344"/>
      <c r="CF43" s="344"/>
      <c r="CG43" s="344"/>
      <c r="CH43" s="344"/>
      <c r="CI43" s="344"/>
      <c r="CL43" s="344"/>
      <c r="CM43" s="344"/>
      <c r="CN43" s="344"/>
      <c r="CO43" s="344"/>
      <c r="CP43" s="344"/>
      <c r="CQ43" s="344"/>
      <c r="CR43" s="344"/>
      <c r="CS43" s="344"/>
      <c r="CT43" s="344"/>
      <c r="CU43" s="344"/>
      <c r="CV43" s="344"/>
      <c r="CW43" s="344"/>
      <c r="CX43" s="344"/>
      <c r="CY43" s="344"/>
      <c r="CZ43" s="344"/>
      <c r="DA43" s="344"/>
      <c r="DB43" s="344"/>
      <c r="DC43" s="344"/>
      <c r="DD43" s="344"/>
      <c r="DE43" s="344"/>
      <c r="DH43" s="344"/>
      <c r="DI43" s="344"/>
      <c r="DJ43" s="344"/>
      <c r="DK43" s="344"/>
      <c r="DL43" s="344"/>
      <c r="DM43" s="344"/>
      <c r="DN43" s="344"/>
      <c r="DO43" s="344"/>
      <c r="DP43" s="344"/>
      <c r="DQ43" s="344"/>
      <c r="DR43" s="344"/>
      <c r="DS43" s="344"/>
      <c r="DT43" s="344"/>
      <c r="DU43" s="344"/>
      <c r="DV43" s="344"/>
      <c r="DW43" s="344"/>
      <c r="DX43" s="344"/>
      <c r="DY43" s="344"/>
      <c r="DZ43" s="344"/>
      <c r="EA43" s="344"/>
    </row>
    <row r="44" spans="1:131" ht="16.5" customHeight="1" x14ac:dyDescent="0.2">
      <c r="O44" s="1" t="s">
        <v>23</v>
      </c>
      <c r="V44" s="344"/>
      <c r="W44" s="344"/>
      <c r="X44" s="344"/>
      <c r="Y44" s="344"/>
      <c r="AM44" s="1" t="s">
        <v>23</v>
      </c>
      <c r="AS44" s="344"/>
      <c r="AT44" s="344"/>
      <c r="BH44" s="1" t="s">
        <v>23</v>
      </c>
      <c r="BN44" s="340"/>
      <c r="CD44" s="1" t="s">
        <v>23</v>
      </c>
      <c r="CZ44" s="1" t="s">
        <v>23</v>
      </c>
      <c r="DV44" s="1" t="s">
        <v>23</v>
      </c>
    </row>
    <row r="45" spans="1:131" ht="15" customHeight="1" x14ac:dyDescent="0.2">
      <c r="A45" s="520" t="s">
        <v>7</v>
      </c>
      <c r="B45" s="521"/>
      <c r="C45" s="521"/>
      <c r="D45" s="521"/>
      <c r="E45" s="521"/>
      <c r="F45" s="521"/>
      <c r="G45" s="521"/>
      <c r="K45" s="343" t="s">
        <v>24</v>
      </c>
      <c r="L45" s="343"/>
      <c r="M45" s="343"/>
      <c r="N45" s="343"/>
      <c r="O45" s="344"/>
      <c r="P45" s="344"/>
      <c r="Q45" s="344"/>
      <c r="R45" s="344"/>
      <c r="S45" s="73"/>
      <c r="T45" s="73"/>
      <c r="V45" s="344"/>
      <c r="W45" s="343"/>
      <c r="X45" s="344"/>
      <c r="Y45" s="344"/>
      <c r="Z45" s="520" t="s">
        <v>7</v>
      </c>
      <c r="AA45" s="521"/>
      <c r="AB45" s="521"/>
      <c r="AC45" s="521"/>
      <c r="AD45" s="521"/>
      <c r="AE45" s="521"/>
      <c r="AF45" s="521"/>
      <c r="AJ45" s="522" t="s">
        <v>24</v>
      </c>
      <c r="AK45" s="522"/>
      <c r="AL45" s="522"/>
      <c r="AM45" s="523"/>
      <c r="AN45" s="523"/>
      <c r="AO45" s="523"/>
      <c r="AP45" s="523"/>
      <c r="AQ45" s="73"/>
      <c r="AR45" s="73"/>
      <c r="AS45" s="344"/>
      <c r="AT45" s="344"/>
      <c r="AU45" s="520" t="s">
        <v>7</v>
      </c>
      <c r="AV45" s="521"/>
      <c r="AW45" s="521"/>
      <c r="AX45" s="521"/>
      <c r="AY45" s="521"/>
      <c r="AZ45" s="521"/>
      <c r="BA45" s="521"/>
      <c r="BE45" s="522" t="s">
        <v>24</v>
      </c>
      <c r="BF45" s="522"/>
      <c r="BG45" s="522"/>
      <c r="BH45" s="523"/>
      <c r="BI45" s="523"/>
      <c r="BJ45" s="523"/>
      <c r="BK45" s="523"/>
      <c r="BL45" s="73"/>
      <c r="BM45" s="73"/>
      <c r="BN45" s="340"/>
      <c r="BP45" s="520" t="s">
        <v>7</v>
      </c>
      <c r="BQ45" s="521"/>
      <c r="BR45" s="521"/>
      <c r="BS45" s="521"/>
      <c r="BT45" s="521"/>
      <c r="BU45" s="521"/>
      <c r="BV45" s="521"/>
      <c r="BZ45" s="522" t="s">
        <v>24</v>
      </c>
      <c r="CA45" s="522"/>
      <c r="CB45" s="522"/>
      <c r="CC45" s="522"/>
      <c r="CD45" s="523"/>
      <c r="CE45" s="523"/>
      <c r="CF45" s="523"/>
      <c r="CG45" s="523"/>
      <c r="CH45" s="73"/>
      <c r="CI45" s="73"/>
      <c r="CL45" s="520" t="s">
        <v>7</v>
      </c>
      <c r="CM45" s="521"/>
      <c r="CN45" s="521"/>
      <c r="CO45" s="521"/>
      <c r="CP45" s="521"/>
      <c r="CQ45" s="521"/>
      <c r="CR45" s="521"/>
      <c r="CV45" s="522" t="s">
        <v>24</v>
      </c>
      <c r="CW45" s="522"/>
      <c r="CX45" s="522"/>
      <c r="CY45" s="522"/>
      <c r="CZ45" s="523"/>
      <c r="DA45" s="523"/>
      <c r="DB45" s="523"/>
      <c r="DC45" s="523"/>
      <c r="DD45" s="73"/>
      <c r="DE45" s="73"/>
      <c r="DH45" s="520" t="s">
        <v>7</v>
      </c>
      <c r="DI45" s="521"/>
      <c r="DJ45" s="521"/>
      <c r="DK45" s="521"/>
      <c r="DL45" s="521"/>
      <c r="DM45" s="521"/>
      <c r="DN45" s="521"/>
      <c r="DR45" s="522" t="s">
        <v>24</v>
      </c>
      <c r="DS45" s="522"/>
      <c r="DT45" s="522"/>
      <c r="DU45" s="522"/>
      <c r="DV45" s="523"/>
      <c r="DW45" s="523"/>
      <c r="DX45" s="523"/>
      <c r="DY45" s="523"/>
      <c r="DZ45" s="73"/>
      <c r="EA45" s="73"/>
    </row>
    <row r="46" spans="1:131" ht="15" x14ac:dyDescent="0.25">
      <c r="A46" s="524" t="s">
        <v>43</v>
      </c>
      <c r="B46" s="527" t="s">
        <v>30</v>
      </c>
      <c r="C46" s="527"/>
      <c r="D46" s="527"/>
      <c r="E46" s="527"/>
      <c r="F46" s="84">
        <v>1</v>
      </c>
      <c r="G46" s="8"/>
      <c r="H46" s="528">
        <f>IF(F46="","",(F46*17))</f>
        <v>17</v>
      </c>
      <c r="I46" s="529"/>
      <c r="K46" s="524" t="s">
        <v>44</v>
      </c>
      <c r="L46" s="530" t="s">
        <v>17</v>
      </c>
      <c r="M46" s="521"/>
      <c r="N46" s="334"/>
      <c r="O46" s="85"/>
      <c r="P46" s="4"/>
      <c r="Q46" s="4"/>
      <c r="R46" s="4"/>
      <c r="S46" s="531" t="s">
        <v>109</v>
      </c>
      <c r="T46" s="532"/>
      <c r="V46" s="344"/>
      <c r="W46" s="75"/>
      <c r="X46" s="344"/>
      <c r="Y46" s="344"/>
      <c r="Z46" s="524" t="s">
        <v>43</v>
      </c>
      <c r="AA46" s="527" t="s">
        <v>30</v>
      </c>
      <c r="AB46" s="527"/>
      <c r="AC46" s="527"/>
      <c r="AD46" s="527"/>
      <c r="AE46" s="193">
        <f>IF(F46="","",F46)</f>
        <v>1</v>
      </c>
      <c r="AF46" s="8"/>
      <c r="AG46" s="528">
        <f>IF(AE46="","",(AE46*17))</f>
        <v>17</v>
      </c>
      <c r="AH46" s="529"/>
      <c r="AJ46" s="524" t="s">
        <v>44</v>
      </c>
      <c r="AK46" s="530" t="s">
        <v>17</v>
      </c>
      <c r="AL46" s="521"/>
      <c r="AM46" s="74" t="str">
        <f>IF(O46="","",O46)</f>
        <v/>
      </c>
      <c r="AN46" s="4"/>
      <c r="AO46" s="4"/>
      <c r="AP46" s="4"/>
      <c r="AQ46" s="531" t="s">
        <v>109</v>
      </c>
      <c r="AR46" s="532"/>
      <c r="AS46" s="344"/>
      <c r="AT46" s="344"/>
      <c r="AU46" s="524" t="s">
        <v>43</v>
      </c>
      <c r="AV46" s="527" t="s">
        <v>30</v>
      </c>
      <c r="AW46" s="527"/>
      <c r="AX46" s="527"/>
      <c r="AY46" s="527"/>
      <c r="AZ46" s="193">
        <f>AE46</f>
        <v>1</v>
      </c>
      <c r="BA46" s="8"/>
      <c r="BB46" s="528">
        <f>IF(AZ46="","",(AZ46*17))</f>
        <v>17</v>
      </c>
      <c r="BC46" s="529"/>
      <c r="BE46" s="524" t="s">
        <v>44</v>
      </c>
      <c r="BF46" s="530" t="s">
        <v>17</v>
      </c>
      <c r="BG46" s="521"/>
      <c r="BH46" s="74" t="str">
        <f>IF(O46="","",O46)</f>
        <v/>
      </c>
      <c r="BI46" s="4"/>
      <c r="BJ46" s="4"/>
      <c r="BK46" s="4"/>
      <c r="BL46" s="531" t="s">
        <v>109</v>
      </c>
      <c r="BM46" s="532"/>
      <c r="BN46" s="340"/>
      <c r="BP46" s="524" t="s">
        <v>43</v>
      </c>
      <c r="BQ46" s="527" t="s">
        <v>30</v>
      </c>
      <c r="BR46" s="527"/>
      <c r="BS46" s="527"/>
      <c r="BT46" s="527"/>
      <c r="BU46" s="193">
        <f>AZ46</f>
        <v>1</v>
      </c>
      <c r="BV46" s="8"/>
      <c r="BW46" s="528">
        <f>IF(BU46="","",(BU46*17))</f>
        <v>17</v>
      </c>
      <c r="BX46" s="529"/>
      <c r="BZ46" s="524" t="s">
        <v>44</v>
      </c>
      <c r="CA46" s="530" t="s">
        <v>17</v>
      </c>
      <c r="CB46" s="521"/>
      <c r="CC46" s="334"/>
      <c r="CD46" s="74" t="str">
        <f>BH46</f>
        <v/>
      </c>
      <c r="CE46" s="4"/>
      <c r="CF46" s="4"/>
      <c r="CG46" s="4"/>
      <c r="CH46" s="531" t="s">
        <v>109</v>
      </c>
      <c r="CI46" s="532"/>
      <c r="CL46" s="524" t="s">
        <v>43</v>
      </c>
      <c r="CM46" s="527" t="s">
        <v>30</v>
      </c>
      <c r="CN46" s="527"/>
      <c r="CO46" s="527"/>
      <c r="CP46" s="527"/>
      <c r="CQ46" s="193">
        <f>BU46</f>
        <v>1</v>
      </c>
      <c r="CR46" s="8"/>
      <c r="CS46" s="528">
        <f>IF(CQ46="","",(CQ46*17))</f>
        <v>17</v>
      </c>
      <c r="CT46" s="529"/>
      <c r="CV46" s="524" t="s">
        <v>44</v>
      </c>
      <c r="CW46" s="530" t="s">
        <v>17</v>
      </c>
      <c r="CX46" s="521"/>
      <c r="CY46" s="334"/>
      <c r="CZ46" s="74" t="str">
        <f>CD46</f>
        <v/>
      </c>
      <c r="DA46" s="4"/>
      <c r="DB46" s="4"/>
      <c r="DC46" s="4"/>
      <c r="DD46" s="531" t="s">
        <v>109</v>
      </c>
      <c r="DE46" s="532"/>
      <c r="DH46" s="524" t="s">
        <v>43</v>
      </c>
      <c r="DI46" s="527" t="s">
        <v>30</v>
      </c>
      <c r="DJ46" s="527"/>
      <c r="DK46" s="527"/>
      <c r="DL46" s="527"/>
      <c r="DM46" s="193">
        <f>CQ46</f>
        <v>1</v>
      </c>
      <c r="DN46" s="8"/>
      <c r="DO46" s="528">
        <f>IF(DM46="","",(DM46*17))</f>
        <v>17</v>
      </c>
      <c r="DP46" s="529"/>
      <c r="DR46" s="524" t="s">
        <v>44</v>
      </c>
      <c r="DS46" s="530" t="s">
        <v>17</v>
      </c>
      <c r="DT46" s="521"/>
      <c r="DU46" s="334"/>
      <c r="DV46" s="74" t="str">
        <f>CZ46</f>
        <v/>
      </c>
      <c r="DW46" s="4"/>
      <c r="DX46" s="4"/>
      <c r="DY46" s="4"/>
      <c r="DZ46" s="531" t="s">
        <v>109</v>
      </c>
      <c r="EA46" s="532"/>
    </row>
    <row r="47" spans="1:131" x14ac:dyDescent="0.2">
      <c r="A47" s="525"/>
      <c r="B47" s="533" t="s">
        <v>28</v>
      </c>
      <c r="C47" s="527"/>
      <c r="D47" s="527"/>
      <c r="E47" s="527"/>
      <c r="F47" s="146">
        <v>5</v>
      </c>
      <c r="G47" s="9"/>
      <c r="H47" s="544">
        <f>IF(F47="","",F47*8)</f>
        <v>40</v>
      </c>
      <c r="I47" s="545"/>
      <c r="K47" s="525"/>
      <c r="L47" s="542" t="s">
        <v>10</v>
      </c>
      <c r="M47" s="542"/>
      <c r="N47" s="339"/>
      <c r="O47" s="2" t="str">
        <f>IF(O46="","",IF(O46=1,0.5,IF(O46=2,1,IF(O46=3,2,IF(O46=4,0.5,IF(O46=5,1))))))</f>
        <v/>
      </c>
      <c r="P47" s="4"/>
      <c r="Q47" s="546" t="str">
        <f>IF(O47="","",O47*17)</f>
        <v/>
      </c>
      <c r="R47" s="546"/>
      <c r="S47" s="4"/>
      <c r="T47" s="8"/>
      <c r="V47" s="344"/>
      <c r="W47" s="75"/>
      <c r="X47" s="22"/>
      <c r="Y47" s="344"/>
      <c r="Z47" s="525"/>
      <c r="AA47" s="533" t="s">
        <v>28</v>
      </c>
      <c r="AB47" s="527"/>
      <c r="AC47" s="527"/>
      <c r="AD47" s="527"/>
      <c r="AE47" s="193">
        <f>IF(F47="","",F47)</f>
        <v>5</v>
      </c>
      <c r="AF47" s="9"/>
      <c r="AG47" s="544">
        <f>IF(AE47="","",AE47*8)</f>
        <v>40</v>
      </c>
      <c r="AH47" s="545"/>
      <c r="AJ47" s="525"/>
      <c r="AK47" s="542" t="s">
        <v>10</v>
      </c>
      <c r="AL47" s="542"/>
      <c r="AM47" s="2" t="str">
        <f>IF(AM46="","",IF(AM46=1,0.5,IF(AM46=2,1,IF(AM46=3,2,IF(AM46=4,0.5,IF(AM46=5,1))))))</f>
        <v/>
      </c>
      <c r="AN47" s="4"/>
      <c r="AO47" s="546" t="str">
        <f>IF(AM47="","",AM47*17)</f>
        <v/>
      </c>
      <c r="AP47" s="546"/>
      <c r="AQ47" s="4"/>
      <c r="AR47" s="8"/>
      <c r="AS47" s="344"/>
      <c r="AT47" s="344"/>
      <c r="AU47" s="525"/>
      <c r="AV47" s="533" t="s">
        <v>28</v>
      </c>
      <c r="AW47" s="527"/>
      <c r="AX47" s="527"/>
      <c r="AY47" s="527"/>
      <c r="AZ47" s="193">
        <f>IF(AE47="","",AE47)</f>
        <v>5</v>
      </c>
      <c r="BA47" s="9"/>
      <c r="BB47" s="544">
        <f>IF(AZ47="","",AZ47*8)</f>
        <v>40</v>
      </c>
      <c r="BC47" s="545"/>
      <c r="BE47" s="525"/>
      <c r="BF47" s="542" t="s">
        <v>10</v>
      </c>
      <c r="BG47" s="542"/>
      <c r="BH47" s="2" t="str">
        <f>IF(BH46="","",IF(BH46=1,0.5,IF(BH46=2,1,IF(BH46=3,2,IF(BH46=4,0.5,IF(BH46=5,1))))))</f>
        <v/>
      </c>
      <c r="BI47" s="4"/>
      <c r="BJ47" s="546" t="str">
        <f>IF(BH47="","",BH47*17)</f>
        <v/>
      </c>
      <c r="BK47" s="546"/>
      <c r="BL47" s="4"/>
      <c r="BM47" s="8"/>
      <c r="BN47" s="340"/>
      <c r="BP47" s="525"/>
      <c r="BQ47" s="533" t="s">
        <v>28</v>
      </c>
      <c r="BR47" s="527"/>
      <c r="BS47" s="527"/>
      <c r="BT47" s="527"/>
      <c r="BU47" s="310">
        <f>AZ47</f>
        <v>5</v>
      </c>
      <c r="BV47" s="9"/>
      <c r="BW47" s="544">
        <f>IF(BU47="","",BU47*8)</f>
        <v>40</v>
      </c>
      <c r="BX47" s="545"/>
      <c r="BZ47" s="525"/>
      <c r="CA47" s="542" t="s">
        <v>10</v>
      </c>
      <c r="CB47" s="542"/>
      <c r="CC47" s="339"/>
      <c r="CD47" s="2" t="str">
        <f>IF(CD46="","",IF(CD46=1,0.5,IF(CD46=2,1,IF(CD46=3,2,IF(CD46=4,0.5,IF(CD46=5,1))))))</f>
        <v/>
      </c>
      <c r="CE47" s="4"/>
      <c r="CF47" s="546" t="str">
        <f>IF(CD47="","",CD47*17)</f>
        <v/>
      </c>
      <c r="CG47" s="546"/>
      <c r="CH47" s="4"/>
      <c r="CI47" s="8"/>
      <c r="CL47" s="525"/>
      <c r="CM47" s="533" t="s">
        <v>28</v>
      </c>
      <c r="CN47" s="527"/>
      <c r="CO47" s="527"/>
      <c r="CP47" s="527"/>
      <c r="CQ47" s="310">
        <f>BU47</f>
        <v>5</v>
      </c>
      <c r="CR47" s="9"/>
      <c r="CS47" s="544">
        <f>IF(CQ47="","",CQ47*8)</f>
        <v>40</v>
      </c>
      <c r="CT47" s="545"/>
      <c r="CV47" s="525"/>
      <c r="CW47" s="542" t="s">
        <v>10</v>
      </c>
      <c r="CX47" s="542"/>
      <c r="CY47" s="339"/>
      <c r="CZ47" s="2" t="str">
        <f>IF(CZ46="","",IF(CZ46=1,0.5,IF(CZ46=2,1,IF(CZ46=3,2,IF(CZ46=4,0.5,IF(CZ46=5,1))))))</f>
        <v/>
      </c>
      <c r="DA47" s="4"/>
      <c r="DB47" s="546" t="str">
        <f>IF(CZ47="","",CZ47*17)</f>
        <v/>
      </c>
      <c r="DC47" s="546"/>
      <c r="DD47" s="4"/>
      <c r="DE47" s="8"/>
      <c r="DH47" s="525"/>
      <c r="DI47" s="533" t="s">
        <v>28</v>
      </c>
      <c r="DJ47" s="527"/>
      <c r="DK47" s="527"/>
      <c r="DL47" s="527"/>
      <c r="DM47" s="310">
        <f>CQ47</f>
        <v>5</v>
      </c>
      <c r="DN47" s="9"/>
      <c r="DO47" s="544">
        <f>IF(DM47="","",DM47*8)</f>
        <v>40</v>
      </c>
      <c r="DP47" s="545"/>
      <c r="DR47" s="525"/>
      <c r="DS47" s="542" t="s">
        <v>10</v>
      </c>
      <c r="DT47" s="542"/>
      <c r="DU47" s="339"/>
      <c r="DV47" s="2" t="str">
        <f>IF(DV46="","",IF(DV46=1,0.5,IF(DV46=2,1,IF(DV46=3,2,IF(DV46=4,0.5,IF(DV46=5,1))))))</f>
        <v/>
      </c>
      <c r="DW47" s="4"/>
      <c r="DX47" s="546" t="str">
        <f>IF(DV47="","",DV47*17)</f>
        <v/>
      </c>
      <c r="DY47" s="546"/>
      <c r="DZ47" s="4"/>
      <c r="EA47" s="8"/>
    </row>
    <row r="48" spans="1:131" x14ac:dyDescent="0.2">
      <c r="A48" s="525"/>
      <c r="B48" s="533" t="s">
        <v>33</v>
      </c>
      <c r="C48" s="527"/>
      <c r="D48" s="527"/>
      <c r="E48" s="527"/>
      <c r="F48" s="418">
        <v>1</v>
      </c>
      <c r="G48" s="9"/>
      <c r="H48" s="534">
        <f>IF(F48="","",F48*21)</f>
        <v>21</v>
      </c>
      <c r="I48" s="535"/>
      <c r="K48" s="525"/>
      <c r="L48" s="542" t="s">
        <v>37</v>
      </c>
      <c r="M48" s="542"/>
      <c r="N48" s="339"/>
      <c r="O48" s="2" t="str">
        <f>IF(O46="","",IF(O46=1,(H35/$U$12)/1000,IF(O46=2,"",IF(O46=3,"",IF(O46=4,(H35/$U$12)/1000*2,IF(O46=5,""))))))</f>
        <v/>
      </c>
      <c r="P48" s="4" t="s">
        <v>23</v>
      </c>
      <c r="Q48" s="543" t="str">
        <f>IF(O48="","",O48*17)</f>
        <v/>
      </c>
      <c r="R48" s="543"/>
      <c r="S48" s="4"/>
      <c r="T48" s="8"/>
      <c r="V48" s="344"/>
      <c r="W48" s="75"/>
      <c r="X48" s="22"/>
      <c r="Y48" s="344"/>
      <c r="Z48" s="525"/>
      <c r="AA48" s="533" t="s">
        <v>33</v>
      </c>
      <c r="AB48" s="527"/>
      <c r="AC48" s="527"/>
      <c r="AD48" s="527"/>
      <c r="AE48" s="418">
        <f>IF($F$48="","",$F$48)</f>
        <v>1</v>
      </c>
      <c r="AF48" s="9"/>
      <c r="AG48" s="534">
        <f>IF(AE48="","",AE48*21)</f>
        <v>21</v>
      </c>
      <c r="AH48" s="535"/>
      <c r="AJ48" s="525"/>
      <c r="AK48" s="542" t="s">
        <v>37</v>
      </c>
      <c r="AL48" s="542"/>
      <c r="AM48" s="2" t="str">
        <f>IF(AM46="","",IF(AM46=1,(AG35/$U$12)/1000,IF(AM46=2,"",IF(AM46=3,"",IF(AM46=4,(AG35/$U$12)/1000*2,IF(AM46=5,""))))))</f>
        <v/>
      </c>
      <c r="AN48" s="4" t="s">
        <v>23</v>
      </c>
      <c r="AO48" s="543" t="str">
        <f>IF(AM48="","",AM48*17)</f>
        <v/>
      </c>
      <c r="AP48" s="543"/>
      <c r="AQ48" s="4"/>
      <c r="AR48" s="8"/>
      <c r="AS48" s="344"/>
      <c r="AT48" s="344"/>
      <c r="AU48" s="525"/>
      <c r="AV48" s="533" t="s">
        <v>33</v>
      </c>
      <c r="AW48" s="527"/>
      <c r="AX48" s="527"/>
      <c r="AY48" s="527"/>
      <c r="AZ48" s="418">
        <f>IF($F$48="","",$F$48)</f>
        <v>1</v>
      </c>
      <c r="BA48" s="9"/>
      <c r="BB48" s="534">
        <f>IF(AZ48="","",AZ48*21)</f>
        <v>21</v>
      </c>
      <c r="BC48" s="535"/>
      <c r="BE48" s="525"/>
      <c r="BF48" s="542" t="s">
        <v>37</v>
      </c>
      <c r="BG48" s="542"/>
      <c r="BH48" s="2" t="str">
        <f>IF(BH46="","",IF(BH46=1,(BB35/$U$12)/1000,IF(BH46=2,"",IF(BH46=3,"",IF(BH46=4,(BB35/$U$12)/1000*2,IF(BH46=5,""))))))</f>
        <v/>
      </c>
      <c r="BI48" s="4" t="s">
        <v>23</v>
      </c>
      <c r="BJ48" s="543" t="str">
        <f>IF(BH48="","",BH48*17)</f>
        <v/>
      </c>
      <c r="BK48" s="543"/>
      <c r="BL48" s="4"/>
      <c r="BM48" s="8"/>
      <c r="BN48" s="340"/>
      <c r="BP48" s="525"/>
      <c r="BQ48" s="533" t="s">
        <v>33</v>
      </c>
      <c r="BR48" s="527"/>
      <c r="BS48" s="527"/>
      <c r="BT48" s="527"/>
      <c r="BU48" s="418">
        <f>IF($F$48="","",$F$48)</f>
        <v>1</v>
      </c>
      <c r="BV48" s="9"/>
      <c r="BW48" s="534">
        <f>IF(BU48="","",BU48*21)</f>
        <v>21</v>
      </c>
      <c r="BX48" s="535"/>
      <c r="BZ48" s="525"/>
      <c r="CA48" s="542" t="s">
        <v>37</v>
      </c>
      <c r="CB48" s="542"/>
      <c r="CC48" s="339"/>
      <c r="CD48" s="2" t="str">
        <f>IF(CD46="","",IF(CD46=1,(BW35/$U$12)/1000,IF(CD46=2,"",IF(CD46=3,"",IF(CD46=4,(BW35/$U$12)/1000*2,IF(CD46=5,""))))))</f>
        <v/>
      </c>
      <c r="CE48" s="4" t="s">
        <v>23</v>
      </c>
      <c r="CF48" s="543" t="str">
        <f>IF(CD48="","",CD48*17)</f>
        <v/>
      </c>
      <c r="CG48" s="543"/>
      <c r="CH48" s="4"/>
      <c r="CI48" s="8"/>
      <c r="CL48" s="525"/>
      <c r="CM48" s="533" t="s">
        <v>33</v>
      </c>
      <c r="CN48" s="527"/>
      <c r="CO48" s="527"/>
      <c r="CP48" s="527"/>
      <c r="CQ48" s="418">
        <f>IF($F$48="","",$F$48)</f>
        <v>1</v>
      </c>
      <c r="CR48" s="9"/>
      <c r="CS48" s="534">
        <f>IF(CQ48="","",CQ48*21)</f>
        <v>21</v>
      </c>
      <c r="CT48" s="535"/>
      <c r="CV48" s="525"/>
      <c r="CW48" s="542" t="s">
        <v>37</v>
      </c>
      <c r="CX48" s="542"/>
      <c r="CY48" s="339"/>
      <c r="CZ48" s="2" t="str">
        <f>IF(CZ46="","",IF(CZ46=1,(CS35/$U$12)/1000,IF(CZ46=2,"",IF(CZ46=3,"",IF(CZ46=4,(CS35/$U$12)/1000*2,IF(CZ46=5,""))))))</f>
        <v/>
      </c>
      <c r="DA48" s="4" t="s">
        <v>23</v>
      </c>
      <c r="DB48" s="543" t="str">
        <f>IF(CZ48="","",CZ48*17)</f>
        <v/>
      </c>
      <c r="DC48" s="543"/>
      <c r="DD48" s="4"/>
      <c r="DE48" s="8"/>
      <c r="DH48" s="525"/>
      <c r="DI48" s="533" t="s">
        <v>33</v>
      </c>
      <c r="DJ48" s="527"/>
      <c r="DK48" s="527"/>
      <c r="DL48" s="527"/>
      <c r="DM48" s="418">
        <f>IF($F$48="","",$F$48)</f>
        <v>1</v>
      </c>
      <c r="DN48" s="9"/>
      <c r="DO48" s="534">
        <f>IF(DM48="","",DM48*21)</f>
        <v>21</v>
      </c>
      <c r="DP48" s="535"/>
      <c r="DR48" s="525"/>
      <c r="DS48" s="542" t="s">
        <v>37</v>
      </c>
      <c r="DT48" s="542"/>
      <c r="DU48" s="339"/>
      <c r="DV48" s="2" t="str">
        <f>IF(DV46="","",IF(DV46=1,(DO35/$U$12)/1000,IF(DV46=2,"",IF(DV46=3,"",IF(DV46=4,(DO35/$U$12)/1000*2,IF(DV46=5,""))))))</f>
        <v/>
      </c>
      <c r="DW48" s="4" t="s">
        <v>23</v>
      </c>
      <c r="DX48" s="543" t="str">
        <f>IF(DV48="","",DV48*17)</f>
        <v/>
      </c>
      <c r="DY48" s="543"/>
      <c r="DZ48" s="4"/>
      <c r="EA48" s="8"/>
    </row>
    <row r="49" spans="1:131" ht="15" x14ac:dyDescent="0.25">
      <c r="A49" s="525"/>
      <c r="B49" s="8"/>
      <c r="C49" s="8"/>
      <c r="D49" s="8"/>
      <c r="E49" s="8"/>
      <c r="F49" s="8"/>
      <c r="G49" s="8"/>
      <c r="H49" s="8"/>
      <c r="I49" s="8"/>
      <c r="K49" s="525"/>
      <c r="L49" s="542" t="s">
        <v>38</v>
      </c>
      <c r="M49" s="542"/>
      <c r="N49" s="339"/>
      <c r="O49" s="2" t="str">
        <f>IF(O46="","",IF(O46=1,"",IF(O46=2,((H35/$U$12)/1000),IF(O46=3,((H35/$U$12)/1000)*2,IF(O46=4,"",IF(O46=5,""))))))</f>
        <v/>
      </c>
      <c r="P49" s="4"/>
      <c r="Q49" s="543" t="str">
        <f>IF(O49="","",O49*17)</f>
        <v/>
      </c>
      <c r="R49" s="543"/>
      <c r="S49" s="547" t="str">
        <f>IF(KLIŠE!O5="","",KLIŠE!O5)</f>
        <v/>
      </c>
      <c r="T49" s="548"/>
      <c r="V49" s="344"/>
      <c r="W49" s="75"/>
      <c r="X49" s="344"/>
      <c r="Y49" s="344"/>
      <c r="Z49" s="525"/>
      <c r="AA49" s="8"/>
      <c r="AB49" s="8"/>
      <c r="AC49" s="8"/>
      <c r="AD49" s="8"/>
      <c r="AE49" s="8"/>
      <c r="AF49" s="8"/>
      <c r="AG49" s="8"/>
      <c r="AH49" s="8"/>
      <c r="AJ49" s="525"/>
      <c r="AK49" s="542" t="s">
        <v>38</v>
      </c>
      <c r="AL49" s="542"/>
      <c r="AM49" s="2" t="str">
        <f>IF(AM46="","",IF(AM46=1,"",IF(AM46=2,((AG35/$U$12)/1000),IF(AM46=3,((AG35/$U$12)/1000)*2,IF(AM46=4,"",IF(AM46=5,""))))))</f>
        <v/>
      </c>
      <c r="AN49" s="4"/>
      <c r="AO49" s="543" t="str">
        <f>IF(AM49="","",AM49*17)</f>
        <v/>
      </c>
      <c r="AP49" s="543"/>
      <c r="AQ49" s="546" t="str">
        <f>IF($S$49="","",$S$49/$G$14*I14)</f>
        <v/>
      </c>
      <c r="AR49" s="549"/>
      <c r="AS49" s="344"/>
      <c r="AT49" s="344"/>
      <c r="AU49" s="525"/>
      <c r="AV49" s="8"/>
      <c r="AW49" s="8"/>
      <c r="AX49" s="8"/>
      <c r="AY49" s="8"/>
      <c r="AZ49" s="8"/>
      <c r="BA49" s="8"/>
      <c r="BB49" s="8"/>
      <c r="BC49" s="8"/>
      <c r="BE49" s="525"/>
      <c r="BF49" s="542" t="s">
        <v>38</v>
      </c>
      <c r="BG49" s="542"/>
      <c r="BH49" s="2" t="str">
        <f>IF(BH46="","",IF(BH46=1,"",IF(BH46=2,((BB35/$U$12)/1000),IF(BH46=3,((BB35/$U$12)/1000)*2,IF(BH46=4,"",IF(BH46=5,""))))))</f>
        <v/>
      </c>
      <c r="BI49" s="4"/>
      <c r="BJ49" s="543" t="str">
        <f>IF(BH49="","",BH49*17)</f>
        <v/>
      </c>
      <c r="BK49" s="543"/>
      <c r="BL49" s="546" t="str">
        <f>IF($S$49="","",$S$49/$G$14*M14)</f>
        <v/>
      </c>
      <c r="BM49" s="549"/>
      <c r="BN49" s="340"/>
      <c r="BP49" s="525"/>
      <c r="BQ49" s="8"/>
      <c r="BR49" s="8"/>
      <c r="BS49" s="8"/>
      <c r="BT49" s="8"/>
      <c r="BU49" s="8"/>
      <c r="BV49" s="8"/>
      <c r="BW49" s="8"/>
      <c r="BX49" s="8"/>
      <c r="BZ49" s="525"/>
      <c r="CA49" s="542" t="s">
        <v>38</v>
      </c>
      <c r="CB49" s="542"/>
      <c r="CC49" s="339"/>
      <c r="CD49" s="2" t="str">
        <f>IF(CD46="","",IF(CD46=1,"",IF(CD46=2,((BW35/$U$12)/1000),IF(CD46=3,((BW35/$U$12)/1000)*2,IF(CD46=4,"",IF(CD46=5,""))))))</f>
        <v/>
      </c>
      <c r="CE49" s="4"/>
      <c r="CF49" s="543" t="str">
        <f>IF(CD49="","",CD49*17)</f>
        <v/>
      </c>
      <c r="CG49" s="543"/>
      <c r="CH49" s="546" t="str">
        <f>IF($S$49="","",$S$49/$G$14*G24)</f>
        <v/>
      </c>
      <c r="CI49" s="549"/>
      <c r="CL49" s="525"/>
      <c r="CM49" s="8"/>
      <c r="CN49" s="8"/>
      <c r="CO49" s="8"/>
      <c r="CP49" s="8"/>
      <c r="CQ49" s="8"/>
      <c r="CR49" s="8"/>
      <c r="CS49" s="8"/>
      <c r="CT49" s="8"/>
      <c r="CV49" s="525"/>
      <c r="CW49" s="542" t="s">
        <v>38</v>
      </c>
      <c r="CX49" s="542"/>
      <c r="CY49" s="339"/>
      <c r="CZ49" s="2" t="str">
        <f>IF(CZ46="","",IF(CZ46=1,"",IF(CZ46=2,((CS35/$U$12)/1000),IF(CZ46=3,((CS35/$U$12)/1000)*2,IF(CZ46=4,"",IF(CZ46=5,""))))))</f>
        <v/>
      </c>
      <c r="DA49" s="4"/>
      <c r="DB49" s="543" t="str">
        <f>IF(CZ49="","",CZ49*17)</f>
        <v/>
      </c>
      <c r="DC49" s="543"/>
      <c r="DD49" s="546" t="str">
        <f>IF($S$49="","",$S$49/$G$14*I24)</f>
        <v/>
      </c>
      <c r="DE49" s="549"/>
      <c r="DH49" s="525"/>
      <c r="DI49" s="8"/>
      <c r="DJ49" s="8"/>
      <c r="DK49" s="8"/>
      <c r="DL49" s="8"/>
      <c r="DM49" s="8"/>
      <c r="DN49" s="8"/>
      <c r="DO49" s="8"/>
      <c r="DP49" s="8"/>
      <c r="DR49" s="525"/>
      <c r="DS49" s="542" t="s">
        <v>38</v>
      </c>
      <c r="DT49" s="542"/>
      <c r="DU49" s="339"/>
      <c r="DV49" s="2" t="str">
        <f>IF(DV46="","",IF(DV46=1,"",IF(DV46=2,((DO35/$U$12)/1000),IF(DV46=3,((DO35/$U$12)/1000)*2,IF(DV46=4,"",IF(DV46=5,""))))))</f>
        <v/>
      </c>
      <c r="DW49" s="4"/>
      <c r="DX49" s="543" t="str">
        <f>IF(DV49="","",DV49*17)</f>
        <v/>
      </c>
      <c r="DY49" s="543"/>
      <c r="DZ49" s="546" t="str">
        <f>IF($S$49="","",$S$49/$G$14*M24)</f>
        <v/>
      </c>
      <c r="EA49" s="549"/>
    </row>
    <row r="50" spans="1:131" ht="15" customHeight="1" thickBot="1" x14ac:dyDescent="0.3">
      <c r="A50" s="526"/>
      <c r="B50" s="550" t="s">
        <v>8</v>
      </c>
      <c r="C50" s="550"/>
      <c r="D50" s="550"/>
      <c r="E50" s="5"/>
      <c r="F50" s="5"/>
      <c r="G50" s="5"/>
      <c r="H50" s="551">
        <f>SUM(H47:I49)</f>
        <v>61</v>
      </c>
      <c r="I50" s="552"/>
      <c r="K50" s="525"/>
      <c r="L50" s="553" t="s">
        <v>55</v>
      </c>
      <c r="M50" s="542"/>
      <c r="N50" s="8"/>
      <c r="O50" s="2" t="str">
        <f>IF(O46="","",IF(O46=1,"",IF(O46=2,"",IF(O46=3,"",IF(O46=4,"",IF(O46=5,G18/1000))))))</f>
        <v/>
      </c>
      <c r="P50" s="8"/>
      <c r="Q50" s="543" t="str">
        <f>IF(O50="","",O50*17)</f>
        <v/>
      </c>
      <c r="R50" s="543"/>
      <c r="S50" s="4"/>
      <c r="T50" s="8"/>
      <c r="V50" s="344"/>
      <c r="W50" s="75"/>
      <c r="X50" s="366"/>
      <c r="Y50" s="366"/>
      <c r="Z50" s="526"/>
      <c r="AA50" s="550" t="s">
        <v>8</v>
      </c>
      <c r="AB50" s="550"/>
      <c r="AC50" s="550"/>
      <c r="AD50" s="5"/>
      <c r="AE50" s="5"/>
      <c r="AF50" s="5"/>
      <c r="AG50" s="551">
        <f>SUM(AG47:AH49)</f>
        <v>61</v>
      </c>
      <c r="AH50" s="552"/>
      <c r="AJ50" s="525"/>
      <c r="AK50" s="8"/>
      <c r="AL50" s="8"/>
      <c r="AM50" s="2" t="str">
        <f>IF(AM46="","",IF(AM46=1,"",IF(AM46=2,"",IF(AM46=3,"",IF(AM46=4,"",IF(AM46=5,J18/1000))))))</f>
        <v/>
      </c>
      <c r="AN50" s="8"/>
      <c r="AO50" s="543" t="str">
        <f>IF(AM50="","",AM50*17)</f>
        <v/>
      </c>
      <c r="AP50" s="543"/>
      <c r="AQ50" s="4"/>
      <c r="AR50" s="8"/>
      <c r="AS50" s="344"/>
      <c r="AT50" s="344"/>
      <c r="AU50" s="526"/>
      <c r="AV50" s="550" t="s">
        <v>8</v>
      </c>
      <c r="AW50" s="550"/>
      <c r="AX50" s="550"/>
      <c r="AY50" s="5"/>
      <c r="AZ50" s="5"/>
      <c r="BA50" s="5"/>
      <c r="BB50" s="551">
        <f>SUM(BB47:BC49)</f>
        <v>61</v>
      </c>
      <c r="BC50" s="552"/>
      <c r="BE50" s="525"/>
      <c r="BF50" s="8"/>
      <c r="BG50" s="8"/>
      <c r="BH50" s="2" t="str">
        <f>IF(BH46="","",IF(BH46=1,"",IF(BH46=2,"",IF(BH46=3,"",IF(BH46=4,"",IF(BH46=5,M18/1000))))))</f>
        <v/>
      </c>
      <c r="BI50" s="8"/>
      <c r="BJ50" s="543" t="str">
        <f>IF(BH50="","",BH50*17)</f>
        <v/>
      </c>
      <c r="BK50" s="543"/>
      <c r="BL50" s="554"/>
      <c r="BM50" s="555"/>
      <c r="BN50" s="340"/>
      <c r="BP50" s="526"/>
      <c r="BQ50" s="550" t="s">
        <v>8</v>
      </c>
      <c r="BR50" s="550"/>
      <c r="BS50" s="550"/>
      <c r="BT50" s="5"/>
      <c r="BU50" s="5"/>
      <c r="BV50" s="5"/>
      <c r="BW50" s="551">
        <f>SUM(BW47:BX49)</f>
        <v>61</v>
      </c>
      <c r="BX50" s="552"/>
      <c r="BZ50" s="525"/>
      <c r="CA50" s="553" t="s">
        <v>55</v>
      </c>
      <c r="CB50" s="542"/>
      <c r="CC50" s="8"/>
      <c r="CD50" s="2" t="str">
        <f>IF(CD46="","",IF(CD46=1,"",IF(CD46=2,"",IF(CD46=3,"",IF(CD46=4,"",IF(CD46=5,G29/1000))))))</f>
        <v/>
      </c>
      <c r="CE50" s="8"/>
      <c r="CF50" s="543" t="str">
        <f>IF(CD50="","",CD50*17)</f>
        <v/>
      </c>
      <c r="CG50" s="543"/>
      <c r="CH50" s="4"/>
      <c r="CI50" s="8"/>
      <c r="CL50" s="526"/>
      <c r="CM50" s="550" t="s">
        <v>8</v>
      </c>
      <c r="CN50" s="550"/>
      <c r="CO50" s="550"/>
      <c r="CP50" s="5"/>
      <c r="CQ50" s="5"/>
      <c r="CR50" s="5"/>
      <c r="CS50" s="551">
        <f>SUM(CS47:CT49)</f>
        <v>61</v>
      </c>
      <c r="CT50" s="552"/>
      <c r="CV50" s="525"/>
      <c r="CW50" s="553" t="s">
        <v>55</v>
      </c>
      <c r="CX50" s="542"/>
      <c r="CY50" s="8"/>
      <c r="CZ50" s="2" t="str">
        <f>IF(CZ46="","",IF(CZ46=1,"",IF(CZ46=2,"",IF(CZ46=3,"",IF(CZ46=4,"",IF(CZ46=5,J29/1000))))))</f>
        <v/>
      </c>
      <c r="DA50" s="8"/>
      <c r="DB50" s="543" t="str">
        <f>IF(CZ50="","",CZ50*17)</f>
        <v/>
      </c>
      <c r="DC50" s="543"/>
      <c r="DD50" s="4"/>
      <c r="DE50" s="8"/>
      <c r="DH50" s="526"/>
      <c r="DI50" s="550" t="s">
        <v>8</v>
      </c>
      <c r="DJ50" s="550"/>
      <c r="DK50" s="550"/>
      <c r="DL50" s="5"/>
      <c r="DM50" s="5"/>
      <c r="DN50" s="5"/>
      <c r="DO50" s="551">
        <f>SUM(DO47:DP49)</f>
        <v>61</v>
      </c>
      <c r="DP50" s="552"/>
      <c r="DR50" s="525"/>
      <c r="DS50" s="553" t="s">
        <v>55</v>
      </c>
      <c r="DT50" s="542"/>
      <c r="DU50" s="8"/>
      <c r="DV50" s="2" t="str">
        <f>IF(DV46="","",IF(DV46=1,"",IF(DV46=2,"",IF(DV46=3,"",IF(DV46=4,"",IF(DV46=5,M29/1000))))))</f>
        <v/>
      </c>
      <c r="DW50" s="8"/>
      <c r="DX50" s="543" t="str">
        <f>IF(DV50="","",DV50*17)</f>
        <v/>
      </c>
      <c r="DY50" s="543"/>
      <c r="DZ50" s="4"/>
      <c r="EA50" s="8"/>
    </row>
    <row r="51" spans="1:131" x14ac:dyDescent="0.2">
      <c r="K51" s="525"/>
      <c r="L51" s="4"/>
      <c r="M51" s="4"/>
      <c r="N51" s="4"/>
      <c r="O51" s="4"/>
      <c r="P51" s="4"/>
      <c r="Q51" s="4"/>
      <c r="R51" s="4"/>
      <c r="S51" s="4"/>
      <c r="T51" s="4"/>
      <c r="V51" s="344"/>
      <c r="W51" s="344"/>
      <c r="AJ51" s="525"/>
      <c r="AK51" s="4"/>
      <c r="AL51" s="4"/>
      <c r="AM51" s="4"/>
      <c r="AN51" s="4"/>
      <c r="AO51" s="4"/>
      <c r="AP51" s="4"/>
      <c r="AQ51" s="4"/>
      <c r="AR51" s="4"/>
      <c r="AS51" s="344"/>
      <c r="AT51" s="344"/>
      <c r="BE51" s="525"/>
      <c r="BF51" s="4"/>
      <c r="BG51" s="4"/>
      <c r="BH51" s="4"/>
      <c r="BI51" s="4"/>
      <c r="BJ51" s="4"/>
      <c r="BK51" s="4"/>
      <c r="BL51" s="4"/>
      <c r="BM51" s="4"/>
      <c r="BN51" s="340"/>
      <c r="BZ51" s="525"/>
      <c r="CA51" s="4"/>
      <c r="CB51" s="4"/>
      <c r="CC51" s="4"/>
      <c r="CD51" s="4"/>
      <c r="CE51" s="4"/>
      <c r="CF51" s="4"/>
      <c r="CG51" s="4"/>
      <c r="CH51" s="4"/>
      <c r="CI51" s="4"/>
      <c r="CV51" s="525"/>
      <c r="CW51" s="4"/>
      <c r="CX51" s="4"/>
      <c r="CY51" s="4"/>
      <c r="CZ51" s="4"/>
      <c r="DA51" s="4"/>
      <c r="DB51" s="4"/>
      <c r="DC51" s="4"/>
      <c r="DD51" s="4"/>
      <c r="DE51" s="4"/>
      <c r="DR51" s="525"/>
      <c r="DS51" s="4"/>
      <c r="DT51" s="4"/>
      <c r="DU51" s="4"/>
      <c r="DV51" s="4"/>
      <c r="DW51" s="4"/>
      <c r="DX51" s="4"/>
      <c r="DY51" s="4"/>
      <c r="DZ51" s="4"/>
      <c r="EA51" s="4"/>
    </row>
    <row r="52" spans="1:131" ht="15" x14ac:dyDescent="0.2">
      <c r="A52" s="536" t="s">
        <v>9</v>
      </c>
      <c r="B52" s="537"/>
      <c r="C52" s="537"/>
      <c r="D52" s="538"/>
      <c r="E52" s="30"/>
      <c r="F52" s="30"/>
      <c r="G52" s="30"/>
      <c r="H52" s="30"/>
      <c r="I52" s="30"/>
      <c r="K52" s="525"/>
      <c r="L52" s="531"/>
      <c r="M52" s="531"/>
      <c r="N52" s="333"/>
      <c r="O52" s="85"/>
      <c r="P52" s="4"/>
      <c r="Q52" s="4"/>
      <c r="R52" s="4"/>
      <c r="S52" s="4"/>
      <c r="T52" s="4"/>
      <c r="V52" s="344"/>
      <c r="W52" s="343"/>
      <c r="Z52" s="536" t="s">
        <v>9</v>
      </c>
      <c r="AA52" s="537"/>
      <c r="AB52" s="537"/>
      <c r="AC52" s="538"/>
      <c r="AD52" s="30"/>
      <c r="AE52" s="30"/>
      <c r="AF52" s="30"/>
      <c r="AG52" s="30"/>
      <c r="AH52" s="30"/>
      <c r="AJ52" s="525"/>
      <c r="AK52" s="531" t="s">
        <v>18</v>
      </c>
      <c r="AL52" s="531"/>
      <c r="AM52" s="74" t="str">
        <f>IF(O52="","",O52)</f>
        <v/>
      </c>
      <c r="AN52" s="4"/>
      <c r="AO52" s="4"/>
      <c r="AP52" s="4"/>
      <c r="AQ52" s="4"/>
      <c r="AR52" s="4"/>
      <c r="AS52" s="344"/>
      <c r="AT52" s="344"/>
      <c r="AU52" s="536" t="s">
        <v>9</v>
      </c>
      <c r="AV52" s="537"/>
      <c r="AW52" s="537"/>
      <c r="AX52" s="538"/>
      <c r="AY52" s="30"/>
      <c r="AZ52" s="30"/>
      <c r="BA52" s="30"/>
      <c r="BB52" s="30"/>
      <c r="BC52" s="30"/>
      <c r="BE52" s="525"/>
      <c r="BF52" s="531" t="s">
        <v>18</v>
      </c>
      <c r="BG52" s="531"/>
      <c r="BH52" s="74" t="str">
        <f>IF(O52="","",O52)</f>
        <v/>
      </c>
      <c r="BI52" s="4"/>
      <c r="BJ52" s="4"/>
      <c r="BK52" s="4"/>
      <c r="BL52" s="4"/>
      <c r="BM52" s="4"/>
      <c r="BN52" s="340"/>
      <c r="BP52" s="536" t="s">
        <v>9</v>
      </c>
      <c r="BQ52" s="537"/>
      <c r="BR52" s="537"/>
      <c r="BS52" s="538"/>
      <c r="BT52" s="30"/>
      <c r="BU52" s="30"/>
      <c r="BV52" s="30"/>
      <c r="BW52" s="30"/>
      <c r="BX52" s="30"/>
      <c r="BZ52" s="525"/>
      <c r="CA52" s="531" t="s">
        <v>18</v>
      </c>
      <c r="CB52" s="531"/>
      <c r="CC52" s="333"/>
      <c r="CD52" s="74" t="str">
        <f>BH52</f>
        <v/>
      </c>
      <c r="CE52" s="4"/>
      <c r="CF52" s="4"/>
      <c r="CG52" s="4"/>
      <c r="CH52" s="4"/>
      <c r="CI52" s="4"/>
      <c r="CL52" s="536" t="s">
        <v>9</v>
      </c>
      <c r="CM52" s="537"/>
      <c r="CN52" s="537"/>
      <c r="CO52" s="538"/>
      <c r="CP52" s="30"/>
      <c r="CQ52" s="30"/>
      <c r="CR52" s="30"/>
      <c r="CS52" s="30"/>
      <c r="CT52" s="30"/>
      <c r="CV52" s="525"/>
      <c r="CW52" s="531" t="s">
        <v>18</v>
      </c>
      <c r="CX52" s="531"/>
      <c r="CY52" s="333"/>
      <c r="CZ52" s="74" t="str">
        <f>CD52</f>
        <v/>
      </c>
      <c r="DA52" s="4"/>
      <c r="DB52" s="4"/>
      <c r="DC52" s="4"/>
      <c r="DD52" s="4"/>
      <c r="DE52" s="4"/>
      <c r="DH52" s="536" t="s">
        <v>9</v>
      </c>
      <c r="DI52" s="537"/>
      <c r="DJ52" s="537"/>
      <c r="DK52" s="538"/>
      <c r="DL52" s="30"/>
      <c r="DM52" s="30"/>
      <c r="DN52" s="30"/>
      <c r="DO52" s="30"/>
      <c r="DP52" s="30"/>
      <c r="DR52" s="525"/>
      <c r="DS52" s="531" t="s">
        <v>18</v>
      </c>
      <c r="DT52" s="531"/>
      <c r="DU52" s="333"/>
      <c r="DV52" s="74" t="str">
        <f>CZ52</f>
        <v/>
      </c>
      <c r="DW52" s="4"/>
      <c r="DX52" s="4"/>
      <c r="DY52" s="4"/>
      <c r="DZ52" s="4"/>
      <c r="EA52" s="4"/>
    </row>
    <row r="53" spans="1:131" x14ac:dyDescent="0.2">
      <c r="A53" s="539" t="s">
        <v>57</v>
      </c>
      <c r="B53" s="4"/>
      <c r="C53" s="4"/>
      <c r="D53" s="4"/>
      <c r="E53" s="4"/>
      <c r="F53" s="4"/>
      <c r="G53" s="4"/>
      <c r="H53" s="4"/>
      <c r="I53" s="4"/>
      <c r="K53" s="525"/>
      <c r="L53" s="542" t="s">
        <v>10</v>
      </c>
      <c r="M53" s="542"/>
      <c r="N53" s="339"/>
      <c r="O53" s="3" t="str">
        <f>IF($O$52="","",IF($O$52=1,2,IF($O$52=2,3,IF($O$52=3,4,IF($O$52=4,1.5)))))</f>
        <v/>
      </c>
      <c r="P53" s="4"/>
      <c r="Q53" s="546" t="str">
        <f>IF(O53="","",O53*45)</f>
        <v/>
      </c>
      <c r="R53" s="546"/>
      <c r="S53" s="4"/>
      <c r="T53" s="8"/>
      <c r="V53" s="344"/>
      <c r="W53" s="76"/>
      <c r="Z53" s="539" t="s">
        <v>57</v>
      </c>
      <c r="AA53" s="4"/>
      <c r="AB53" s="4"/>
      <c r="AC53" s="4"/>
      <c r="AD53" s="4"/>
      <c r="AE53" s="4"/>
      <c r="AF53" s="4"/>
      <c r="AG53" s="4"/>
      <c r="AH53" s="4"/>
      <c r="AJ53" s="525"/>
      <c r="AK53" s="542" t="s">
        <v>10</v>
      </c>
      <c r="AL53" s="542"/>
      <c r="AM53" s="3" t="str">
        <f>IF($O$52="","",IF($O$52=1,2,IF($O$52=2,3,IF($O$52=3,4,IF($O$52=4,1.5)))))</f>
        <v/>
      </c>
      <c r="AN53" s="4"/>
      <c r="AO53" s="546" t="str">
        <f>IF(AM53="","",AM53*45)</f>
        <v/>
      </c>
      <c r="AP53" s="546"/>
      <c r="AQ53" s="4"/>
      <c r="AR53" s="8"/>
      <c r="AS53" s="344"/>
      <c r="AT53" s="344"/>
      <c r="AU53" s="539" t="s">
        <v>57</v>
      </c>
      <c r="AV53" s="4"/>
      <c r="AW53" s="4"/>
      <c r="AX53" s="4"/>
      <c r="AY53" s="4"/>
      <c r="AZ53" s="4"/>
      <c r="BA53" s="4"/>
      <c r="BB53" s="4"/>
      <c r="BC53" s="4"/>
      <c r="BE53" s="525"/>
      <c r="BF53" s="542" t="s">
        <v>10</v>
      </c>
      <c r="BG53" s="542"/>
      <c r="BH53" s="3" t="str">
        <f>IF($O$52="","",IF($O$52=1,2,IF($O$52=2,3,IF($O$52=3,4,IF($O$52=4,1.5)))))</f>
        <v/>
      </c>
      <c r="BI53" s="4"/>
      <c r="BJ53" s="546" t="str">
        <f>IF(BH53="","",BH53*45)</f>
        <v/>
      </c>
      <c r="BK53" s="546"/>
      <c r="BL53" s="4"/>
      <c r="BM53" s="8"/>
      <c r="BN53" s="340"/>
      <c r="BP53" s="539" t="s">
        <v>57</v>
      </c>
      <c r="BQ53" s="4"/>
      <c r="BR53" s="4"/>
      <c r="BS53" s="4"/>
      <c r="BT53" s="4"/>
      <c r="BU53" s="4"/>
      <c r="BV53" s="4"/>
      <c r="BW53" s="4"/>
      <c r="BX53" s="4"/>
      <c r="BZ53" s="525"/>
      <c r="CA53" s="542" t="s">
        <v>10</v>
      </c>
      <c r="CB53" s="542"/>
      <c r="CC53" s="339"/>
      <c r="CD53" s="3" t="str">
        <f>IF($O$52="","",IF($O$52=1,2,IF($O$52=2,3,IF($O$52=3,4,IF($O$52=4,1.5)))))</f>
        <v/>
      </c>
      <c r="CE53" s="4"/>
      <c r="CF53" s="546" t="str">
        <f>IF(CD53="","",CD53*45)</f>
        <v/>
      </c>
      <c r="CG53" s="546"/>
      <c r="CH53" s="4"/>
      <c r="CI53" s="8"/>
      <c r="CL53" s="539" t="s">
        <v>57</v>
      </c>
      <c r="CM53" s="4"/>
      <c r="CN53" s="4"/>
      <c r="CO53" s="4"/>
      <c r="CP53" s="4"/>
      <c r="CQ53" s="4"/>
      <c r="CR53" s="4"/>
      <c r="CS53" s="4"/>
      <c r="CT53" s="4"/>
      <c r="CV53" s="525"/>
      <c r="CW53" s="542" t="s">
        <v>10</v>
      </c>
      <c r="CX53" s="542"/>
      <c r="CY53" s="339"/>
      <c r="CZ53" s="3" t="str">
        <f>IF($O$52="","",IF($O$52=1,2,IF($O$52=2,3,IF($O$52=3,4,IF($O$52=4,1.5)))))</f>
        <v/>
      </c>
      <c r="DA53" s="4"/>
      <c r="DB53" s="546" t="str">
        <f>IF(CZ53="","",CZ53*45)</f>
        <v/>
      </c>
      <c r="DC53" s="546"/>
      <c r="DD53" s="4"/>
      <c r="DE53" s="8"/>
      <c r="DH53" s="539" t="s">
        <v>57</v>
      </c>
      <c r="DI53" s="4"/>
      <c r="DJ53" s="4"/>
      <c r="DK53" s="4"/>
      <c r="DL53" s="4"/>
      <c r="DM53" s="4"/>
      <c r="DN53" s="4"/>
      <c r="DO53" s="4"/>
      <c r="DP53" s="4"/>
      <c r="DR53" s="525"/>
      <c r="DS53" s="542" t="s">
        <v>10</v>
      </c>
      <c r="DT53" s="542"/>
      <c r="DU53" s="339"/>
      <c r="DV53" s="3" t="str">
        <f>IF($O$52="","",IF($O$52=1,2,IF($O$52=2,3,IF($O$52=3,4,IF($O$52=4,1.5)))))</f>
        <v/>
      </c>
      <c r="DW53" s="4"/>
      <c r="DX53" s="546" t="str">
        <f>IF(DV53="","",DV53*45)</f>
        <v/>
      </c>
      <c r="DY53" s="546"/>
      <c r="DZ53" s="4"/>
      <c r="EA53" s="8"/>
    </row>
    <row r="54" spans="1:131" x14ac:dyDescent="0.2">
      <c r="A54" s="540"/>
      <c r="B54" s="4"/>
      <c r="C54" s="4"/>
      <c r="D54" s="4"/>
      <c r="E54" s="4"/>
      <c r="F54" s="4"/>
      <c r="G54" s="4"/>
      <c r="H54" s="4"/>
      <c r="I54" s="4"/>
      <c r="J54" s="367" t="s">
        <v>23</v>
      </c>
      <c r="K54" s="525"/>
      <c r="L54" s="556" t="s">
        <v>55</v>
      </c>
      <c r="M54" s="542"/>
      <c r="N54" s="339"/>
      <c r="O54" s="3" t="str">
        <f>IF(O52="","",IF(O52=1,H35/($U$12)/3500,IF(O52=2,H35/($U$12)/3500,IF(O52=3,H35/($U$12)/3500*2,IF(O52=4,H35/($U$12)/3500)))))</f>
        <v/>
      </c>
      <c r="P54" s="4"/>
      <c r="Q54" s="543" t="str">
        <f>IF(O54="","",O54*45)</f>
        <v/>
      </c>
      <c r="R54" s="543"/>
      <c r="S54" s="4"/>
      <c r="T54" s="8"/>
      <c r="V54" s="344"/>
      <c r="W54" s="77"/>
      <c r="Z54" s="540"/>
      <c r="AA54" s="4"/>
      <c r="AB54" s="4"/>
      <c r="AC54" s="4"/>
      <c r="AD54" s="4"/>
      <c r="AE54" s="4"/>
      <c r="AF54" s="4"/>
      <c r="AG54" s="4"/>
      <c r="AH54" s="4"/>
      <c r="AJ54" s="525"/>
      <c r="AK54" s="556" t="s">
        <v>55</v>
      </c>
      <c r="AL54" s="542"/>
      <c r="AM54" s="3" t="str">
        <f>IF(AM52="","",IF(AM52=1,AG35/($U$12)/3500,IF(AM52=2,AG35/($U$12)/3500,IF(AM52=3,AG35/($U$12)/3500*2,IF(AM52=4,AG35/($U$12)/3500)))))</f>
        <v/>
      </c>
      <c r="AN54" s="4"/>
      <c r="AO54" s="543" t="str">
        <f>IF(AM54="","",AM54*45)</f>
        <v/>
      </c>
      <c r="AP54" s="543"/>
      <c r="AQ54" s="4"/>
      <c r="AR54" s="8"/>
      <c r="AS54" s="344"/>
      <c r="AT54" s="344"/>
      <c r="AU54" s="540"/>
      <c r="AV54" s="4"/>
      <c r="AW54" s="4"/>
      <c r="AX54" s="4"/>
      <c r="AY54" s="4"/>
      <c r="AZ54" s="4"/>
      <c r="BA54" s="4"/>
      <c r="BB54" s="4"/>
      <c r="BC54" s="4"/>
      <c r="BE54" s="525"/>
      <c r="BF54" s="556" t="s">
        <v>55</v>
      </c>
      <c r="BG54" s="542"/>
      <c r="BH54" s="3" t="str">
        <f>IF(BH52="","",IF(BH52=1,BB35/($U$12)/3500,IF(BH52=2,BB35/($U$12)/3500,IF(BH52=3,BB35/($U$12)/3500*2,IF(BH52=4,BB35/($U$12)/3500)))))</f>
        <v/>
      </c>
      <c r="BI54" s="4"/>
      <c r="BJ54" s="543" t="str">
        <f>IF(BH54="","",BH54*45)</f>
        <v/>
      </c>
      <c r="BK54" s="543"/>
      <c r="BL54" s="4"/>
      <c r="BM54" s="8"/>
      <c r="BN54" s="340"/>
      <c r="BP54" s="540"/>
      <c r="BQ54" s="4"/>
      <c r="BR54" s="4"/>
      <c r="BS54" s="4"/>
      <c r="BT54" s="4"/>
      <c r="BU54" s="4"/>
      <c r="BV54" s="4"/>
      <c r="BW54" s="4"/>
      <c r="BX54" s="4"/>
      <c r="BZ54" s="525"/>
      <c r="CA54" s="556" t="s">
        <v>55</v>
      </c>
      <c r="CB54" s="542"/>
      <c r="CC54" s="339"/>
      <c r="CD54" s="3" t="str">
        <f>IF(CD52="","",IF(CD52=1,BW35/($U$12)/3500,IF(CD52=2,BW35/($U$12)/3500,IF(CD52=3,BW35/($U$12)/3500*2,IF(CD52=4,BW35/($U$12)/3500)))))</f>
        <v/>
      </c>
      <c r="CE54" s="4"/>
      <c r="CF54" s="543" t="str">
        <f>IF(CD54="","",CD54*45)</f>
        <v/>
      </c>
      <c r="CG54" s="543"/>
      <c r="CH54" s="4"/>
      <c r="CI54" s="8"/>
      <c r="CL54" s="540"/>
      <c r="CM54" s="4"/>
      <c r="CN54" s="4"/>
      <c r="CO54" s="4"/>
      <c r="CP54" s="4"/>
      <c r="CQ54" s="4"/>
      <c r="CR54" s="4"/>
      <c r="CS54" s="4"/>
      <c r="CT54" s="4"/>
      <c r="CV54" s="525"/>
      <c r="CW54" s="556" t="s">
        <v>55</v>
      </c>
      <c r="CX54" s="542"/>
      <c r="CY54" s="339"/>
      <c r="CZ54" s="3" t="str">
        <f>IF(CZ52="","",IF(CZ52=1,CS35/($U$12)/3500,IF(CZ52=2,CS35/($U$12)/3500,IF(CZ52=3,CS35/($U$12)/3500*2,IF(CZ52=4,CS35/($U$12)/3500)))))</f>
        <v/>
      </c>
      <c r="DA54" s="4"/>
      <c r="DB54" s="543" t="str">
        <f>IF(CZ54="","",CZ54*45)</f>
        <v/>
      </c>
      <c r="DC54" s="543"/>
      <c r="DD54" s="4"/>
      <c r="DE54" s="8"/>
      <c r="DH54" s="540"/>
      <c r="DI54" s="4"/>
      <c r="DJ54" s="4"/>
      <c r="DK54" s="4"/>
      <c r="DL54" s="4"/>
      <c r="DM54" s="4"/>
      <c r="DN54" s="4"/>
      <c r="DO54" s="4"/>
      <c r="DP54" s="4"/>
      <c r="DR54" s="525"/>
      <c r="DS54" s="556" t="s">
        <v>55</v>
      </c>
      <c r="DT54" s="542"/>
      <c r="DU54" s="339"/>
      <c r="DV54" s="3" t="str">
        <f>IF(DV52="","",IF(DV52=1,DO35/($U$12)/3500,IF(DV52=2,DO35/($U$12)/3500,IF(DV52=3,DO35/($U$12)/3500*2,IF(DV52=4,DO35/($U$12)/3500)))))</f>
        <v/>
      </c>
      <c r="DW54" s="4"/>
      <c r="DX54" s="543" t="str">
        <f>IF(DV54="","",DV54*45)</f>
        <v/>
      </c>
      <c r="DY54" s="543"/>
      <c r="DZ54" s="4"/>
      <c r="EA54" s="8"/>
    </row>
    <row r="55" spans="1:131" ht="15" x14ac:dyDescent="0.2">
      <c r="A55" s="540"/>
      <c r="B55" s="13" t="s">
        <v>257</v>
      </c>
      <c r="C55" s="4"/>
      <c r="D55" s="84">
        <v>2</v>
      </c>
      <c r="E55" s="4"/>
      <c r="F55" s="4"/>
      <c r="G55" s="4"/>
      <c r="H55" s="4"/>
      <c r="I55" s="4"/>
      <c r="K55" s="525"/>
      <c r="L55" s="8"/>
      <c r="M55" s="8"/>
      <c r="N55" s="8"/>
      <c r="O55" s="8"/>
      <c r="P55" s="8"/>
      <c r="Q55" s="8"/>
      <c r="R55" s="8"/>
      <c r="S55" s="4"/>
      <c r="T55" s="8"/>
      <c r="V55" s="344"/>
      <c r="W55" s="77"/>
      <c r="Z55" s="540"/>
      <c r="AA55" s="13" t="s">
        <v>12</v>
      </c>
      <c r="AB55" s="4"/>
      <c r="AC55" s="193">
        <f>IF(D55="","",D55)</f>
        <v>2</v>
      </c>
      <c r="AD55" s="4"/>
      <c r="AE55" s="4"/>
      <c r="AF55" s="4"/>
      <c r="AG55" s="4"/>
      <c r="AH55" s="4"/>
      <c r="AJ55" s="525"/>
      <c r="AK55" s="8"/>
      <c r="AL55" s="8"/>
      <c r="AM55" s="8"/>
      <c r="AN55" s="8"/>
      <c r="AO55" s="8"/>
      <c r="AP55" s="8"/>
      <c r="AQ55" s="4"/>
      <c r="AR55" s="8"/>
      <c r="AS55" s="344"/>
      <c r="AT55" s="344"/>
      <c r="AU55" s="540"/>
      <c r="AV55" s="13" t="s">
        <v>12</v>
      </c>
      <c r="AW55" s="4"/>
      <c r="AX55" s="193">
        <f>IF(D55="","",D55)</f>
        <v>2</v>
      </c>
      <c r="AY55" s="4"/>
      <c r="AZ55" s="4"/>
      <c r="BA55" s="4"/>
      <c r="BB55" s="4"/>
      <c r="BC55" s="4"/>
      <c r="BE55" s="525"/>
      <c r="BF55" s="8"/>
      <c r="BG55" s="8"/>
      <c r="BH55" s="8"/>
      <c r="BI55" s="8"/>
      <c r="BJ55" s="8"/>
      <c r="BK55" s="8"/>
      <c r="BL55" s="4"/>
      <c r="BM55" s="8"/>
      <c r="BN55" s="340"/>
      <c r="BP55" s="540"/>
      <c r="BQ55" s="13" t="s">
        <v>12</v>
      </c>
      <c r="BR55" s="4"/>
      <c r="BS55" s="193">
        <f>AX55</f>
        <v>2</v>
      </c>
      <c r="BT55" s="4"/>
      <c r="BU55" s="4"/>
      <c r="BV55" s="4"/>
      <c r="BW55" s="4"/>
      <c r="BX55" s="4"/>
      <c r="BZ55" s="525"/>
      <c r="CA55" s="8"/>
      <c r="CB55" s="8"/>
      <c r="CC55" s="8"/>
      <c r="CD55" s="8"/>
      <c r="CE55" s="8"/>
      <c r="CF55" s="8"/>
      <c r="CG55" s="8"/>
      <c r="CH55" s="4"/>
      <c r="CI55" s="8"/>
      <c r="CL55" s="540"/>
      <c r="CM55" s="13" t="s">
        <v>12</v>
      </c>
      <c r="CN55" s="4"/>
      <c r="CO55" s="193">
        <f>BS55</f>
        <v>2</v>
      </c>
      <c r="CP55" s="4"/>
      <c r="CQ55" s="4"/>
      <c r="CR55" s="4"/>
      <c r="CS55" s="4"/>
      <c r="CT55" s="4"/>
      <c r="CV55" s="525"/>
      <c r="CW55" s="8"/>
      <c r="CX55" s="8"/>
      <c r="CY55" s="8"/>
      <c r="CZ55" s="8"/>
      <c r="DA55" s="8"/>
      <c r="DB55" s="8"/>
      <c r="DC55" s="8"/>
      <c r="DD55" s="4"/>
      <c r="DE55" s="8"/>
      <c r="DH55" s="540"/>
      <c r="DI55" s="13" t="s">
        <v>12</v>
      </c>
      <c r="DJ55" s="4"/>
      <c r="DK55" s="193">
        <f>CO55</f>
        <v>2</v>
      </c>
      <c r="DL55" s="4"/>
      <c r="DM55" s="4"/>
      <c r="DN55" s="4"/>
      <c r="DO55" s="4"/>
      <c r="DP55" s="4"/>
      <c r="DR55" s="525"/>
      <c r="DS55" s="8"/>
      <c r="DT55" s="8"/>
      <c r="DU55" s="8"/>
      <c r="DV55" s="8"/>
      <c r="DW55" s="8"/>
      <c r="DX55" s="8"/>
      <c r="DY55" s="8"/>
      <c r="DZ55" s="4"/>
      <c r="EA55" s="8"/>
    </row>
    <row r="56" spans="1:131" x14ac:dyDescent="0.2">
      <c r="A56" s="540"/>
      <c r="B56" s="542" t="s">
        <v>10</v>
      </c>
      <c r="C56" s="542"/>
      <c r="D56" s="86">
        <v>1.5</v>
      </c>
      <c r="E56" s="4"/>
      <c r="F56" s="546">
        <f>IF(D56="","",D56*67)</f>
        <v>100.5</v>
      </c>
      <c r="G56" s="546"/>
      <c r="H56" s="4"/>
      <c r="I56" s="4"/>
      <c r="K56" s="525"/>
      <c r="L56" s="333"/>
      <c r="M56" s="333"/>
      <c r="N56" s="333"/>
      <c r="O56" s="333"/>
      <c r="P56" s="334"/>
      <c r="Q56" s="334"/>
      <c r="R56" s="334"/>
      <c r="S56" s="4"/>
      <c r="T56" s="4"/>
      <c r="V56" s="344"/>
      <c r="W56" s="77"/>
      <c r="Z56" s="540"/>
      <c r="AA56" s="542" t="s">
        <v>10</v>
      </c>
      <c r="AB56" s="542"/>
      <c r="AC56" s="194">
        <f>IF(D56="","",D56)</f>
        <v>1.5</v>
      </c>
      <c r="AD56" s="4"/>
      <c r="AE56" s="546">
        <f>IF(AC56="","",AC56*67)</f>
        <v>100.5</v>
      </c>
      <c r="AF56" s="546"/>
      <c r="AG56" s="4"/>
      <c r="AH56" s="4"/>
      <c r="AJ56" s="525"/>
      <c r="AK56" s="531" t="s">
        <v>36</v>
      </c>
      <c r="AL56" s="531"/>
      <c r="AM56" s="531"/>
      <c r="AN56" s="527"/>
      <c r="AO56" s="527"/>
      <c r="AP56" s="527"/>
      <c r="AQ56" s="4"/>
      <c r="AR56" s="4"/>
      <c r="AS56" s="344"/>
      <c r="AT56" s="344"/>
      <c r="AU56" s="540"/>
      <c r="AV56" s="542" t="s">
        <v>10</v>
      </c>
      <c r="AW56" s="542"/>
      <c r="AX56" s="194">
        <f>IF(D56="","",D56)</f>
        <v>1.5</v>
      </c>
      <c r="AY56" s="4"/>
      <c r="AZ56" s="546">
        <f>IF(AX56="","",AX56*67)</f>
        <v>100.5</v>
      </c>
      <c r="BA56" s="546"/>
      <c r="BB56" s="4"/>
      <c r="BC56" s="4"/>
      <c r="BE56" s="525"/>
      <c r="BF56" s="531" t="s">
        <v>36</v>
      </c>
      <c r="BG56" s="531"/>
      <c r="BH56" s="531"/>
      <c r="BI56" s="527"/>
      <c r="BJ56" s="527"/>
      <c r="BK56" s="527"/>
      <c r="BL56" s="4"/>
      <c r="BM56" s="4"/>
      <c r="BN56" s="340"/>
      <c r="BP56" s="540"/>
      <c r="BQ56" s="542" t="s">
        <v>10</v>
      </c>
      <c r="BR56" s="542"/>
      <c r="BS56" s="194">
        <f>AX56</f>
        <v>1.5</v>
      </c>
      <c r="BT56" s="4"/>
      <c r="BU56" s="546">
        <f>IF(BS56="","",BS56*67)</f>
        <v>100.5</v>
      </c>
      <c r="BV56" s="546"/>
      <c r="BW56" s="4"/>
      <c r="BX56" s="4"/>
      <c r="BZ56" s="525"/>
      <c r="CA56" s="531" t="s">
        <v>36</v>
      </c>
      <c r="CB56" s="531"/>
      <c r="CC56" s="531"/>
      <c r="CD56" s="531"/>
      <c r="CE56" s="527"/>
      <c r="CF56" s="527"/>
      <c r="CG56" s="527"/>
      <c r="CH56" s="4"/>
      <c r="CI56" s="4"/>
      <c r="CL56" s="540"/>
      <c r="CM56" s="542" t="s">
        <v>10</v>
      </c>
      <c r="CN56" s="542"/>
      <c r="CO56" s="194">
        <f>BS56</f>
        <v>1.5</v>
      </c>
      <c r="CP56" s="4"/>
      <c r="CQ56" s="546">
        <f>IF(CO56="","",CO56*67)</f>
        <v>100.5</v>
      </c>
      <c r="CR56" s="546"/>
      <c r="CS56" s="4"/>
      <c r="CT56" s="4"/>
      <c r="CV56" s="525"/>
      <c r="CW56" s="531" t="s">
        <v>36</v>
      </c>
      <c r="CX56" s="531"/>
      <c r="CY56" s="531"/>
      <c r="CZ56" s="531"/>
      <c r="DA56" s="527"/>
      <c r="DB56" s="527"/>
      <c r="DC56" s="527"/>
      <c r="DD56" s="4"/>
      <c r="DE56" s="4"/>
      <c r="DH56" s="540"/>
      <c r="DI56" s="542" t="s">
        <v>10</v>
      </c>
      <c r="DJ56" s="542"/>
      <c r="DK56" s="194">
        <f>CO56</f>
        <v>1.5</v>
      </c>
      <c r="DL56" s="4"/>
      <c r="DM56" s="546">
        <f>IF(DK56="","",DK56*67)</f>
        <v>100.5</v>
      </c>
      <c r="DN56" s="546"/>
      <c r="DO56" s="4"/>
      <c r="DP56" s="4"/>
      <c r="DR56" s="525"/>
      <c r="DS56" s="531" t="s">
        <v>36</v>
      </c>
      <c r="DT56" s="531"/>
      <c r="DU56" s="531"/>
      <c r="DV56" s="531"/>
      <c r="DW56" s="527"/>
      <c r="DX56" s="527"/>
      <c r="DY56" s="527"/>
      <c r="DZ56" s="4"/>
      <c r="EA56" s="4"/>
    </row>
    <row r="57" spans="1:131" x14ac:dyDescent="0.2">
      <c r="A57" s="540"/>
      <c r="B57" s="542" t="s">
        <v>11</v>
      </c>
      <c r="C57" s="542"/>
      <c r="D57" s="3">
        <f>IF(D55="","",IF(D55=1,(H35/$U$12)/6000,IF(D55=2,(H35/$U$12*2)/6000,IF(D55=3,(H35/$U$12*2)/6000,IF(D57&lt;=0.25,0.25)))))</f>
        <v>0.7583333333333333</v>
      </c>
      <c r="E57" s="4"/>
      <c r="F57" s="543">
        <f>IF(D57="","",IF(D57&lt;=0.25,0.25*67,D57*67))</f>
        <v>50.80833333333333</v>
      </c>
      <c r="G57" s="543"/>
      <c r="H57" s="4"/>
      <c r="I57" s="4"/>
      <c r="J57" s="30"/>
      <c r="K57" s="525"/>
      <c r="L57" s="8"/>
      <c r="M57" s="8"/>
      <c r="N57" s="8"/>
      <c r="O57" s="85"/>
      <c r="P57" s="8"/>
      <c r="Q57" s="8"/>
      <c r="R57" s="8"/>
      <c r="S57" s="8"/>
      <c r="T57" s="8"/>
      <c r="V57" s="344"/>
      <c r="W57" s="77"/>
      <c r="Z57" s="540"/>
      <c r="AA57" s="542" t="s">
        <v>11</v>
      </c>
      <c r="AB57" s="542"/>
      <c r="AC57" s="3">
        <f>IF(AC55="","",IF(AC55=1,(AG35/$U$12)/6000,IF(AC55=2,(AG35/$U$12*2)/6000,IF(AC55=3,(AG35/$U$12*2)/6000,IF(AC57&lt;=0.25,0.25)))))</f>
        <v>1.3333333333333333</v>
      </c>
      <c r="AD57" s="4"/>
      <c r="AE57" s="543">
        <f>IF(AC57="","",IF(AC57&lt;=0.25,0.25*67,AC57*67))</f>
        <v>89.333333333333329</v>
      </c>
      <c r="AF57" s="543"/>
      <c r="AG57" s="4"/>
      <c r="AH57" s="4"/>
      <c r="AI57" s="30"/>
      <c r="AJ57" s="525"/>
      <c r="AK57" s="8"/>
      <c r="AL57" s="8"/>
      <c r="AM57" s="74" t="str">
        <f>IF(O57="","",O57)</f>
        <v/>
      </c>
      <c r="AN57" s="8"/>
      <c r="AO57" s="8"/>
      <c r="AP57" s="8"/>
      <c r="AQ57" s="8"/>
      <c r="AR57" s="8"/>
      <c r="AS57" s="344"/>
      <c r="AT57" s="344"/>
      <c r="AU57" s="540"/>
      <c r="AV57" s="542" t="s">
        <v>11</v>
      </c>
      <c r="AW57" s="542"/>
      <c r="AX57" s="3">
        <f>IF(AX55="","",IF(AX55=1,(BB35/$U$12)/6000,IF(AX55=2,(BB35/$U$12*2)/6000,IF(AX55=3,(BB35/$U$12*2)/6000,IF(AX57&lt;=0.25,0.25)))))</f>
        <v>1.3333333333333333</v>
      </c>
      <c r="AY57" s="4"/>
      <c r="AZ57" s="543">
        <f>IF(AX57="","",IF(AX57&lt;=0.25,0.25*67,AX57*67))</f>
        <v>89.333333333333329</v>
      </c>
      <c r="BA57" s="543"/>
      <c r="BB57" s="4"/>
      <c r="BC57" s="4"/>
      <c r="BD57" s="30"/>
      <c r="BE57" s="525"/>
      <c r="BF57" s="8"/>
      <c r="BG57" s="8"/>
      <c r="BH57" s="74" t="str">
        <f>IF(O57="","",O57)</f>
        <v/>
      </c>
      <c r="BI57" s="8"/>
      <c r="BJ57" s="8"/>
      <c r="BK57" s="8"/>
      <c r="BL57" s="8"/>
      <c r="BM57" s="8"/>
      <c r="BN57" s="340"/>
      <c r="BP57" s="540"/>
      <c r="BQ57" s="542" t="s">
        <v>11</v>
      </c>
      <c r="BR57" s="542"/>
      <c r="BS57" s="3">
        <f>IF(BS55="","",IF(BS55=1,(BW35/$U$12)/6000,IF(BS55=2,(BW35/$U$12*2)/6000,IF(BS55=3,(BW35/$U$12*2)/6000,IF(BS57&lt;=0.25,0.25)))))</f>
        <v>0.16666666666666666</v>
      </c>
      <c r="BT57" s="4"/>
      <c r="BU57" s="543">
        <f>IF(BS57="","",IF(BS57&lt;=0.25,0.25*67,BS57*67))</f>
        <v>16.75</v>
      </c>
      <c r="BV57" s="543"/>
      <c r="BW57" s="4"/>
      <c r="BX57" s="4"/>
      <c r="BY57" s="30"/>
      <c r="BZ57" s="525"/>
      <c r="CA57" s="8"/>
      <c r="CB57" s="8"/>
      <c r="CC57" s="8"/>
      <c r="CD57" s="74" t="str">
        <f>BH57</f>
        <v/>
      </c>
      <c r="CE57" s="8"/>
      <c r="CF57" s="8"/>
      <c r="CG57" s="8"/>
      <c r="CH57" s="8"/>
      <c r="CI57" s="8"/>
      <c r="CL57" s="540"/>
      <c r="CM57" s="542" t="s">
        <v>11</v>
      </c>
      <c r="CN57" s="542"/>
      <c r="CO57" s="3">
        <f>IF(CO55="","",IF(CO55=1,(CS35/$U$12)/6000,IF(CO55=2,(CS35/$U$12*2)/6000,IF(CO55=3,(CS35/$U$12*2)/6000,IF(CO57&lt;=0.25,0.25)))))</f>
        <v>0.16666666666666666</v>
      </c>
      <c r="CP57" s="4"/>
      <c r="CQ57" s="543">
        <f>IF(CO57="","",IF(CO57&lt;=0.25,0.25*67,CO57*67))</f>
        <v>16.75</v>
      </c>
      <c r="CR57" s="543"/>
      <c r="CS57" s="4"/>
      <c r="CT57" s="4"/>
      <c r="CU57" s="30"/>
      <c r="CV57" s="525"/>
      <c r="CW57" s="8"/>
      <c r="CX57" s="8"/>
      <c r="CY57" s="8"/>
      <c r="CZ57" s="74" t="str">
        <f>CD57</f>
        <v/>
      </c>
      <c r="DA57" s="8"/>
      <c r="DB57" s="8"/>
      <c r="DC57" s="8"/>
      <c r="DD57" s="8"/>
      <c r="DE57" s="8"/>
      <c r="DH57" s="540"/>
      <c r="DI57" s="542" t="s">
        <v>11</v>
      </c>
      <c r="DJ57" s="542"/>
      <c r="DK57" s="3">
        <f>IF(DK55="","",IF(DK55=1,(DO35/$U$12)/6000,IF(DK55=2,(DO35/$U$12*2)/6000,IF(DK55=3,(DO35/$U$12*2)/6000,IF(DK57&lt;=0.25,0.25)))))</f>
        <v>0.16666666666666666</v>
      </c>
      <c r="DL57" s="4"/>
      <c r="DM57" s="543">
        <f>IF(DK57="","",IF(DK57&lt;=0.25,0.25*67,DK57*67))</f>
        <v>16.75</v>
      </c>
      <c r="DN57" s="543"/>
      <c r="DO57" s="4"/>
      <c r="DP57" s="4"/>
      <c r="DQ57" s="30"/>
      <c r="DR57" s="525"/>
      <c r="DS57" s="8"/>
      <c r="DT57" s="8"/>
      <c r="DU57" s="8"/>
      <c r="DV57" s="74" t="str">
        <f>CZ57</f>
        <v/>
      </c>
      <c r="DW57" s="8"/>
      <c r="DX57" s="8"/>
      <c r="DY57" s="8"/>
      <c r="DZ57" s="8"/>
      <c r="EA57" s="8"/>
    </row>
    <row r="58" spans="1:131" x14ac:dyDescent="0.2">
      <c r="A58" s="540"/>
      <c r="B58" s="4"/>
      <c r="C58" s="4"/>
      <c r="D58" s="4"/>
      <c r="E58" s="4"/>
      <c r="F58" s="4"/>
      <c r="G58" s="4"/>
      <c r="H58" s="4"/>
      <c r="I58" s="4"/>
      <c r="J58" s="30"/>
      <c r="K58" s="525"/>
      <c r="L58" s="527" t="s">
        <v>25</v>
      </c>
      <c r="M58" s="527"/>
      <c r="N58" s="334"/>
      <c r="O58" s="2" t="str">
        <f>IF(O57="","",IF(O57=1,G18/4000,IF(O57=2,G18/3000,IF(O57=3,G18/2000))))</f>
        <v/>
      </c>
      <c r="P58" s="8"/>
      <c r="Q58" s="546" t="str">
        <f>IF(O57="","",O58*11)</f>
        <v/>
      </c>
      <c r="R58" s="546"/>
      <c r="S58" s="8"/>
      <c r="T58" s="8"/>
      <c r="V58" s="344"/>
      <c r="W58" s="77"/>
      <c r="Z58" s="540"/>
      <c r="AA58" s="4"/>
      <c r="AB58" s="4"/>
      <c r="AC58" s="4"/>
      <c r="AD58" s="4"/>
      <c r="AE58" s="4"/>
      <c r="AF58" s="4"/>
      <c r="AG58" s="4"/>
      <c r="AH58" s="4"/>
      <c r="AI58" s="30"/>
      <c r="AJ58" s="525"/>
      <c r="AK58" s="527" t="s">
        <v>25</v>
      </c>
      <c r="AL58" s="527"/>
      <c r="AM58" s="2" t="str">
        <f>IF(AM57="","",IF(AM57=1,J18/4000,IF(AM57=2,J18/3000,IF(AM57=3,J18/2000))))</f>
        <v/>
      </c>
      <c r="AN58" s="8"/>
      <c r="AO58" s="546" t="str">
        <f>IF(AM57="","",AM58*11)</f>
        <v/>
      </c>
      <c r="AP58" s="546"/>
      <c r="AQ58" s="8"/>
      <c r="AR58" s="8"/>
      <c r="AS58" s="344"/>
      <c r="AT58" s="344"/>
      <c r="AU58" s="540"/>
      <c r="AV58" s="4"/>
      <c r="AW58" s="4"/>
      <c r="AX58" s="4"/>
      <c r="AY58" s="4"/>
      <c r="AZ58" s="4"/>
      <c r="BA58" s="4"/>
      <c r="BB58" s="4"/>
      <c r="BC58" s="4"/>
      <c r="BD58" s="30"/>
      <c r="BE58" s="525"/>
      <c r="BF58" s="527" t="s">
        <v>25</v>
      </c>
      <c r="BG58" s="527"/>
      <c r="BH58" s="2" t="str">
        <f>IF(BH57="","",IF(BH57=1,M18/4000,IF(BH57=2,M18/3000,IF(BH57=3,M18/2000))))</f>
        <v/>
      </c>
      <c r="BI58" s="8"/>
      <c r="BJ58" s="546" t="str">
        <f>IF(BH57="","",BH58*11)</f>
        <v/>
      </c>
      <c r="BK58" s="546"/>
      <c r="BL58" s="8"/>
      <c r="BM58" s="8"/>
      <c r="BN58" s="340"/>
      <c r="BP58" s="540"/>
      <c r="BQ58" s="4"/>
      <c r="BR58" s="4"/>
      <c r="BS58" s="4"/>
      <c r="BT58" s="4"/>
      <c r="BU58" s="4"/>
      <c r="BV58" s="4"/>
      <c r="BW58" s="4"/>
      <c r="BX58" s="4"/>
      <c r="BY58" s="30"/>
      <c r="BZ58" s="525"/>
      <c r="CA58" s="527" t="s">
        <v>25</v>
      </c>
      <c r="CB58" s="527"/>
      <c r="CC58" s="334"/>
      <c r="CD58" s="2" t="str">
        <f>IF(CD57="","",IF(CD57=1,G29/4000,IF(CD57=2,G29/3000,IF(CD57=3,G29/2000))))</f>
        <v/>
      </c>
      <c r="CE58" s="8"/>
      <c r="CF58" s="546" t="str">
        <f>IF(CD57="","",CD58*11)</f>
        <v/>
      </c>
      <c r="CG58" s="546"/>
      <c r="CH58" s="8"/>
      <c r="CI58" s="8"/>
      <c r="CL58" s="540"/>
      <c r="CM58" s="4"/>
      <c r="CN58" s="4"/>
      <c r="CO58" s="4"/>
      <c r="CP58" s="4"/>
      <c r="CQ58" s="4"/>
      <c r="CR58" s="4"/>
      <c r="CS58" s="4"/>
      <c r="CT58" s="4"/>
      <c r="CU58" s="30"/>
      <c r="CV58" s="525"/>
      <c r="CW58" s="527" t="s">
        <v>25</v>
      </c>
      <c r="CX58" s="527"/>
      <c r="CY58" s="334"/>
      <c r="CZ58" s="2" t="str">
        <f>IF(CZ57="","",IF(CZ57=1,J29/4000,IF(CZ57=2,J29/3000,IF(CZ57=3,J29/2000))))</f>
        <v/>
      </c>
      <c r="DA58" s="8"/>
      <c r="DB58" s="546" t="str">
        <f>IF(CZ57="","",CZ58*11)</f>
        <v/>
      </c>
      <c r="DC58" s="546"/>
      <c r="DD58" s="8"/>
      <c r="DE58" s="8"/>
      <c r="DH58" s="540"/>
      <c r="DI58" s="4"/>
      <c r="DJ58" s="4"/>
      <c r="DK58" s="4"/>
      <c r="DL58" s="4"/>
      <c r="DM58" s="4"/>
      <c r="DN58" s="4"/>
      <c r="DO58" s="4"/>
      <c r="DP58" s="4"/>
      <c r="DQ58" s="30"/>
      <c r="DR58" s="525"/>
      <c r="DS58" s="527" t="s">
        <v>25</v>
      </c>
      <c r="DT58" s="527"/>
      <c r="DU58" s="334"/>
      <c r="DV58" s="2" t="str">
        <f>IF(DV57="","",IF(DV57=1,M29/4000,IF(DV57=2,M29/3000,IF(DV57=3,M29/2000))))</f>
        <v/>
      </c>
      <c r="DW58" s="8"/>
      <c r="DX58" s="546" t="str">
        <f>IF(DV57="","",DV58*11)</f>
        <v/>
      </c>
      <c r="DY58" s="546"/>
      <c r="DZ58" s="8"/>
      <c r="EA58" s="8"/>
    </row>
    <row r="59" spans="1:131" x14ac:dyDescent="0.2">
      <c r="A59" s="540"/>
      <c r="B59" s="531" t="s">
        <v>21</v>
      </c>
      <c r="C59" s="531"/>
      <c r="D59" s="531"/>
      <c r="E59" s="531"/>
      <c r="F59" s="542"/>
      <c r="G59" s="4"/>
      <c r="H59" s="4"/>
      <c r="I59" s="4"/>
      <c r="J59" s="30"/>
      <c r="K59" s="525"/>
      <c r="L59" s="557" t="s">
        <v>238</v>
      </c>
      <c r="M59" s="527"/>
      <c r="N59" s="334"/>
      <c r="O59" s="2" t="str">
        <f>IF(O58="","",IF(O57=1,G18/4000,IF(O57=2,G18/3000,IF(O57=3,G18/2000))))</f>
        <v/>
      </c>
      <c r="P59" s="8"/>
      <c r="Q59" s="546" t="str">
        <f>IF(O59="","",O59*11)</f>
        <v/>
      </c>
      <c r="R59" s="546"/>
      <c r="S59" s="8"/>
      <c r="T59" s="8"/>
      <c r="V59" s="344"/>
      <c r="W59" s="77"/>
      <c r="X59" s="344"/>
      <c r="Y59" s="344"/>
      <c r="Z59" s="540"/>
      <c r="AA59" s="531" t="s">
        <v>21</v>
      </c>
      <c r="AB59" s="531"/>
      <c r="AC59" s="531"/>
      <c r="AD59" s="531"/>
      <c r="AE59" s="542"/>
      <c r="AF59" s="4"/>
      <c r="AG59" s="4"/>
      <c r="AH59" s="4"/>
      <c r="AI59" s="30"/>
      <c r="AJ59" s="525"/>
      <c r="AK59" s="557" t="s">
        <v>238</v>
      </c>
      <c r="AL59" s="527"/>
      <c r="AM59" s="2" t="str">
        <f>IF(AM58="","",IF(AM57=1,J18/4000,IF(AM57=2,J18/3000,IF(AM57=3,J18/2000))))</f>
        <v/>
      </c>
      <c r="AN59" s="8"/>
      <c r="AO59" s="546" t="str">
        <f>IF(AM59="","",AM59*11)</f>
        <v/>
      </c>
      <c r="AP59" s="546"/>
      <c r="AQ59" s="8"/>
      <c r="AR59" s="8"/>
      <c r="AS59" s="344"/>
      <c r="AT59" s="344"/>
      <c r="AU59" s="540"/>
      <c r="AV59" s="531" t="s">
        <v>21</v>
      </c>
      <c r="AW59" s="531"/>
      <c r="AX59" s="531"/>
      <c r="AY59" s="531"/>
      <c r="AZ59" s="542"/>
      <c r="BA59" s="4"/>
      <c r="BB59" s="4"/>
      <c r="BC59" s="4"/>
      <c r="BD59" s="30"/>
      <c r="BE59" s="525"/>
      <c r="BF59" s="557" t="s">
        <v>238</v>
      </c>
      <c r="BG59" s="527"/>
      <c r="BH59" s="2" t="str">
        <f>IF(BH58="","",IF(BH57=1,M18/4000,IF(BH57=2,M18/3000,IF(BH57=3,M18/2000))))</f>
        <v/>
      </c>
      <c r="BI59" s="8"/>
      <c r="BJ59" s="546" t="str">
        <f>IF(BH59="","",BH59*11)</f>
        <v/>
      </c>
      <c r="BK59" s="546"/>
      <c r="BL59" s="8"/>
      <c r="BM59" s="8"/>
      <c r="BN59" s="340"/>
      <c r="BP59" s="540"/>
      <c r="BQ59" s="531" t="s">
        <v>21</v>
      </c>
      <c r="BR59" s="531"/>
      <c r="BS59" s="531"/>
      <c r="BT59" s="531"/>
      <c r="BU59" s="542"/>
      <c r="BV59" s="4"/>
      <c r="BW59" s="4"/>
      <c r="BX59" s="4"/>
      <c r="BY59" s="30"/>
      <c r="BZ59" s="525"/>
      <c r="CA59" s="557" t="s">
        <v>238</v>
      </c>
      <c r="CB59" s="527"/>
      <c r="CC59" s="334"/>
      <c r="CD59" s="2" t="str">
        <f>IF(CD58="","",IF(CD57=1,G29/4000,IF(CD57=2,G29/3000,IF(CD57=3,G29/2000))))</f>
        <v/>
      </c>
      <c r="CE59" s="8"/>
      <c r="CF59" s="546" t="str">
        <f>IF(CD59="","",CD59*11)</f>
        <v/>
      </c>
      <c r="CG59" s="546"/>
      <c r="CH59" s="8"/>
      <c r="CI59" s="8"/>
      <c r="CL59" s="540"/>
      <c r="CM59" s="531" t="s">
        <v>21</v>
      </c>
      <c r="CN59" s="531"/>
      <c r="CO59" s="531"/>
      <c r="CP59" s="531"/>
      <c r="CQ59" s="542"/>
      <c r="CR59" s="4"/>
      <c r="CS59" s="4"/>
      <c r="CT59" s="4"/>
      <c r="CU59" s="30"/>
      <c r="CV59" s="525"/>
      <c r="CW59" s="557" t="s">
        <v>238</v>
      </c>
      <c r="CX59" s="527"/>
      <c r="CY59" s="334"/>
      <c r="CZ59" s="2" t="str">
        <f>IF(CZ58="","",IF(CZ57=1,J29/4000,IF(CZ57=2,J29/3000,IF(CZ57=3,J29/2000))))</f>
        <v/>
      </c>
      <c r="DA59" s="8"/>
      <c r="DB59" s="546" t="str">
        <f>IF(CZ59="","",CZ59*11)</f>
        <v/>
      </c>
      <c r="DC59" s="546"/>
      <c r="DD59" s="8"/>
      <c r="DE59" s="8"/>
      <c r="DH59" s="540"/>
      <c r="DI59" s="531" t="s">
        <v>21</v>
      </c>
      <c r="DJ59" s="531"/>
      <c r="DK59" s="531"/>
      <c r="DL59" s="531"/>
      <c r="DM59" s="542"/>
      <c r="DN59" s="4"/>
      <c r="DO59" s="4"/>
      <c r="DP59" s="4"/>
      <c r="DQ59" s="30"/>
      <c r="DR59" s="525"/>
      <c r="DS59" s="557" t="s">
        <v>238</v>
      </c>
      <c r="DT59" s="527"/>
      <c r="DU59" s="334"/>
      <c r="DV59" s="2" t="str">
        <f>IF(DV58="","",IF(DV57=1,M29/4000,IF(DV57=2,M29/3000,IF(DV57=3,M29/2000))))</f>
        <v/>
      </c>
      <c r="DW59" s="8"/>
      <c r="DX59" s="546" t="str">
        <f>IF(DV59="","",DV59*11)</f>
        <v/>
      </c>
      <c r="DY59" s="546"/>
      <c r="DZ59" s="8"/>
      <c r="EA59" s="8"/>
    </row>
    <row r="60" spans="1:131" x14ac:dyDescent="0.2">
      <c r="A60" s="540"/>
      <c r="B60" s="8"/>
      <c r="C60" s="8"/>
      <c r="D60" s="84"/>
      <c r="E60" s="8"/>
      <c r="F60" s="8"/>
      <c r="G60" s="4"/>
      <c r="H60" s="4"/>
      <c r="I60" s="4"/>
      <c r="J60" s="30"/>
      <c r="K60" s="525"/>
      <c r="L60" s="8"/>
      <c r="M60" s="8"/>
      <c r="N60" s="8"/>
      <c r="O60" s="8"/>
      <c r="P60" s="8"/>
      <c r="Q60" s="8"/>
      <c r="R60" s="8"/>
      <c r="S60" s="8"/>
      <c r="T60" s="8"/>
      <c r="V60" s="344"/>
      <c r="W60" s="77"/>
      <c r="X60" s="366"/>
      <c r="Y60" s="366"/>
      <c r="Z60" s="540"/>
      <c r="AA60" s="8"/>
      <c r="AB60" s="8"/>
      <c r="AC60" s="193" t="str">
        <f>IF(D60="","",D60)</f>
        <v/>
      </c>
      <c r="AD60" s="8"/>
      <c r="AE60" s="8"/>
      <c r="AF60" s="4"/>
      <c r="AG60" s="4"/>
      <c r="AH60" s="4"/>
      <c r="AI60" s="30"/>
      <c r="AJ60" s="525"/>
      <c r="AK60" s="8"/>
      <c r="AL60" s="8"/>
      <c r="AM60" s="8"/>
      <c r="AN60" s="8"/>
      <c r="AO60" s="8"/>
      <c r="AP60" s="8"/>
      <c r="AQ60" s="8"/>
      <c r="AR60" s="8"/>
      <c r="AS60" s="344"/>
      <c r="AT60" s="344"/>
      <c r="AU60" s="540"/>
      <c r="AV60" s="8"/>
      <c r="AW60" s="8"/>
      <c r="AX60" s="193" t="str">
        <f>IF(D60="","",D60)</f>
        <v/>
      </c>
      <c r="AY60" s="8"/>
      <c r="AZ60" s="8"/>
      <c r="BA60" s="4"/>
      <c r="BB60" s="4"/>
      <c r="BC60" s="4"/>
      <c r="BD60" s="30"/>
      <c r="BE60" s="525"/>
      <c r="BF60" s="8"/>
      <c r="BG60" s="8"/>
      <c r="BH60" s="8"/>
      <c r="BI60" s="8"/>
      <c r="BJ60" s="8"/>
      <c r="BK60" s="8"/>
      <c r="BL60" s="8"/>
      <c r="BM60" s="8"/>
      <c r="BN60" s="340"/>
      <c r="BP60" s="540"/>
      <c r="BQ60" s="8"/>
      <c r="BR60" s="8"/>
      <c r="BS60" s="193" t="str">
        <f>AX60</f>
        <v/>
      </c>
      <c r="BT60" s="8"/>
      <c r="BU60" s="8"/>
      <c r="BV60" s="4"/>
      <c r="BW60" s="4"/>
      <c r="BX60" s="4"/>
      <c r="BY60" s="30"/>
      <c r="BZ60" s="525"/>
      <c r="CA60" s="8"/>
      <c r="CB60" s="8"/>
      <c r="CC60" s="8"/>
      <c r="CD60" s="8"/>
      <c r="CE60" s="8"/>
      <c r="CF60" s="8"/>
      <c r="CG60" s="8"/>
      <c r="CH60" s="8"/>
      <c r="CI60" s="8"/>
      <c r="CL60" s="540"/>
      <c r="CM60" s="8"/>
      <c r="CN60" s="8"/>
      <c r="CO60" s="193" t="str">
        <f>BS60</f>
        <v/>
      </c>
      <c r="CP60" s="8"/>
      <c r="CQ60" s="8"/>
      <c r="CR60" s="4"/>
      <c r="CS60" s="4"/>
      <c r="CT60" s="4"/>
      <c r="CU60" s="30"/>
      <c r="CV60" s="525"/>
      <c r="CW60" s="8"/>
      <c r="CX60" s="8"/>
      <c r="CY60" s="8"/>
      <c r="CZ60" s="8"/>
      <c r="DA60" s="8"/>
      <c r="DB60" s="8"/>
      <c r="DC60" s="8"/>
      <c r="DD60" s="8"/>
      <c r="DE60" s="8"/>
      <c r="DH60" s="540"/>
      <c r="DI60" s="8"/>
      <c r="DJ60" s="8"/>
      <c r="DK60" s="193" t="str">
        <f>CO60</f>
        <v/>
      </c>
      <c r="DL60" s="8"/>
      <c r="DM60" s="8"/>
      <c r="DN60" s="4"/>
      <c r="DO60" s="4"/>
      <c r="DP60" s="4"/>
      <c r="DQ60" s="30"/>
      <c r="DR60" s="525"/>
      <c r="DS60" s="8"/>
      <c r="DT60" s="8"/>
      <c r="DU60" s="8"/>
      <c r="DV60" s="8"/>
      <c r="DW60" s="8"/>
      <c r="DX60" s="8"/>
      <c r="DY60" s="8"/>
      <c r="DZ60" s="8"/>
      <c r="EA60" s="8"/>
    </row>
    <row r="61" spans="1:131" x14ac:dyDescent="0.2">
      <c r="A61" s="540"/>
      <c r="B61" s="542" t="s">
        <v>10</v>
      </c>
      <c r="C61" s="542"/>
      <c r="D61" s="312" t="str">
        <f>IF(D60="","",0.5)</f>
        <v/>
      </c>
      <c r="E61" s="4"/>
      <c r="F61" s="546" t="str">
        <f>IF(D61="","",D61*60)</f>
        <v/>
      </c>
      <c r="G61" s="546"/>
      <c r="H61" s="4"/>
      <c r="I61" s="4"/>
      <c r="J61" s="30"/>
      <c r="K61" s="525"/>
      <c r="L61" s="8"/>
      <c r="M61" s="8"/>
      <c r="N61" s="8"/>
      <c r="O61" s="8"/>
      <c r="P61" s="8"/>
      <c r="Q61" s="8"/>
      <c r="R61" s="8"/>
      <c r="S61" s="8"/>
      <c r="T61" s="8"/>
      <c r="V61" s="344"/>
      <c r="W61" s="77"/>
      <c r="X61" s="344"/>
      <c r="Y61" s="344"/>
      <c r="Z61" s="540"/>
      <c r="AA61" s="542" t="s">
        <v>10</v>
      </c>
      <c r="AB61" s="542"/>
      <c r="AC61" s="312" t="str">
        <f>IF(AC60="","",0.5)</f>
        <v/>
      </c>
      <c r="AD61" s="4"/>
      <c r="AE61" s="546" t="str">
        <f>IF(AC61="","",AC61*60)</f>
        <v/>
      </c>
      <c r="AF61" s="546"/>
      <c r="AG61" s="4"/>
      <c r="AH61" s="4"/>
      <c r="AI61" s="30"/>
      <c r="AJ61" s="525"/>
      <c r="AK61" s="8"/>
      <c r="AL61" s="8"/>
      <c r="AM61" s="8"/>
      <c r="AN61" s="8"/>
      <c r="AO61" s="8"/>
      <c r="AP61" s="8"/>
      <c r="AQ61" s="8"/>
      <c r="AR61" s="8"/>
      <c r="AS61" s="344"/>
      <c r="AT61" s="344"/>
      <c r="AU61" s="540"/>
      <c r="AV61" s="542" t="s">
        <v>10</v>
      </c>
      <c r="AW61" s="542"/>
      <c r="AX61" s="312" t="str">
        <f>IF(AX60="","",0.5)</f>
        <v/>
      </c>
      <c r="AY61" s="4"/>
      <c r="AZ61" s="546" t="str">
        <f>IF(AX61="","",AX61*60)</f>
        <v/>
      </c>
      <c r="BA61" s="546"/>
      <c r="BB61" s="4"/>
      <c r="BC61" s="4"/>
      <c r="BD61" s="30"/>
      <c r="BE61" s="525"/>
      <c r="BF61" s="8"/>
      <c r="BG61" s="8"/>
      <c r="BH61" s="8"/>
      <c r="BI61" s="8"/>
      <c r="BJ61" s="8"/>
      <c r="BK61" s="8"/>
      <c r="BL61" s="8"/>
      <c r="BM61" s="8"/>
      <c r="BN61" s="340"/>
      <c r="BP61" s="540"/>
      <c r="BQ61" s="542" t="s">
        <v>10</v>
      </c>
      <c r="BR61" s="542"/>
      <c r="BS61" s="312" t="str">
        <f>IF(BS60="","",0.5)</f>
        <v/>
      </c>
      <c r="BT61" s="4"/>
      <c r="BU61" s="546" t="str">
        <f>IF(BS61="","",BS61*60)</f>
        <v/>
      </c>
      <c r="BV61" s="546"/>
      <c r="BW61" s="4"/>
      <c r="BX61" s="4"/>
      <c r="BY61" s="30"/>
      <c r="BZ61" s="525"/>
      <c r="CA61" s="8"/>
      <c r="CB61" s="8"/>
      <c r="CC61" s="8"/>
      <c r="CD61" s="8"/>
      <c r="CE61" s="8"/>
      <c r="CF61" s="8"/>
      <c r="CG61" s="8"/>
      <c r="CH61" s="8"/>
      <c r="CI61" s="8"/>
      <c r="CL61" s="540"/>
      <c r="CM61" s="542" t="s">
        <v>10</v>
      </c>
      <c r="CN61" s="542"/>
      <c r="CO61" s="312" t="str">
        <f>IF(CO60="","",0.5)</f>
        <v/>
      </c>
      <c r="CP61" s="4"/>
      <c r="CQ61" s="546" t="str">
        <f>IF(CO61="","",CO61*60)</f>
        <v/>
      </c>
      <c r="CR61" s="546"/>
      <c r="CS61" s="4"/>
      <c r="CT61" s="4"/>
      <c r="CU61" s="30"/>
      <c r="CV61" s="525"/>
      <c r="CW61" s="8"/>
      <c r="CX61" s="8"/>
      <c r="CY61" s="8"/>
      <c r="CZ61" s="8"/>
      <c r="DA61" s="8"/>
      <c r="DB61" s="8"/>
      <c r="DC61" s="8"/>
      <c r="DD61" s="8"/>
      <c r="DE61" s="8"/>
      <c r="DH61" s="540"/>
      <c r="DI61" s="542" t="s">
        <v>10</v>
      </c>
      <c r="DJ61" s="542"/>
      <c r="DK61" s="312" t="str">
        <f>IF(DK60="","",0.5)</f>
        <v/>
      </c>
      <c r="DL61" s="4"/>
      <c r="DM61" s="546" t="str">
        <f>IF(DK61="","",DK61*60)</f>
        <v/>
      </c>
      <c r="DN61" s="546"/>
      <c r="DO61" s="4"/>
      <c r="DP61" s="4"/>
      <c r="DQ61" s="30"/>
      <c r="DR61" s="525"/>
      <c r="DS61" s="8"/>
      <c r="DT61" s="8"/>
      <c r="DU61" s="8"/>
      <c r="DV61" s="8"/>
      <c r="DW61" s="8"/>
      <c r="DX61" s="8"/>
      <c r="DY61" s="8"/>
      <c r="DZ61" s="8"/>
      <c r="EA61" s="8"/>
    </row>
    <row r="62" spans="1:131" x14ac:dyDescent="0.2">
      <c r="A62" s="540"/>
      <c r="B62" s="542" t="s">
        <v>11</v>
      </c>
      <c r="C62" s="542"/>
      <c r="D62" s="10" t="str">
        <f>IF(D60="","",IF(D60=1,H35/$U$12,IF(D60=2,(H35/$U$12)*2)))</f>
        <v/>
      </c>
      <c r="E62" s="4"/>
      <c r="F62" s="543" t="str">
        <f>IF(D62="","",D62*0.01)</f>
        <v/>
      </c>
      <c r="G62" s="543"/>
      <c r="H62" s="4"/>
      <c r="I62" s="4"/>
      <c r="J62" s="30"/>
      <c r="K62" s="525"/>
      <c r="L62" s="531"/>
      <c r="M62" s="531"/>
      <c r="N62" s="333"/>
      <c r="O62" s="88"/>
      <c r="P62" s="4"/>
      <c r="Q62" s="4"/>
      <c r="R62" s="4"/>
      <c r="S62" s="8"/>
      <c r="T62" s="8"/>
      <c r="V62" s="344"/>
      <c r="W62" s="77"/>
      <c r="X62" s="344"/>
      <c r="Y62" s="344"/>
      <c r="Z62" s="540"/>
      <c r="AA62" s="542" t="s">
        <v>11</v>
      </c>
      <c r="AB62" s="542"/>
      <c r="AC62" s="10" t="str">
        <f>IF(AC60="","",IF(AC60=1,AG35/U12,IF(AC60=2,(AG35/U12)*2)))</f>
        <v/>
      </c>
      <c r="AD62" s="4"/>
      <c r="AE62" s="543" t="str">
        <f>IF(AC62="","",AC62*0.01)</f>
        <v/>
      </c>
      <c r="AF62" s="543"/>
      <c r="AG62" s="4"/>
      <c r="AH62" s="4"/>
      <c r="AI62" s="30"/>
      <c r="AJ62" s="525"/>
      <c r="AK62" s="531" t="s">
        <v>19</v>
      </c>
      <c r="AL62" s="531"/>
      <c r="AM62" s="78" t="str">
        <f>IF(O62="","",O62)</f>
        <v/>
      </c>
      <c r="AN62" s="4"/>
      <c r="AO62" s="4"/>
      <c r="AP62" s="4"/>
      <c r="AQ62" s="8"/>
      <c r="AR62" s="8"/>
      <c r="AS62" s="344"/>
      <c r="AT62" s="344"/>
      <c r="AU62" s="540"/>
      <c r="AV62" s="542" t="s">
        <v>11</v>
      </c>
      <c r="AW62" s="542"/>
      <c r="AX62" s="10" t="str">
        <f>IF(AX60="","",IF(AX60=1,BB35/$U$12,IF(AX60=2,(BB35/$U$12)*2)))</f>
        <v/>
      </c>
      <c r="AY62" s="4"/>
      <c r="AZ62" s="543" t="str">
        <f>IF(AX62="","",AX62*0.01)</f>
        <v/>
      </c>
      <c r="BA62" s="543"/>
      <c r="BB62" s="4"/>
      <c r="BC62" s="4"/>
      <c r="BD62" s="30"/>
      <c r="BE62" s="525"/>
      <c r="BF62" s="531" t="s">
        <v>19</v>
      </c>
      <c r="BG62" s="531"/>
      <c r="BH62" s="78" t="str">
        <f>IF(O62="","",O62)</f>
        <v/>
      </c>
      <c r="BI62" s="4"/>
      <c r="BJ62" s="4"/>
      <c r="BK62" s="4"/>
      <c r="BL62" s="8"/>
      <c r="BM62" s="8"/>
      <c r="BN62" s="340"/>
      <c r="BP62" s="540"/>
      <c r="BQ62" s="542" t="s">
        <v>11</v>
      </c>
      <c r="BR62" s="542"/>
      <c r="BS62" s="10" t="str">
        <f>IF(BS60="","",IF(BS60=1,BW35/$U$12,IF(BS60=2,(BW35/$U$12)*2)))</f>
        <v/>
      </c>
      <c r="BT62" s="4"/>
      <c r="BU62" s="543" t="str">
        <f>IF(BS62="","",BS62*0.01)</f>
        <v/>
      </c>
      <c r="BV62" s="543"/>
      <c r="BW62" s="4"/>
      <c r="BX62" s="4"/>
      <c r="BY62" s="30"/>
      <c r="BZ62" s="525"/>
      <c r="CA62" s="531" t="s">
        <v>19</v>
      </c>
      <c r="CB62" s="531"/>
      <c r="CC62" s="333"/>
      <c r="CD62" s="78" t="str">
        <f>BH62</f>
        <v/>
      </c>
      <c r="CE62" s="4"/>
      <c r="CF62" s="4"/>
      <c r="CG62" s="4"/>
      <c r="CH62" s="8"/>
      <c r="CI62" s="8"/>
      <c r="CL62" s="540"/>
      <c r="CM62" s="542" t="s">
        <v>11</v>
      </c>
      <c r="CN62" s="542"/>
      <c r="CO62" s="10" t="str">
        <f>IF(CO60="","",IF(CO60=1,CS35/$U$12,IF(CO60=2,(CS35/$U$12)*2)))</f>
        <v/>
      </c>
      <c r="CP62" s="4"/>
      <c r="CQ62" s="543" t="str">
        <f>IF(CO62="","",CO62*0.01)</f>
        <v/>
      </c>
      <c r="CR62" s="543"/>
      <c r="CS62" s="4"/>
      <c r="CT62" s="4"/>
      <c r="CU62" s="30"/>
      <c r="CV62" s="525"/>
      <c r="CW62" s="531" t="s">
        <v>19</v>
      </c>
      <c r="CX62" s="531"/>
      <c r="CY62" s="333"/>
      <c r="CZ62" s="78" t="str">
        <f>CD62</f>
        <v/>
      </c>
      <c r="DA62" s="4"/>
      <c r="DB62" s="4"/>
      <c r="DC62" s="4"/>
      <c r="DD62" s="8"/>
      <c r="DE62" s="8"/>
      <c r="DH62" s="540"/>
      <c r="DI62" s="542" t="s">
        <v>11</v>
      </c>
      <c r="DJ62" s="542"/>
      <c r="DK62" s="10" t="str">
        <f>IF(DK60="","",IF(DK60=1,DO35/$U$12,IF(DK60=2,(DO35/$U$12)*2)))</f>
        <v/>
      </c>
      <c r="DL62" s="4"/>
      <c r="DM62" s="543" t="str">
        <f>IF(DK62="","",DK62*0.01)</f>
        <v/>
      </c>
      <c r="DN62" s="543"/>
      <c r="DO62" s="4"/>
      <c r="DP62" s="4"/>
      <c r="DQ62" s="30"/>
      <c r="DR62" s="525"/>
      <c r="DS62" s="531" t="s">
        <v>19</v>
      </c>
      <c r="DT62" s="531"/>
      <c r="DU62" s="333"/>
      <c r="DV62" s="78" t="str">
        <f>CZ62</f>
        <v/>
      </c>
      <c r="DW62" s="4"/>
      <c r="DX62" s="4"/>
      <c r="DY62" s="4"/>
      <c r="DZ62" s="8"/>
      <c r="EA62" s="8"/>
    </row>
    <row r="63" spans="1:131" x14ac:dyDescent="0.2">
      <c r="A63" s="540"/>
      <c r="B63" s="4"/>
      <c r="C63" s="4"/>
      <c r="D63" s="4"/>
      <c r="E63" s="4"/>
      <c r="F63" s="4"/>
      <c r="G63" s="4"/>
      <c r="H63" s="4"/>
      <c r="I63" s="4"/>
      <c r="J63" s="30"/>
      <c r="K63" s="525"/>
      <c r="L63" s="542" t="s">
        <v>10</v>
      </c>
      <c r="M63" s="542"/>
      <c r="N63" s="339"/>
      <c r="O63" s="3" t="str">
        <f>IF(O62="","",IF(O62=1,0.5,IF(O62=2,1,IF(O62=3,1.5))))</f>
        <v/>
      </c>
      <c r="P63" s="4"/>
      <c r="Q63" s="546" t="str">
        <f>IF(O63="","",O63*25)</f>
        <v/>
      </c>
      <c r="R63" s="546"/>
      <c r="S63" s="8"/>
      <c r="T63" s="8"/>
      <c r="V63" s="344"/>
      <c r="W63" s="77"/>
      <c r="X63" s="344"/>
      <c r="Y63" s="344"/>
      <c r="Z63" s="540"/>
      <c r="AA63" s="4"/>
      <c r="AB63" s="4"/>
      <c r="AC63" s="4"/>
      <c r="AD63" s="4"/>
      <c r="AE63" s="4"/>
      <c r="AF63" s="4"/>
      <c r="AG63" s="4"/>
      <c r="AH63" s="4"/>
      <c r="AI63" s="30"/>
      <c r="AJ63" s="525"/>
      <c r="AK63" s="542" t="s">
        <v>10</v>
      </c>
      <c r="AL63" s="542"/>
      <c r="AM63" s="3" t="str">
        <f>IF(AM62="","",IF(AM62=1,0.5,IF(AM62=2,1,IF(AM62=3,1.5))))</f>
        <v/>
      </c>
      <c r="AN63" s="4"/>
      <c r="AO63" s="546" t="str">
        <f>IF(AM63="","",AM63*25)</f>
        <v/>
      </c>
      <c r="AP63" s="546"/>
      <c r="AQ63" s="8"/>
      <c r="AR63" s="8"/>
      <c r="AS63" s="344"/>
      <c r="AT63" s="344"/>
      <c r="AU63" s="540"/>
      <c r="AV63" s="4"/>
      <c r="AW63" s="4"/>
      <c r="AX63" s="4"/>
      <c r="AY63" s="4"/>
      <c r="AZ63" s="4"/>
      <c r="BA63" s="4"/>
      <c r="BB63" s="4"/>
      <c r="BC63" s="4"/>
      <c r="BD63" s="30"/>
      <c r="BE63" s="525"/>
      <c r="BF63" s="542" t="s">
        <v>10</v>
      </c>
      <c r="BG63" s="542"/>
      <c r="BH63" s="3" t="str">
        <f>IF(BH62="","",IF(BH62=1,0.5,IF(BH62=2,1,IF(BH62=3,1.5))))</f>
        <v/>
      </c>
      <c r="BI63" s="4"/>
      <c r="BJ63" s="546" t="str">
        <f>IF(BH63="","",BH63*25)</f>
        <v/>
      </c>
      <c r="BK63" s="546"/>
      <c r="BL63" s="8"/>
      <c r="BM63" s="8"/>
      <c r="BN63" s="340"/>
      <c r="BP63" s="540"/>
      <c r="BQ63" s="4"/>
      <c r="BR63" s="4"/>
      <c r="BS63" s="4"/>
      <c r="BT63" s="4"/>
      <c r="BU63" s="4"/>
      <c r="BV63" s="4"/>
      <c r="BW63" s="4"/>
      <c r="BX63" s="4"/>
      <c r="BY63" s="30"/>
      <c r="BZ63" s="525"/>
      <c r="CA63" s="542" t="s">
        <v>10</v>
      </c>
      <c r="CB63" s="542"/>
      <c r="CC63" s="339"/>
      <c r="CD63" s="3" t="str">
        <f>IF(CD62="","",IF(CD62=1,0.5,IF(CD62=2,1,IF(CD62=3,1.5))))</f>
        <v/>
      </c>
      <c r="CE63" s="4"/>
      <c r="CF63" s="546" t="str">
        <f>IF(CD63="","",CD63*25)</f>
        <v/>
      </c>
      <c r="CG63" s="546"/>
      <c r="CH63" s="8"/>
      <c r="CI63" s="8"/>
      <c r="CL63" s="540"/>
      <c r="CM63" s="4"/>
      <c r="CN63" s="4"/>
      <c r="CO63" s="4"/>
      <c r="CP63" s="4"/>
      <c r="CQ63" s="4"/>
      <c r="CR63" s="4"/>
      <c r="CS63" s="4"/>
      <c r="CT63" s="4"/>
      <c r="CU63" s="30"/>
      <c r="CV63" s="525"/>
      <c r="CW63" s="542" t="s">
        <v>10</v>
      </c>
      <c r="CX63" s="542"/>
      <c r="CY63" s="339"/>
      <c r="CZ63" s="3" t="str">
        <f>IF(CZ62="","",IF(CZ62=1,0.5,IF(CZ62=2,1,IF(CZ62=3,1.5))))</f>
        <v/>
      </c>
      <c r="DA63" s="4"/>
      <c r="DB63" s="546" t="str">
        <f>IF(CZ63="","",CZ63*25)</f>
        <v/>
      </c>
      <c r="DC63" s="546"/>
      <c r="DD63" s="8"/>
      <c r="DE63" s="8"/>
      <c r="DH63" s="540"/>
      <c r="DI63" s="4"/>
      <c r="DJ63" s="4"/>
      <c r="DK63" s="4"/>
      <c r="DL63" s="4"/>
      <c r="DM63" s="4"/>
      <c r="DN63" s="4"/>
      <c r="DO63" s="4"/>
      <c r="DP63" s="4"/>
      <c r="DQ63" s="30"/>
      <c r="DR63" s="525"/>
      <c r="DS63" s="542" t="s">
        <v>10</v>
      </c>
      <c r="DT63" s="542"/>
      <c r="DU63" s="339"/>
      <c r="DV63" s="3" t="str">
        <f>IF(DV62="","",IF(DV62=1,0.5,IF(DV62=2,1,IF(DV62=3,1.5))))</f>
        <v/>
      </c>
      <c r="DW63" s="4"/>
      <c r="DX63" s="546" t="str">
        <f>IF(DV63="","",DV63*25)</f>
        <v/>
      </c>
      <c r="DY63" s="546"/>
      <c r="DZ63" s="8"/>
      <c r="EA63" s="8"/>
    </row>
    <row r="64" spans="1:131" x14ac:dyDescent="0.2">
      <c r="A64" s="540"/>
      <c r="B64" s="4"/>
      <c r="C64" s="4"/>
      <c r="D64" s="4"/>
      <c r="E64" s="4"/>
      <c r="F64" s="4"/>
      <c r="G64" s="4"/>
      <c r="H64" s="4"/>
      <c r="I64" s="4"/>
      <c r="J64" s="30"/>
      <c r="K64" s="525"/>
      <c r="L64" s="542" t="s">
        <v>20</v>
      </c>
      <c r="M64" s="542"/>
      <c r="N64" s="339"/>
      <c r="O64" s="3" t="str">
        <f>IF(O62="","",IF(O62=1,H35/5000,IF(O62=2,H35/3500,IF(O62=3,H35/5000)*2)))</f>
        <v/>
      </c>
      <c r="P64" s="4"/>
      <c r="Q64" s="543" t="str">
        <f>IF(O64="","",O64*25)</f>
        <v/>
      </c>
      <c r="R64" s="543"/>
      <c r="S64" s="8"/>
      <c r="T64" s="8"/>
      <c r="V64" s="344"/>
      <c r="W64" s="77"/>
      <c r="X64" s="344"/>
      <c r="Y64" s="344"/>
      <c r="Z64" s="540"/>
      <c r="AA64" s="4"/>
      <c r="AB64" s="4"/>
      <c r="AC64" s="4"/>
      <c r="AD64" s="4"/>
      <c r="AE64" s="4"/>
      <c r="AF64" s="4"/>
      <c r="AG64" s="4"/>
      <c r="AH64" s="4"/>
      <c r="AI64" s="30"/>
      <c r="AJ64" s="525"/>
      <c r="AK64" s="542" t="s">
        <v>20</v>
      </c>
      <c r="AL64" s="542"/>
      <c r="AM64" s="3" t="str">
        <f>IF(AM62="","",IF(AM62=1,AG35/5000,IF(AM62=2,AG35/3500,IF(AM62=3,AG35/5000)*2)))</f>
        <v/>
      </c>
      <c r="AN64" s="4"/>
      <c r="AO64" s="543" t="str">
        <f>IF(AM64="","",AM64*25)</f>
        <v/>
      </c>
      <c r="AP64" s="543"/>
      <c r="AQ64" s="8"/>
      <c r="AR64" s="8"/>
      <c r="AS64" s="344"/>
      <c r="AT64" s="344"/>
      <c r="AU64" s="540"/>
      <c r="AV64" s="4"/>
      <c r="AW64" s="4"/>
      <c r="AX64" s="4"/>
      <c r="AY64" s="4"/>
      <c r="AZ64" s="4"/>
      <c r="BA64" s="4"/>
      <c r="BB64" s="4"/>
      <c r="BC64" s="4"/>
      <c r="BD64" s="30"/>
      <c r="BE64" s="525"/>
      <c r="BF64" s="542" t="s">
        <v>20</v>
      </c>
      <c r="BG64" s="542"/>
      <c r="BH64" s="3" t="str">
        <f>IF(BH62="","",IF(BH62=1,BB35/5000,IF(BH62=2,BB35/3500,IF(BH62=3,BB35/5000)*2)))</f>
        <v/>
      </c>
      <c r="BI64" s="4"/>
      <c r="BJ64" s="543" t="str">
        <f>IF(BH64="","",BH64*25)</f>
        <v/>
      </c>
      <c r="BK64" s="543"/>
      <c r="BL64" s="8"/>
      <c r="BM64" s="8"/>
      <c r="BN64" s="340"/>
      <c r="BP64" s="540"/>
      <c r="BQ64" s="4"/>
      <c r="BR64" s="4"/>
      <c r="BS64" s="4"/>
      <c r="BT64" s="4"/>
      <c r="BU64" s="4"/>
      <c r="BV64" s="4"/>
      <c r="BW64" s="4"/>
      <c r="BX64" s="4"/>
      <c r="BY64" s="30"/>
      <c r="BZ64" s="525"/>
      <c r="CA64" s="542" t="s">
        <v>20</v>
      </c>
      <c r="CB64" s="542"/>
      <c r="CC64" s="339"/>
      <c r="CD64" s="3" t="str">
        <f>IF(CD62="","",IF(CD62=1,BW35/5000,IF(CD62=2,BW35/3500,IF(CD62=3,BW35/5000)*2)))</f>
        <v/>
      </c>
      <c r="CE64" s="4"/>
      <c r="CF64" s="543" t="str">
        <f>IF(CD64="","",CD64*25)</f>
        <v/>
      </c>
      <c r="CG64" s="543"/>
      <c r="CH64" s="8"/>
      <c r="CI64" s="8"/>
      <c r="CL64" s="540"/>
      <c r="CM64" s="4"/>
      <c r="CN64" s="4"/>
      <c r="CO64" s="4"/>
      <c r="CP64" s="4"/>
      <c r="CQ64" s="4"/>
      <c r="CR64" s="4"/>
      <c r="CS64" s="4"/>
      <c r="CT64" s="4"/>
      <c r="CU64" s="30"/>
      <c r="CV64" s="525"/>
      <c r="CW64" s="542" t="s">
        <v>20</v>
      </c>
      <c r="CX64" s="542"/>
      <c r="CY64" s="339"/>
      <c r="CZ64" s="3" t="str">
        <f>IF(CZ62="","",IF(CZ62=1,CS35/5000,IF(CZ62=2,CS35/3500,IF(CZ62=3,CS35/5000)*2)))</f>
        <v/>
      </c>
      <c r="DA64" s="4"/>
      <c r="DB64" s="543" t="str">
        <f>IF(CZ64="","",CZ64*25)</f>
        <v/>
      </c>
      <c r="DC64" s="543"/>
      <c r="DD64" s="8"/>
      <c r="DE64" s="8"/>
      <c r="DH64" s="540"/>
      <c r="DI64" s="4"/>
      <c r="DJ64" s="4"/>
      <c r="DK64" s="4"/>
      <c r="DL64" s="4"/>
      <c r="DM64" s="4"/>
      <c r="DN64" s="4"/>
      <c r="DO64" s="4"/>
      <c r="DP64" s="4"/>
      <c r="DQ64" s="30"/>
      <c r="DR64" s="525"/>
      <c r="DS64" s="542" t="s">
        <v>20</v>
      </c>
      <c r="DT64" s="542"/>
      <c r="DU64" s="339"/>
      <c r="DV64" s="3" t="str">
        <f>IF(DV62="","",IF(DV62=1,DO35/5000,IF(DV62=2,DO35/3500,IF(DV62=3,DO35/5000)*2)))</f>
        <v/>
      </c>
      <c r="DW64" s="4"/>
      <c r="DX64" s="543" t="str">
        <f>IF(DV64="","",DV64*25)</f>
        <v/>
      </c>
      <c r="DY64" s="543"/>
      <c r="DZ64" s="8"/>
      <c r="EA64" s="8"/>
    </row>
    <row r="65" spans="1:131" ht="15" x14ac:dyDescent="0.2">
      <c r="A65" s="540"/>
      <c r="B65" s="558" t="s">
        <v>262</v>
      </c>
      <c r="C65" s="542"/>
      <c r="D65" s="87"/>
      <c r="E65" s="4"/>
      <c r="F65" s="4"/>
      <c r="G65" s="4"/>
      <c r="H65" s="4"/>
      <c r="I65" s="4"/>
      <c r="J65" s="30"/>
      <c r="K65" s="525"/>
      <c r="L65" s="557" t="s">
        <v>239</v>
      </c>
      <c r="M65" s="527"/>
      <c r="N65" s="334"/>
      <c r="O65" s="3" t="str">
        <f>O64</f>
        <v/>
      </c>
      <c r="P65" s="8"/>
      <c r="Q65" s="543" t="str">
        <f>IF(O65="","",O65*11)</f>
        <v/>
      </c>
      <c r="R65" s="543"/>
      <c r="S65" s="8"/>
      <c r="T65" s="8"/>
      <c r="V65" s="344"/>
      <c r="W65" s="77"/>
      <c r="X65" s="343"/>
      <c r="Y65" s="344"/>
      <c r="Z65" s="540"/>
      <c r="AA65" s="558" t="s">
        <v>204</v>
      </c>
      <c r="AB65" s="542"/>
      <c r="AC65" s="195" t="str">
        <f>IF(D65="","",D65)</f>
        <v/>
      </c>
      <c r="AD65" s="4"/>
      <c r="AE65" s="4"/>
      <c r="AF65" s="4"/>
      <c r="AG65" s="4"/>
      <c r="AH65" s="4"/>
      <c r="AI65" s="30"/>
      <c r="AJ65" s="525"/>
      <c r="AK65" s="557" t="s">
        <v>239</v>
      </c>
      <c r="AL65" s="527"/>
      <c r="AM65" s="3" t="str">
        <f>AM64</f>
        <v/>
      </c>
      <c r="AN65" s="8"/>
      <c r="AO65" s="543" t="str">
        <f>IF(AM65="","",AM65*11)</f>
        <v/>
      </c>
      <c r="AP65" s="543"/>
      <c r="AQ65" s="8"/>
      <c r="AR65" s="8"/>
      <c r="AS65" s="344"/>
      <c r="AT65" s="344"/>
      <c r="AU65" s="540"/>
      <c r="AV65" s="558" t="s">
        <v>204</v>
      </c>
      <c r="AW65" s="542"/>
      <c r="AX65" s="195" t="str">
        <f>IF(D65="","",D65)</f>
        <v/>
      </c>
      <c r="AY65" s="4"/>
      <c r="AZ65" s="4"/>
      <c r="BA65" s="4"/>
      <c r="BB65" s="4"/>
      <c r="BC65" s="4"/>
      <c r="BD65" s="30"/>
      <c r="BE65" s="525"/>
      <c r="BF65" s="557" t="s">
        <v>239</v>
      </c>
      <c r="BG65" s="527"/>
      <c r="BH65" s="3" t="str">
        <f>BH64</f>
        <v/>
      </c>
      <c r="BI65" s="8"/>
      <c r="BJ65" s="543" t="str">
        <f>IF(BH65="","",BH65*11)</f>
        <v/>
      </c>
      <c r="BK65" s="543"/>
      <c r="BL65" s="8"/>
      <c r="BM65" s="8"/>
      <c r="BN65" s="340"/>
      <c r="BP65" s="540"/>
      <c r="BQ65" s="558" t="s">
        <v>204</v>
      </c>
      <c r="BR65" s="542"/>
      <c r="BS65" s="195" t="str">
        <f>AX65</f>
        <v/>
      </c>
      <c r="BT65" s="4"/>
      <c r="BU65" s="4"/>
      <c r="BV65" s="4"/>
      <c r="BW65" s="4"/>
      <c r="BX65" s="4"/>
      <c r="BY65" s="30"/>
      <c r="BZ65" s="525"/>
      <c r="CA65" s="557" t="s">
        <v>239</v>
      </c>
      <c r="CB65" s="527"/>
      <c r="CC65" s="334"/>
      <c r="CD65" s="3" t="str">
        <f>CD64</f>
        <v/>
      </c>
      <c r="CE65" s="8"/>
      <c r="CF65" s="543" t="str">
        <f>IF(CD65="","",CD65*11)</f>
        <v/>
      </c>
      <c r="CG65" s="543"/>
      <c r="CH65" s="8"/>
      <c r="CI65" s="8"/>
      <c r="CL65" s="540"/>
      <c r="CM65" s="558" t="s">
        <v>204</v>
      </c>
      <c r="CN65" s="542"/>
      <c r="CO65" s="195" t="str">
        <f>BS65</f>
        <v/>
      </c>
      <c r="CP65" s="4"/>
      <c r="CQ65" s="4"/>
      <c r="CR65" s="4"/>
      <c r="CS65" s="4"/>
      <c r="CT65" s="4"/>
      <c r="CU65" s="30"/>
      <c r="CV65" s="525"/>
      <c r="CW65" s="557" t="s">
        <v>239</v>
      </c>
      <c r="CX65" s="527"/>
      <c r="CY65" s="334"/>
      <c r="CZ65" s="3" t="str">
        <f>CZ64</f>
        <v/>
      </c>
      <c r="DA65" s="8"/>
      <c r="DB65" s="543" t="str">
        <f>IF(CZ65="","",CZ65*11)</f>
        <v/>
      </c>
      <c r="DC65" s="543"/>
      <c r="DD65" s="8"/>
      <c r="DE65" s="8"/>
      <c r="DH65" s="540"/>
      <c r="DI65" s="558" t="s">
        <v>204</v>
      </c>
      <c r="DJ65" s="542"/>
      <c r="DK65" s="195" t="str">
        <f>CO65</f>
        <v/>
      </c>
      <c r="DL65" s="4"/>
      <c r="DM65" s="4"/>
      <c r="DN65" s="4"/>
      <c r="DO65" s="4"/>
      <c r="DP65" s="4"/>
      <c r="DQ65" s="30"/>
      <c r="DR65" s="525"/>
      <c r="DS65" s="557" t="s">
        <v>239</v>
      </c>
      <c r="DT65" s="527"/>
      <c r="DU65" s="334"/>
      <c r="DV65" s="3" t="str">
        <f>DV64</f>
        <v/>
      </c>
      <c r="DW65" s="8"/>
      <c r="DX65" s="543" t="str">
        <f>IF(DV65="","",DV65*11)</f>
        <v/>
      </c>
      <c r="DY65" s="543"/>
      <c r="DZ65" s="8"/>
      <c r="EA65" s="8"/>
    </row>
    <row r="66" spans="1:131" x14ac:dyDescent="0.2">
      <c r="A66" s="540"/>
      <c r="B66" s="542" t="s">
        <v>10</v>
      </c>
      <c r="C66" s="542"/>
      <c r="D66" s="86"/>
      <c r="E66" s="4"/>
      <c r="F66" s="546" t="str">
        <f>IF(D66="","",D66*21)</f>
        <v/>
      </c>
      <c r="G66" s="546"/>
      <c r="H66" s="4"/>
      <c r="I66" s="4"/>
      <c r="J66" s="30"/>
      <c r="K66" s="525"/>
      <c r="L66" s="8"/>
      <c r="M66" s="8"/>
      <c r="N66" s="8"/>
      <c r="O66" s="8"/>
      <c r="P66" s="8"/>
      <c r="Q66" s="8"/>
      <c r="R66" s="8"/>
      <c r="S66" s="8"/>
      <c r="T66" s="8"/>
      <c r="V66" s="344"/>
      <c r="W66" s="77"/>
      <c r="X66" s="344"/>
      <c r="Y66" s="344"/>
      <c r="Z66" s="540"/>
      <c r="AA66" s="542" t="s">
        <v>10</v>
      </c>
      <c r="AB66" s="542"/>
      <c r="AC66" s="196" t="str">
        <f>IF(D66="","",D66)</f>
        <v/>
      </c>
      <c r="AD66" s="4"/>
      <c r="AE66" s="546" t="str">
        <f>IF(AC66="","",AC66*21)</f>
        <v/>
      </c>
      <c r="AF66" s="546"/>
      <c r="AG66" s="4"/>
      <c r="AH66" s="4"/>
      <c r="AI66" s="30"/>
      <c r="AJ66" s="525"/>
      <c r="AK66" s="8"/>
      <c r="AL66" s="8"/>
      <c r="AM66" s="8"/>
      <c r="AN66" s="8"/>
      <c r="AO66" s="8"/>
      <c r="AP66" s="8"/>
      <c r="AQ66" s="8"/>
      <c r="AR66" s="8"/>
      <c r="AS66" s="344"/>
      <c r="AT66" s="344"/>
      <c r="AU66" s="540"/>
      <c r="AV66" s="542" t="s">
        <v>10</v>
      </c>
      <c r="AW66" s="542"/>
      <c r="AX66" s="196" t="str">
        <f>IF(D66="","",D66)</f>
        <v/>
      </c>
      <c r="AY66" s="4"/>
      <c r="AZ66" s="546" t="str">
        <f>IF(AX66="","",AX66*21)</f>
        <v/>
      </c>
      <c r="BA66" s="546"/>
      <c r="BB66" s="4"/>
      <c r="BC66" s="4"/>
      <c r="BD66" s="30"/>
      <c r="BE66" s="525"/>
      <c r="BF66" s="8"/>
      <c r="BG66" s="8"/>
      <c r="BH66" s="8"/>
      <c r="BI66" s="8"/>
      <c r="BJ66" s="8"/>
      <c r="BK66" s="8"/>
      <c r="BL66" s="8"/>
      <c r="BM66" s="8"/>
      <c r="BN66" s="340"/>
      <c r="BP66" s="540"/>
      <c r="BQ66" s="542" t="s">
        <v>10</v>
      </c>
      <c r="BR66" s="542"/>
      <c r="BS66" s="194" t="str">
        <f>AX66</f>
        <v/>
      </c>
      <c r="BT66" s="4"/>
      <c r="BU66" s="546" t="str">
        <f>IF(BS66="","",BS66*21)</f>
        <v/>
      </c>
      <c r="BV66" s="546"/>
      <c r="BW66" s="4"/>
      <c r="BX66" s="4"/>
      <c r="BY66" s="30"/>
      <c r="BZ66" s="525"/>
      <c r="CA66" s="8"/>
      <c r="CB66" s="8"/>
      <c r="CC66" s="8"/>
      <c r="CD66" s="8"/>
      <c r="CE66" s="8"/>
      <c r="CF66" s="8"/>
      <c r="CG66" s="8"/>
      <c r="CH66" s="8"/>
      <c r="CI66" s="8"/>
      <c r="CL66" s="540"/>
      <c r="CM66" s="542" t="s">
        <v>10</v>
      </c>
      <c r="CN66" s="542"/>
      <c r="CO66" s="194" t="str">
        <f>BS66</f>
        <v/>
      </c>
      <c r="CP66" s="4"/>
      <c r="CQ66" s="546" t="str">
        <f>IF(CO66="","",CO66*21)</f>
        <v/>
      </c>
      <c r="CR66" s="546"/>
      <c r="CS66" s="4"/>
      <c r="CT66" s="4"/>
      <c r="CU66" s="30"/>
      <c r="CV66" s="525"/>
      <c r="CW66" s="8"/>
      <c r="CX66" s="8"/>
      <c r="CY66" s="8"/>
      <c r="CZ66" s="8"/>
      <c r="DA66" s="8"/>
      <c r="DB66" s="8"/>
      <c r="DC66" s="8"/>
      <c r="DD66" s="8"/>
      <c r="DE66" s="8"/>
      <c r="DH66" s="540"/>
      <c r="DI66" s="542" t="s">
        <v>10</v>
      </c>
      <c r="DJ66" s="542"/>
      <c r="DK66" s="194" t="str">
        <f>CO66</f>
        <v/>
      </c>
      <c r="DL66" s="4"/>
      <c r="DM66" s="546" t="str">
        <f>IF(DK66="","",DK66*21)</f>
        <v/>
      </c>
      <c r="DN66" s="546"/>
      <c r="DO66" s="4"/>
      <c r="DP66" s="4"/>
      <c r="DQ66" s="30"/>
      <c r="DR66" s="525"/>
      <c r="DS66" s="8"/>
      <c r="DT66" s="8"/>
      <c r="DU66" s="8"/>
      <c r="DV66" s="8"/>
      <c r="DW66" s="8"/>
      <c r="DX66" s="8"/>
      <c r="DY66" s="8"/>
      <c r="DZ66" s="8"/>
      <c r="EA66" s="8"/>
    </row>
    <row r="67" spans="1:131" x14ac:dyDescent="0.2">
      <c r="A67" s="540"/>
      <c r="B67" s="542" t="s">
        <v>11</v>
      </c>
      <c r="C67" s="542"/>
      <c r="D67" s="3" t="str">
        <f>IF(D65="","",IF(D65=1,(H35/$U$12)/3000,IF(D65=2,(H35/$U$12*2)/3000,IF(D65=3,(H35/$U$12*2)/3000))))</f>
        <v/>
      </c>
      <c r="E67" s="4"/>
      <c r="F67" s="543" t="str">
        <f>IF(D67="","",D67*21)</f>
        <v/>
      </c>
      <c r="G67" s="543"/>
      <c r="H67" s="4"/>
      <c r="I67" s="4"/>
      <c r="J67" s="30"/>
      <c r="K67" s="525"/>
      <c r="L67" s="8"/>
      <c r="M67" s="8"/>
      <c r="N67" s="8"/>
      <c r="O67" s="8"/>
      <c r="P67" s="8"/>
      <c r="Q67" s="8"/>
      <c r="R67" s="8"/>
      <c r="S67" s="8"/>
      <c r="T67" s="8"/>
      <c r="V67" s="344"/>
      <c r="W67" s="77"/>
      <c r="X67" s="344"/>
      <c r="Y67" s="344"/>
      <c r="Z67" s="540"/>
      <c r="AA67" s="542" t="s">
        <v>11</v>
      </c>
      <c r="AB67" s="542"/>
      <c r="AC67" s="3" t="str">
        <f>IF(AC65="","",IF(AC65=1,(AG35/$U$12)/3000,IF(AC65=2,(AG35/$U$12*2)/3000,IF(AC65=3,(AG35/$U$12*2)/3000))))</f>
        <v/>
      </c>
      <c r="AD67" s="4"/>
      <c r="AE67" s="543" t="str">
        <f>IF(AC67="","",AC67*21)</f>
        <v/>
      </c>
      <c r="AF67" s="543"/>
      <c r="AG67" s="4"/>
      <c r="AH67" s="4"/>
      <c r="AI67" s="30"/>
      <c r="AJ67" s="525"/>
      <c r="AK67" s="8"/>
      <c r="AL67" s="8"/>
      <c r="AM67" s="8"/>
      <c r="AN67" s="8"/>
      <c r="AO67" s="8"/>
      <c r="AP67" s="8"/>
      <c r="AQ67" s="8"/>
      <c r="AR67" s="8"/>
      <c r="AS67" s="344"/>
      <c r="AT67" s="344"/>
      <c r="AU67" s="540"/>
      <c r="AV67" s="542" t="s">
        <v>11</v>
      </c>
      <c r="AW67" s="542"/>
      <c r="AX67" s="3" t="str">
        <f>IF(AX65="","",IF(AX65=1,(BB35/$U$12)/3000,IF(AX65=2,(BB35/$U$12*2)/3000,IF(AX65=3,(BB35/$U$12*2)/3000))))</f>
        <v/>
      </c>
      <c r="AY67" s="4"/>
      <c r="AZ67" s="543" t="str">
        <f>IF(AX67="","",AX67*21)</f>
        <v/>
      </c>
      <c r="BA67" s="543"/>
      <c r="BB67" s="4"/>
      <c r="BC67" s="4"/>
      <c r="BD67" s="30"/>
      <c r="BE67" s="525"/>
      <c r="BF67" s="8"/>
      <c r="BG67" s="8"/>
      <c r="BH67" s="8"/>
      <c r="BI67" s="8"/>
      <c r="BJ67" s="8"/>
      <c r="BK67" s="8"/>
      <c r="BL67" s="8"/>
      <c r="BM67" s="8"/>
      <c r="BN67" s="340"/>
      <c r="BP67" s="540"/>
      <c r="BQ67" s="542" t="s">
        <v>11</v>
      </c>
      <c r="BR67" s="542"/>
      <c r="BS67" s="3" t="str">
        <f>IF(BS65="","",IF(BS65=1,(BW35/$U$12)/3000,IF(BS65=2,(BW35/$U$12*2)/3000,IF(BS65=3,(BW35/$U$12*2)/3000))))</f>
        <v/>
      </c>
      <c r="BT67" s="4"/>
      <c r="BU67" s="543" t="str">
        <f>IF(BS67="","",BS67*21)</f>
        <v/>
      </c>
      <c r="BV67" s="543"/>
      <c r="BW67" s="4"/>
      <c r="BX67" s="4"/>
      <c r="BY67" s="30"/>
      <c r="BZ67" s="525"/>
      <c r="CA67" s="8"/>
      <c r="CB67" s="8"/>
      <c r="CC67" s="8"/>
      <c r="CD67" s="8"/>
      <c r="CE67" s="8"/>
      <c r="CF67" s="8"/>
      <c r="CG67" s="8"/>
      <c r="CH67" s="8"/>
      <c r="CI67" s="8"/>
      <c r="CL67" s="540"/>
      <c r="CM67" s="542" t="s">
        <v>11</v>
      </c>
      <c r="CN67" s="542"/>
      <c r="CO67" s="3" t="str">
        <f>IF(CO65="","",IF(CO65=1,(CS35/$U$12)/3000,IF(CO65=2,(CS35/$U$12*2)/3000,IF(CO65=3,(CS35/$U$12*2)/3000))))</f>
        <v/>
      </c>
      <c r="CP67" s="4"/>
      <c r="CQ67" s="543" t="str">
        <f>IF(CO67="","",CO67*21)</f>
        <v/>
      </c>
      <c r="CR67" s="543"/>
      <c r="CS67" s="4"/>
      <c r="CT67" s="4"/>
      <c r="CU67" s="30"/>
      <c r="CV67" s="525"/>
      <c r="CW67" s="8"/>
      <c r="CX67" s="8"/>
      <c r="CY67" s="8"/>
      <c r="CZ67" s="8"/>
      <c r="DA67" s="8"/>
      <c r="DB67" s="8"/>
      <c r="DC67" s="8"/>
      <c r="DD67" s="8"/>
      <c r="DE67" s="8"/>
      <c r="DH67" s="540"/>
      <c r="DI67" s="542" t="s">
        <v>11</v>
      </c>
      <c r="DJ67" s="542"/>
      <c r="DK67" s="3" t="str">
        <f>IF(DK65="","",IF(DK65=1,(DO35/$U$12)/3000,IF(DK65=2,(DO35/$U$12*2)/3000,IF(DK65=3,(DO35/$U$12*2)/3000))))</f>
        <v/>
      </c>
      <c r="DL67" s="4"/>
      <c r="DM67" s="543" t="str">
        <f>IF(DK67="","",DK67*21)</f>
        <v/>
      </c>
      <c r="DN67" s="543"/>
      <c r="DO67" s="4"/>
      <c r="DP67" s="4"/>
      <c r="DQ67" s="30"/>
      <c r="DR67" s="525"/>
      <c r="DS67" s="8"/>
      <c r="DT67" s="8"/>
      <c r="DU67" s="8"/>
      <c r="DV67" s="8"/>
      <c r="DW67" s="8"/>
      <c r="DX67" s="8"/>
      <c r="DY67" s="8"/>
      <c r="DZ67" s="8"/>
      <c r="EA67" s="8"/>
    </row>
    <row r="68" spans="1:131" x14ac:dyDescent="0.2">
      <c r="A68" s="540"/>
      <c r="B68" s="4"/>
      <c r="C68" s="4"/>
      <c r="D68" s="4"/>
      <c r="E68" s="4"/>
      <c r="F68" s="4"/>
      <c r="G68" s="4"/>
      <c r="H68" s="4"/>
      <c r="I68" s="4"/>
      <c r="J68" s="30"/>
      <c r="K68" s="525"/>
      <c r="L68" s="333"/>
      <c r="M68" s="333"/>
      <c r="N68" s="333"/>
      <c r="O68" s="333"/>
      <c r="P68" s="333"/>
      <c r="Q68" s="4"/>
      <c r="R68" s="4"/>
      <c r="S68" s="4"/>
      <c r="T68" s="4"/>
      <c r="V68" s="344"/>
      <c r="W68" s="77"/>
      <c r="X68" s="344"/>
      <c r="Y68" s="344"/>
      <c r="Z68" s="540"/>
      <c r="AA68" s="4"/>
      <c r="AB68" s="4"/>
      <c r="AC68" s="4"/>
      <c r="AD68" s="4"/>
      <c r="AE68" s="4"/>
      <c r="AF68" s="4"/>
      <c r="AG68" s="4"/>
      <c r="AH68" s="4"/>
      <c r="AI68" s="30"/>
      <c r="AJ68" s="525"/>
      <c r="AK68" s="531" t="s">
        <v>22</v>
      </c>
      <c r="AL68" s="531"/>
      <c r="AM68" s="531"/>
      <c r="AN68" s="531"/>
      <c r="AO68" s="4"/>
      <c r="AP68" s="4"/>
      <c r="AQ68" s="4"/>
      <c r="AR68" s="4"/>
      <c r="AS68" s="344"/>
      <c r="AT68" s="344"/>
      <c r="AU68" s="540"/>
      <c r="AV68" s="4"/>
      <c r="AW68" s="4"/>
      <c r="AX68" s="4"/>
      <c r="AY68" s="4"/>
      <c r="AZ68" s="4"/>
      <c r="BA68" s="4"/>
      <c r="BB68" s="4"/>
      <c r="BC68" s="4"/>
      <c r="BD68" s="30"/>
      <c r="BE68" s="525"/>
      <c r="BF68" s="531" t="s">
        <v>22</v>
      </c>
      <c r="BG68" s="531"/>
      <c r="BH68" s="531"/>
      <c r="BI68" s="531"/>
      <c r="BJ68" s="4"/>
      <c r="BK68" s="4"/>
      <c r="BL68" s="4"/>
      <c r="BM68" s="4"/>
      <c r="BN68" s="340"/>
      <c r="BP68" s="540"/>
      <c r="BQ68" s="4"/>
      <c r="BR68" s="4"/>
      <c r="BS68" s="4"/>
      <c r="BT68" s="4"/>
      <c r="BU68" s="4"/>
      <c r="BV68" s="4"/>
      <c r="BW68" s="4"/>
      <c r="BX68" s="4"/>
      <c r="BY68" s="30"/>
      <c r="BZ68" s="525"/>
      <c r="CA68" s="531" t="s">
        <v>22</v>
      </c>
      <c r="CB68" s="531"/>
      <c r="CC68" s="531"/>
      <c r="CD68" s="531"/>
      <c r="CE68" s="531"/>
      <c r="CF68" s="4"/>
      <c r="CG68" s="4"/>
      <c r="CH68" s="4"/>
      <c r="CI68" s="4"/>
      <c r="CL68" s="540"/>
      <c r="CM68" s="4"/>
      <c r="CN68" s="4"/>
      <c r="CO68" s="4"/>
      <c r="CP68" s="4"/>
      <c r="CQ68" s="4"/>
      <c r="CR68" s="4"/>
      <c r="CS68" s="4"/>
      <c r="CT68" s="4"/>
      <c r="CU68" s="30"/>
      <c r="CV68" s="525"/>
      <c r="CW68" s="531" t="s">
        <v>22</v>
      </c>
      <c r="CX68" s="531"/>
      <c r="CY68" s="531"/>
      <c r="CZ68" s="531"/>
      <c r="DA68" s="531"/>
      <c r="DB68" s="4"/>
      <c r="DC68" s="4"/>
      <c r="DD68" s="4"/>
      <c r="DE68" s="4"/>
      <c r="DH68" s="540"/>
      <c r="DI68" s="4"/>
      <c r="DJ68" s="4"/>
      <c r="DK68" s="4"/>
      <c r="DL68" s="4"/>
      <c r="DM68" s="4"/>
      <c r="DN68" s="4"/>
      <c r="DO68" s="4"/>
      <c r="DP68" s="4"/>
      <c r="DQ68" s="30"/>
      <c r="DR68" s="525"/>
      <c r="DS68" s="531" t="s">
        <v>22</v>
      </c>
      <c r="DT68" s="531"/>
      <c r="DU68" s="531"/>
      <c r="DV68" s="531"/>
      <c r="DW68" s="531"/>
      <c r="DX68" s="4"/>
      <c r="DY68" s="4"/>
      <c r="DZ68" s="4"/>
      <c r="EA68" s="4"/>
    </row>
    <row r="69" spans="1:131" x14ac:dyDescent="0.2">
      <c r="A69" s="540"/>
      <c r="B69" s="4"/>
      <c r="C69" s="4"/>
      <c r="D69" s="4"/>
      <c r="E69" s="4"/>
      <c r="F69" s="4"/>
      <c r="G69" s="4"/>
      <c r="H69" s="4"/>
      <c r="I69" s="4"/>
      <c r="J69" s="30"/>
      <c r="K69" s="525"/>
      <c r="L69" s="4"/>
      <c r="M69" s="4"/>
      <c r="N69" s="4"/>
      <c r="O69" s="89"/>
      <c r="P69" s="4"/>
      <c r="Q69" s="546" t="str">
        <f>IF(O69="","",O69*17)</f>
        <v/>
      </c>
      <c r="R69" s="546"/>
      <c r="S69" s="4"/>
      <c r="T69" s="4"/>
      <c r="V69" s="344"/>
      <c r="W69" s="77"/>
      <c r="X69" s="344"/>
      <c r="Y69" s="344"/>
      <c r="Z69" s="540"/>
      <c r="AA69" s="4"/>
      <c r="AB69" s="4"/>
      <c r="AC69" s="4"/>
      <c r="AD69" s="4"/>
      <c r="AE69" s="4"/>
      <c r="AF69" s="4"/>
      <c r="AG69" s="4"/>
      <c r="AH69" s="4"/>
      <c r="AI69" s="30"/>
      <c r="AJ69" s="525"/>
      <c r="AK69" s="4"/>
      <c r="AL69" s="4"/>
      <c r="AM69" s="67"/>
      <c r="AN69" s="4"/>
      <c r="AO69" s="546" t="str">
        <f>IF(AM69="","",AM69*17)</f>
        <v/>
      </c>
      <c r="AP69" s="546"/>
      <c r="AQ69" s="4"/>
      <c r="AR69" s="4"/>
      <c r="AS69" s="344"/>
      <c r="AT69" s="344"/>
      <c r="AU69" s="540"/>
      <c r="AV69" s="4"/>
      <c r="AW69" s="4"/>
      <c r="AX69" s="4"/>
      <c r="AY69" s="4"/>
      <c r="AZ69" s="4"/>
      <c r="BA69" s="4"/>
      <c r="BB69" s="4"/>
      <c r="BC69" s="4"/>
      <c r="BD69" s="30"/>
      <c r="BE69" s="525"/>
      <c r="BF69" s="4"/>
      <c r="BG69" s="4"/>
      <c r="BH69" s="67"/>
      <c r="BI69" s="4"/>
      <c r="BJ69" s="546" t="str">
        <f>IF(BH69="","",BH69*17)</f>
        <v/>
      </c>
      <c r="BK69" s="546"/>
      <c r="BL69" s="4"/>
      <c r="BM69" s="4"/>
      <c r="BN69" s="340"/>
      <c r="BP69" s="540"/>
      <c r="BQ69" s="4"/>
      <c r="BR69" s="4"/>
      <c r="BS69" s="4"/>
      <c r="BT69" s="4"/>
      <c r="BU69" s="4"/>
      <c r="BV69" s="4"/>
      <c r="BW69" s="4"/>
      <c r="BX69" s="4"/>
      <c r="BY69" s="30"/>
      <c r="BZ69" s="525"/>
      <c r="CA69" s="4"/>
      <c r="CB69" s="4"/>
      <c r="CC69" s="4"/>
      <c r="CD69" s="67"/>
      <c r="CE69" s="4"/>
      <c r="CF69" s="546" t="str">
        <f>IF(CD69="","",CD69*17)</f>
        <v/>
      </c>
      <c r="CG69" s="546"/>
      <c r="CH69" s="4"/>
      <c r="CI69" s="4"/>
      <c r="CL69" s="540"/>
      <c r="CM69" s="4"/>
      <c r="CN69" s="4"/>
      <c r="CO69" s="4"/>
      <c r="CP69" s="4"/>
      <c r="CQ69" s="4"/>
      <c r="CR69" s="4"/>
      <c r="CS69" s="4"/>
      <c r="CT69" s="4"/>
      <c r="CU69" s="30"/>
      <c r="CV69" s="525"/>
      <c r="CW69" s="4"/>
      <c r="CX69" s="4"/>
      <c r="CY69" s="4"/>
      <c r="CZ69" s="67"/>
      <c r="DA69" s="4"/>
      <c r="DB69" s="546" t="str">
        <f>IF(CZ69="","",CZ69*17)</f>
        <v/>
      </c>
      <c r="DC69" s="546"/>
      <c r="DD69" s="4"/>
      <c r="DE69" s="4"/>
      <c r="DH69" s="540"/>
      <c r="DI69" s="4"/>
      <c r="DJ69" s="4"/>
      <c r="DK69" s="4"/>
      <c r="DL69" s="4"/>
      <c r="DM69" s="4"/>
      <c r="DN69" s="4"/>
      <c r="DO69" s="4"/>
      <c r="DP69" s="4"/>
      <c r="DQ69" s="30"/>
      <c r="DR69" s="525"/>
      <c r="DS69" s="4"/>
      <c r="DT69" s="4"/>
      <c r="DU69" s="4"/>
      <c r="DV69" s="67"/>
      <c r="DW69" s="4"/>
      <c r="DX69" s="546" t="str">
        <f>IF(DV69="","",DV69*17)</f>
        <v/>
      </c>
      <c r="DY69" s="546"/>
      <c r="DZ69" s="4"/>
      <c r="EA69" s="4"/>
    </row>
    <row r="70" spans="1:131" x14ac:dyDescent="0.2">
      <c r="A70" s="540"/>
      <c r="B70" s="530"/>
      <c r="C70" s="521"/>
      <c r="D70" s="85"/>
      <c r="E70" s="4"/>
      <c r="F70" s="4"/>
      <c r="G70" s="4"/>
      <c r="H70" s="4"/>
      <c r="I70" s="4"/>
      <c r="J70" s="30"/>
      <c r="K70" s="525"/>
      <c r="L70" s="4"/>
      <c r="M70" s="4"/>
      <c r="N70" s="4"/>
      <c r="O70" s="4"/>
      <c r="P70" s="4"/>
      <c r="Q70" s="4"/>
      <c r="R70" s="4"/>
      <c r="S70" s="4"/>
      <c r="T70" s="4"/>
      <c r="V70" s="344"/>
      <c r="W70" s="77"/>
      <c r="X70" s="366"/>
      <c r="Y70" s="366"/>
      <c r="Z70" s="540"/>
      <c r="AA70" s="530" t="s">
        <v>58</v>
      </c>
      <c r="AB70" s="521"/>
      <c r="AC70" s="74" t="str">
        <f>IF(D70="","",D70)</f>
        <v/>
      </c>
      <c r="AD70" s="4"/>
      <c r="AE70" s="4"/>
      <c r="AF70" s="4"/>
      <c r="AG70" s="4"/>
      <c r="AH70" s="4"/>
      <c r="AI70" s="30"/>
      <c r="AJ70" s="525"/>
      <c r="AK70" s="4"/>
      <c r="AL70" s="4"/>
      <c r="AM70" s="4"/>
      <c r="AN70" s="4"/>
      <c r="AO70" s="4"/>
      <c r="AP70" s="4"/>
      <c r="AQ70" s="4"/>
      <c r="AR70" s="4"/>
      <c r="AS70" s="344"/>
      <c r="AT70" s="344"/>
      <c r="AU70" s="540"/>
      <c r="AV70" s="530" t="s">
        <v>58</v>
      </c>
      <c r="AW70" s="521"/>
      <c r="AX70" s="74" t="str">
        <f>IF(D70="","",D70)</f>
        <v/>
      </c>
      <c r="AY70" s="4"/>
      <c r="AZ70" s="4"/>
      <c r="BA70" s="4"/>
      <c r="BB70" s="4"/>
      <c r="BC70" s="4"/>
      <c r="BD70" s="30"/>
      <c r="BE70" s="525"/>
      <c r="BF70" s="4"/>
      <c r="BG70" s="4"/>
      <c r="BH70" s="4"/>
      <c r="BI70" s="4"/>
      <c r="BJ70" s="4"/>
      <c r="BK70" s="4"/>
      <c r="BL70" s="4"/>
      <c r="BM70" s="4"/>
      <c r="BN70" s="340"/>
      <c r="BP70" s="540"/>
      <c r="BQ70" s="530" t="s">
        <v>58</v>
      </c>
      <c r="BR70" s="521"/>
      <c r="BS70" s="74" t="str">
        <f>AX70</f>
        <v/>
      </c>
      <c r="BT70" s="4"/>
      <c r="BU70" s="4"/>
      <c r="BV70" s="4"/>
      <c r="BW70" s="4"/>
      <c r="BX70" s="4"/>
      <c r="BY70" s="30"/>
      <c r="BZ70" s="525"/>
      <c r="CA70" s="4"/>
      <c r="CB70" s="4"/>
      <c r="CC70" s="4"/>
      <c r="CD70" s="4"/>
      <c r="CE70" s="4"/>
      <c r="CF70" s="4"/>
      <c r="CG70" s="4"/>
      <c r="CH70" s="4"/>
      <c r="CI70" s="4"/>
      <c r="CL70" s="540"/>
      <c r="CM70" s="530" t="s">
        <v>58</v>
      </c>
      <c r="CN70" s="521"/>
      <c r="CO70" s="74" t="str">
        <f>BS70</f>
        <v/>
      </c>
      <c r="CP70" s="4"/>
      <c r="CQ70" s="4"/>
      <c r="CR70" s="4"/>
      <c r="CS70" s="4"/>
      <c r="CT70" s="4"/>
      <c r="CU70" s="30"/>
      <c r="CV70" s="525"/>
      <c r="CW70" s="4"/>
      <c r="CX70" s="4"/>
      <c r="CY70" s="4"/>
      <c r="CZ70" s="4"/>
      <c r="DA70" s="4"/>
      <c r="DB70" s="4"/>
      <c r="DC70" s="4"/>
      <c r="DD70" s="4"/>
      <c r="DE70" s="4"/>
      <c r="DH70" s="540"/>
      <c r="DI70" s="530" t="s">
        <v>58</v>
      </c>
      <c r="DJ70" s="521"/>
      <c r="DK70" s="74" t="str">
        <f>CO70</f>
        <v/>
      </c>
      <c r="DL70" s="4"/>
      <c r="DM70" s="4"/>
      <c r="DN70" s="4"/>
      <c r="DO70" s="4"/>
      <c r="DP70" s="4"/>
      <c r="DQ70" s="30"/>
      <c r="DR70" s="525"/>
      <c r="DS70" s="4"/>
      <c r="DT70" s="4"/>
      <c r="DU70" s="4"/>
      <c r="DV70" s="4"/>
      <c r="DW70" s="4"/>
      <c r="DX70" s="4"/>
      <c r="DY70" s="4"/>
      <c r="DZ70" s="4"/>
      <c r="EA70" s="4"/>
    </row>
    <row r="71" spans="1:131" x14ac:dyDescent="0.2">
      <c r="A71" s="540"/>
      <c r="B71" s="542" t="s">
        <v>10</v>
      </c>
      <c r="C71" s="542"/>
      <c r="D71" s="3" t="str">
        <f>IF(D70="","",IF(D70=1,1.5,IF(D70=2,3)))</f>
        <v/>
      </c>
      <c r="E71" s="4"/>
      <c r="F71" s="546" t="str">
        <f>IF(D71="","",D71*67)</f>
        <v/>
      </c>
      <c r="G71" s="546"/>
      <c r="H71" s="4"/>
      <c r="I71" s="4"/>
      <c r="J71" s="30"/>
      <c r="K71" s="525"/>
      <c r="L71" s="4"/>
      <c r="M71" s="4"/>
      <c r="N71" s="4"/>
      <c r="O71" s="4"/>
      <c r="P71" s="4"/>
      <c r="Q71" s="4"/>
      <c r="R71" s="4"/>
      <c r="S71" s="4"/>
      <c r="T71" s="4"/>
      <c r="V71" s="344"/>
      <c r="W71" s="77"/>
      <c r="X71" s="344"/>
      <c r="Y71" s="344"/>
      <c r="Z71" s="540"/>
      <c r="AA71" s="542" t="s">
        <v>10</v>
      </c>
      <c r="AB71" s="542"/>
      <c r="AC71" s="3" t="str">
        <f>IF(AC70="","",IF(AC70=1,1.5,IF(AC70=2,3)))</f>
        <v/>
      </c>
      <c r="AD71" s="4"/>
      <c r="AE71" s="546" t="str">
        <f>IF(AC71="","",AC71*67)</f>
        <v/>
      </c>
      <c r="AF71" s="546"/>
      <c r="AG71" s="4"/>
      <c r="AH71" s="4"/>
      <c r="AI71" s="30"/>
      <c r="AJ71" s="525"/>
      <c r="AK71" s="4"/>
      <c r="AL71" s="4"/>
      <c r="AM71" s="4"/>
      <c r="AN71" s="4"/>
      <c r="AO71" s="4"/>
      <c r="AP71" s="4"/>
      <c r="AQ71" s="4"/>
      <c r="AR71" s="4"/>
      <c r="AS71" s="344"/>
      <c r="AT71" s="344"/>
      <c r="AU71" s="540"/>
      <c r="AV71" s="542" t="s">
        <v>10</v>
      </c>
      <c r="AW71" s="542"/>
      <c r="AX71" s="3" t="str">
        <f>IF(AX70="","",IF(AX70=1,1.5,IF(AX70=2,3)))</f>
        <v/>
      </c>
      <c r="AY71" s="4"/>
      <c r="AZ71" s="546" t="str">
        <f>IF(AX71="","",AX71*67)</f>
        <v/>
      </c>
      <c r="BA71" s="546"/>
      <c r="BB71" s="4"/>
      <c r="BC71" s="4"/>
      <c r="BD71" s="30"/>
      <c r="BE71" s="525"/>
      <c r="BF71" s="4"/>
      <c r="BG71" s="4"/>
      <c r="BH71" s="4"/>
      <c r="BI71" s="4"/>
      <c r="BJ71" s="4"/>
      <c r="BK71" s="4"/>
      <c r="BL71" s="4"/>
      <c r="BM71" s="4"/>
      <c r="BN71" s="340"/>
      <c r="BP71" s="540"/>
      <c r="BQ71" s="542" t="s">
        <v>10</v>
      </c>
      <c r="BR71" s="542"/>
      <c r="BS71" s="3" t="str">
        <f>IF(BS70="","",IF(BS70=1,1.5,IF(BS70=2,3)))</f>
        <v/>
      </c>
      <c r="BT71" s="4"/>
      <c r="BU71" s="546" t="str">
        <f>IF(BS71="","",BS71*67)</f>
        <v/>
      </c>
      <c r="BV71" s="546"/>
      <c r="BW71" s="4"/>
      <c r="BX71" s="4"/>
      <c r="BY71" s="30"/>
      <c r="BZ71" s="525"/>
      <c r="CA71" s="4"/>
      <c r="CB71" s="4"/>
      <c r="CC71" s="4"/>
      <c r="CD71" s="4"/>
      <c r="CE71" s="4"/>
      <c r="CF71" s="4"/>
      <c r="CG71" s="4"/>
      <c r="CH71" s="4"/>
      <c r="CI71" s="4"/>
      <c r="CL71" s="540"/>
      <c r="CM71" s="542" t="s">
        <v>10</v>
      </c>
      <c r="CN71" s="542"/>
      <c r="CO71" s="3" t="str">
        <f>IF(CO70="","",IF(CO70=1,1.5,IF(CO70=2,3)))</f>
        <v/>
      </c>
      <c r="CP71" s="4"/>
      <c r="CQ71" s="546" t="str">
        <f>IF(CO71="","",CO71*67)</f>
        <v/>
      </c>
      <c r="CR71" s="546"/>
      <c r="CS71" s="4"/>
      <c r="CT71" s="4"/>
      <c r="CU71" s="30"/>
      <c r="CV71" s="525"/>
      <c r="CW71" s="4"/>
      <c r="CX71" s="4"/>
      <c r="CY71" s="4"/>
      <c r="CZ71" s="4"/>
      <c r="DA71" s="4"/>
      <c r="DB71" s="4"/>
      <c r="DC71" s="4"/>
      <c r="DD71" s="4"/>
      <c r="DE71" s="4"/>
      <c r="DH71" s="540"/>
      <c r="DI71" s="542" t="s">
        <v>10</v>
      </c>
      <c r="DJ71" s="542"/>
      <c r="DK71" s="3" t="str">
        <f>IF(DK70="","",IF(DK70=1,1.5,IF(DK70=2,3)))</f>
        <v/>
      </c>
      <c r="DL71" s="4"/>
      <c r="DM71" s="546" t="str">
        <f>IF(DK71="","",DK71*67)</f>
        <v/>
      </c>
      <c r="DN71" s="546"/>
      <c r="DO71" s="4"/>
      <c r="DP71" s="4"/>
      <c r="DQ71" s="30"/>
      <c r="DR71" s="525"/>
      <c r="DS71" s="4"/>
      <c r="DT71" s="4"/>
      <c r="DU71" s="4"/>
      <c r="DV71" s="4"/>
      <c r="DW71" s="4"/>
      <c r="DX71" s="4"/>
      <c r="DY71" s="4"/>
      <c r="DZ71" s="4"/>
      <c r="EA71" s="4"/>
    </row>
    <row r="72" spans="1:131" x14ac:dyDescent="0.2">
      <c r="A72" s="540"/>
      <c r="B72" s="542" t="s">
        <v>11</v>
      </c>
      <c r="C72" s="542"/>
      <c r="D72" s="3" t="str">
        <f>IF(D70="","",IF(D70=1,(H35/$U$12)/1000,IF(D70=2,(H35/$U$12)/1000)))</f>
        <v/>
      </c>
      <c r="E72" s="4"/>
      <c r="F72" s="546" t="str">
        <f>IF(D72="","",D72*67)</f>
        <v/>
      </c>
      <c r="G72" s="546"/>
      <c r="H72" s="4"/>
      <c r="I72" s="4"/>
      <c r="J72" s="30"/>
      <c r="K72" s="525"/>
      <c r="L72" s="333" t="s">
        <v>60</v>
      </c>
      <c r="M72" s="333"/>
      <c r="N72" s="333"/>
      <c r="O72" s="333"/>
      <c r="P72" s="333"/>
      <c r="Q72" s="339"/>
      <c r="R72" s="339"/>
      <c r="S72" s="339"/>
      <c r="T72" s="339"/>
      <c r="V72" s="344"/>
      <c r="W72" s="77"/>
      <c r="X72" s="344"/>
      <c r="Y72" s="344"/>
      <c r="Z72" s="540"/>
      <c r="AA72" s="542" t="s">
        <v>11</v>
      </c>
      <c r="AB72" s="542"/>
      <c r="AC72" s="3" t="str">
        <f>IF(AC70="","",IF(AC70=1,(AG35/$U$12)/1000,IF(AC70=2,(AG35/$U$12)/1000)))</f>
        <v/>
      </c>
      <c r="AD72" s="4"/>
      <c r="AE72" s="546" t="str">
        <f>IF(AC72="","",AC72*67)</f>
        <v/>
      </c>
      <c r="AF72" s="546"/>
      <c r="AG72" s="4"/>
      <c r="AH72" s="4"/>
      <c r="AI72" s="30"/>
      <c r="AJ72" s="525"/>
      <c r="AK72" s="531" t="s">
        <v>60</v>
      </c>
      <c r="AL72" s="531"/>
      <c r="AM72" s="531"/>
      <c r="AN72" s="531"/>
      <c r="AO72" s="542"/>
      <c r="AP72" s="542"/>
      <c r="AQ72" s="542"/>
      <c r="AR72" s="542"/>
      <c r="AS72" s="344"/>
      <c r="AT72" s="344"/>
      <c r="AU72" s="540"/>
      <c r="AV72" s="542" t="s">
        <v>11</v>
      </c>
      <c r="AW72" s="542"/>
      <c r="AX72" s="3" t="str">
        <f>IF(AX70="","",IF(AX70=1,(BB35/$U$12)/1000,IF(AX70=2,(BB35/$U$12)/1000)))</f>
        <v/>
      </c>
      <c r="AY72" s="4"/>
      <c r="AZ72" s="546" t="str">
        <f>IF(AX72="","",AX72*67)</f>
        <v/>
      </c>
      <c r="BA72" s="546"/>
      <c r="BB72" s="4"/>
      <c r="BC72" s="4"/>
      <c r="BD72" s="30"/>
      <c r="BE72" s="525"/>
      <c r="BF72" s="531" t="s">
        <v>60</v>
      </c>
      <c r="BG72" s="531"/>
      <c r="BH72" s="531"/>
      <c r="BI72" s="531"/>
      <c r="BJ72" s="542"/>
      <c r="BK72" s="542"/>
      <c r="BL72" s="542"/>
      <c r="BM72" s="542"/>
      <c r="BN72" s="340"/>
      <c r="BP72" s="540"/>
      <c r="BQ72" s="542" t="s">
        <v>11</v>
      </c>
      <c r="BR72" s="542"/>
      <c r="BS72" s="3" t="str">
        <f>IF(BS70="","",IF(BS70=1,(BW35/$U$12)/1000,IF(BS70=2,(BW35/$U$12)/1000)))</f>
        <v/>
      </c>
      <c r="BT72" s="4"/>
      <c r="BU72" s="546" t="str">
        <f>IF(BS72="","",BS72*67)</f>
        <v/>
      </c>
      <c r="BV72" s="546"/>
      <c r="BW72" s="4"/>
      <c r="BX72" s="4"/>
      <c r="BY72" s="30"/>
      <c r="BZ72" s="525"/>
      <c r="CA72" s="531" t="s">
        <v>60</v>
      </c>
      <c r="CB72" s="531"/>
      <c r="CC72" s="531"/>
      <c r="CD72" s="531"/>
      <c r="CE72" s="531"/>
      <c r="CF72" s="542"/>
      <c r="CG72" s="542"/>
      <c r="CH72" s="542"/>
      <c r="CI72" s="542"/>
      <c r="CL72" s="540"/>
      <c r="CM72" s="542" t="s">
        <v>11</v>
      </c>
      <c r="CN72" s="542"/>
      <c r="CO72" s="3" t="str">
        <f>IF(CO70="","",IF(CO70=1,(CS35/$U$12)/1000,IF(CO70=2,(CS35/$U$12)/1000)))</f>
        <v/>
      </c>
      <c r="CP72" s="4"/>
      <c r="CQ72" s="546" t="str">
        <f>IF(CO72="","",CO72*67)</f>
        <v/>
      </c>
      <c r="CR72" s="546"/>
      <c r="CS72" s="4"/>
      <c r="CT72" s="4"/>
      <c r="CU72" s="30"/>
      <c r="CV72" s="525"/>
      <c r="CW72" s="531" t="s">
        <v>60</v>
      </c>
      <c r="CX72" s="531"/>
      <c r="CY72" s="531"/>
      <c r="CZ72" s="531"/>
      <c r="DA72" s="531"/>
      <c r="DB72" s="542"/>
      <c r="DC72" s="542"/>
      <c r="DD72" s="542"/>
      <c r="DE72" s="542"/>
      <c r="DH72" s="540"/>
      <c r="DI72" s="542" t="s">
        <v>11</v>
      </c>
      <c r="DJ72" s="542"/>
      <c r="DK72" s="3" t="str">
        <f>IF(DK70="","",IF(DK70=1,(DO35/$U$12)/1000,IF(DK70=2,(DO35/$U$12)/1000)))</f>
        <v/>
      </c>
      <c r="DL72" s="4"/>
      <c r="DM72" s="546" t="str">
        <f>IF(DK72="","",DK72*67)</f>
        <v/>
      </c>
      <c r="DN72" s="546"/>
      <c r="DO72" s="4"/>
      <c r="DP72" s="4"/>
      <c r="DQ72" s="30"/>
      <c r="DR72" s="525"/>
      <c r="DS72" s="531" t="s">
        <v>60</v>
      </c>
      <c r="DT72" s="531"/>
      <c r="DU72" s="531"/>
      <c r="DV72" s="531"/>
      <c r="DW72" s="531"/>
      <c r="DX72" s="542"/>
      <c r="DY72" s="542"/>
      <c r="DZ72" s="542"/>
      <c r="EA72" s="542"/>
    </row>
    <row r="73" spans="1:131" ht="15" customHeight="1" x14ac:dyDescent="0.2">
      <c r="A73" s="540"/>
      <c r="B73" s="4"/>
      <c r="C73" s="4"/>
      <c r="D73" s="4"/>
      <c r="E73" s="4"/>
      <c r="F73" s="4"/>
      <c r="G73" s="4"/>
      <c r="H73" s="4"/>
      <c r="I73" s="4"/>
      <c r="J73" s="30"/>
      <c r="K73" s="525"/>
      <c r="L73" s="8"/>
      <c r="M73" s="8"/>
      <c r="N73" s="8"/>
      <c r="O73" s="89"/>
      <c r="P73" s="4"/>
      <c r="Q73" s="8"/>
      <c r="R73" s="121"/>
      <c r="S73" s="4"/>
      <c r="T73" s="4"/>
      <c r="V73" s="344"/>
      <c r="Z73" s="540"/>
      <c r="AA73" s="4"/>
      <c r="AB73" s="4"/>
      <c r="AC73" s="4"/>
      <c r="AD73" s="4"/>
      <c r="AE73" s="4"/>
      <c r="AF73" s="4"/>
      <c r="AG73" s="4"/>
      <c r="AH73" s="4"/>
      <c r="AI73" s="30"/>
      <c r="AJ73" s="525"/>
      <c r="AK73" s="8"/>
      <c r="AL73" s="8"/>
      <c r="AM73" s="67" t="str">
        <f>IF($O$73="","",$O$73)</f>
        <v/>
      </c>
      <c r="AN73" s="4"/>
      <c r="AO73" s="8"/>
      <c r="AP73" s="120" t="str">
        <f>IF($R$73="","",$R$73)</f>
        <v/>
      </c>
      <c r="AQ73" s="4"/>
      <c r="AR73" s="4"/>
      <c r="AS73" s="344"/>
      <c r="AT73" s="344"/>
      <c r="AU73" s="540"/>
      <c r="AV73" s="4"/>
      <c r="AW73" s="4"/>
      <c r="AX73" s="4"/>
      <c r="AY73" s="4"/>
      <c r="AZ73" s="4"/>
      <c r="BA73" s="4"/>
      <c r="BB73" s="4"/>
      <c r="BC73" s="4"/>
      <c r="BD73" s="30"/>
      <c r="BE73" s="525"/>
      <c r="BF73" s="8"/>
      <c r="BG73" s="8"/>
      <c r="BH73" s="67" t="str">
        <f>AM73</f>
        <v/>
      </c>
      <c r="BI73" s="4" t="str">
        <f>IF($P$73="","",$P$73)</f>
        <v/>
      </c>
      <c r="BJ73" s="8"/>
      <c r="BK73" s="120" t="str">
        <f>AP73</f>
        <v/>
      </c>
      <c r="BL73" s="4"/>
      <c r="BM73" s="4"/>
      <c r="BN73" s="340"/>
      <c r="BP73" s="540"/>
      <c r="BQ73" s="4"/>
      <c r="BR73" s="4"/>
      <c r="BS73" s="4"/>
      <c r="BT73" s="4"/>
      <c r="BU73" s="4"/>
      <c r="BV73" s="4"/>
      <c r="BW73" s="4"/>
      <c r="BX73" s="4"/>
      <c r="BY73" s="30"/>
      <c r="BZ73" s="525"/>
      <c r="CA73" s="8"/>
      <c r="CB73" s="8"/>
      <c r="CC73" s="8"/>
      <c r="CD73" s="67" t="str">
        <f>BH73</f>
        <v/>
      </c>
      <c r="CE73" s="4"/>
      <c r="CF73" s="8"/>
      <c r="CG73" s="120" t="str">
        <f>BK73</f>
        <v/>
      </c>
      <c r="CH73" s="4"/>
      <c r="CI73" s="4"/>
      <c r="CL73" s="540"/>
      <c r="CM73" s="4"/>
      <c r="CN73" s="4"/>
      <c r="CO73" s="4"/>
      <c r="CP73" s="4"/>
      <c r="CQ73" s="4"/>
      <c r="CR73" s="4"/>
      <c r="CS73" s="4"/>
      <c r="CT73" s="4"/>
      <c r="CU73" s="30"/>
      <c r="CV73" s="525"/>
      <c r="CW73" s="8"/>
      <c r="CX73" s="8"/>
      <c r="CY73" s="8"/>
      <c r="CZ73" s="67" t="str">
        <f>CD73</f>
        <v/>
      </c>
      <c r="DA73" s="4"/>
      <c r="DB73" s="8"/>
      <c r="DC73" s="120" t="str">
        <f>CG73</f>
        <v/>
      </c>
      <c r="DD73" s="4"/>
      <c r="DE73" s="4"/>
      <c r="DH73" s="540"/>
      <c r="DI73" s="4"/>
      <c r="DJ73" s="4"/>
      <c r="DK73" s="4"/>
      <c r="DL73" s="4"/>
      <c r="DM73" s="4"/>
      <c r="DN73" s="4"/>
      <c r="DO73" s="4"/>
      <c r="DP73" s="4"/>
      <c r="DQ73" s="30"/>
      <c r="DR73" s="525"/>
      <c r="DS73" s="8"/>
      <c r="DT73" s="8"/>
      <c r="DU73" s="8"/>
      <c r="DV73" s="67" t="str">
        <f>CZ73</f>
        <v/>
      </c>
      <c r="DW73" s="4"/>
      <c r="DX73" s="8"/>
      <c r="DY73" s="120" t="str">
        <f>DC73</f>
        <v/>
      </c>
      <c r="DZ73" s="4"/>
      <c r="EA73" s="4"/>
    </row>
    <row r="74" spans="1:131" x14ac:dyDescent="0.2">
      <c r="A74" s="541"/>
      <c r="B74" s="12"/>
      <c r="C74" s="12"/>
      <c r="D74" s="12"/>
      <c r="E74" s="12"/>
      <c r="F74" s="12"/>
      <c r="G74" s="12"/>
      <c r="H74" s="12"/>
      <c r="I74" s="12"/>
      <c r="J74" s="30"/>
      <c r="K74" s="525"/>
      <c r="L74" s="542" t="s">
        <v>83</v>
      </c>
      <c r="M74" s="542"/>
      <c r="N74" s="339"/>
      <c r="O74" s="3" t="str">
        <f>IF(O73="","",IF(O73=1,PLASTIKA!P23,IF('PONUDBA (2)'!O73=2,PLASTIKA!U23,IF('PONUDBA (2)'!O73=3,PLASTIKA!P33,IF('PONUDBA (2)'!O73=4,PLASTIKA!U33)))))</f>
        <v/>
      </c>
      <c r="P74" s="4"/>
      <c r="Q74" s="546" t="str">
        <f>O74</f>
        <v/>
      </c>
      <c r="R74" s="546"/>
      <c r="S74" s="8"/>
      <c r="T74" s="8"/>
      <c r="V74" s="344"/>
      <c r="Z74" s="541"/>
      <c r="AA74" s="12"/>
      <c r="AB74" s="12"/>
      <c r="AC74" s="12"/>
      <c r="AD74" s="12"/>
      <c r="AE74" s="12"/>
      <c r="AF74" s="12"/>
      <c r="AG74" s="12"/>
      <c r="AH74" s="12"/>
      <c r="AI74" s="30"/>
      <c r="AJ74" s="525"/>
      <c r="AK74" s="542" t="s">
        <v>83</v>
      </c>
      <c r="AL74" s="542"/>
      <c r="AM74" s="3" t="str">
        <f>IF(AM73="","",IF(AM73=1,PLASTIKA!Y23,IF('PONUDBA (2)'!AM73=2,PLASTIKA!AD23,IF('PONUDBA (2)'!AM73=3,PLASTIKA!Y33,IF('PONUDBA (2)'!AM73=4,PLASTIKA!AD33)))))</f>
        <v/>
      </c>
      <c r="AN74" s="4"/>
      <c r="AO74" s="546" t="str">
        <f>IF(AM74="","",AM74)</f>
        <v/>
      </c>
      <c r="AP74" s="546"/>
      <c r="AQ74" s="8"/>
      <c r="AR74" s="8"/>
      <c r="AS74" s="344"/>
      <c r="AT74" s="344"/>
      <c r="AU74" s="541"/>
      <c r="AV74" s="12"/>
      <c r="AW74" s="12"/>
      <c r="AX74" s="12"/>
      <c r="AY74" s="12"/>
      <c r="AZ74" s="12"/>
      <c r="BA74" s="12"/>
      <c r="BB74" s="12"/>
      <c r="BC74" s="12"/>
      <c r="BD74" s="30"/>
      <c r="BE74" s="525"/>
      <c r="BF74" s="542" t="s">
        <v>83</v>
      </c>
      <c r="BG74" s="542"/>
      <c r="BH74" s="3" t="str">
        <f>IF(BH73="","",IF(BH73=1,PLASTIKA!AH23,IF('PONUDBA (2)'!BH73=2,PLASTIKA!AM23,IF('PONUDBA (2)'!BH73=3,PLASTIKA!AH33,IF('PONUDBA (2)'!BH73=4,PLASTIKA!AM33)))))</f>
        <v/>
      </c>
      <c r="BI74" s="4"/>
      <c r="BJ74" s="546" t="str">
        <f>IF(BH74="","",BH74)</f>
        <v/>
      </c>
      <c r="BK74" s="546"/>
      <c r="BL74" s="8"/>
      <c r="BM74" s="8"/>
      <c r="BN74" s="340"/>
      <c r="BP74" s="541"/>
      <c r="BQ74" s="12"/>
      <c r="BR74" s="12"/>
      <c r="BS74" s="12"/>
      <c r="BT74" s="12"/>
      <c r="BU74" s="12"/>
      <c r="BV74" s="12"/>
      <c r="BW74" s="12"/>
      <c r="BX74" s="12"/>
      <c r="BY74" s="30"/>
      <c r="BZ74" s="525"/>
      <c r="CA74" s="542" t="s">
        <v>83</v>
      </c>
      <c r="CB74" s="542"/>
      <c r="CC74" s="339"/>
      <c r="CD74" s="3" t="str">
        <f>IF(CD73="","",IF(CD73=1,PLASTIKA!P43,IF('PONUDBA (2)'!CD73=2,PLASTIKA!U43,IF('PONUDBA (2)'!CD73=3,PLASTIKA!P53,IF('PONUDBA (2)'!CD73=4,PLASTIKA!U53)))))</f>
        <v/>
      </c>
      <c r="CE74" s="4"/>
      <c r="CF74" s="546" t="str">
        <f>CD74</f>
        <v/>
      </c>
      <c r="CG74" s="546"/>
      <c r="CH74" s="8"/>
      <c r="CI74" s="8"/>
      <c r="CL74" s="541"/>
      <c r="CM74" s="12"/>
      <c r="CN74" s="12"/>
      <c r="CO74" s="12"/>
      <c r="CP74" s="12"/>
      <c r="CQ74" s="12"/>
      <c r="CR74" s="12"/>
      <c r="CS74" s="12"/>
      <c r="CT74" s="12"/>
      <c r="CU74" s="30"/>
      <c r="CV74" s="525"/>
      <c r="CW74" s="542" t="s">
        <v>83</v>
      </c>
      <c r="CX74" s="542"/>
      <c r="CY74" s="339"/>
      <c r="CZ74" s="3" t="str">
        <f>IF(CZ73="","",IF(CZ73=1,PLASTIKA!Y43,IF('PONUDBA (2)'!CZ73=2,PLASTIKA!AD43,IF('PONUDBA (2)'!CZ73=3,PLASTIKA!Y53,IF('PONUDBA (2)'!CZ73=4,PLASTIKA!AD53)))))</f>
        <v/>
      </c>
      <c r="DA74" s="4"/>
      <c r="DB74" s="546" t="str">
        <f>CZ74</f>
        <v/>
      </c>
      <c r="DC74" s="546"/>
      <c r="DD74" s="8"/>
      <c r="DE74" s="8"/>
      <c r="DH74" s="541"/>
      <c r="DI74" s="12"/>
      <c r="DJ74" s="12"/>
      <c r="DK74" s="12"/>
      <c r="DL74" s="12"/>
      <c r="DM74" s="12"/>
      <c r="DN74" s="12"/>
      <c r="DO74" s="12"/>
      <c r="DP74" s="12"/>
      <c r="DQ74" s="30"/>
      <c r="DR74" s="525"/>
      <c r="DS74" s="542" t="s">
        <v>83</v>
      </c>
      <c r="DT74" s="542"/>
      <c r="DU74" s="339"/>
      <c r="DV74" s="3" t="str">
        <f>IF(DV73="","",IF(DV73=1,PLASTIKA!AH43,IF('PONUDBA (2)'!DV73=2,PLASTIKA!AM43,IF('PONUDBA (2)'!DV73=3,PLASTIKA!AH53,IF('PONUDBA (2)'!DV73=4,PLASTIKA!AM53)))))</f>
        <v/>
      </c>
      <c r="DW74" s="4"/>
      <c r="DX74" s="546" t="str">
        <f>DV74</f>
        <v/>
      </c>
      <c r="DY74" s="546"/>
      <c r="DZ74" s="8"/>
      <c r="EA74" s="8"/>
    </row>
    <row r="75" spans="1:131" ht="15.75" thickBot="1" x14ac:dyDescent="0.25">
      <c r="A75" s="11"/>
      <c r="B75" s="559" t="s">
        <v>8</v>
      </c>
      <c r="C75" s="559"/>
      <c r="D75" s="559"/>
      <c r="E75" s="559"/>
      <c r="F75" s="559"/>
      <c r="G75" s="560">
        <f>SUM(F72,F71,F67,F66,F62,F61,F57,F56)</f>
        <v>151.30833333333334</v>
      </c>
      <c r="H75" s="561"/>
      <c r="I75" s="561"/>
      <c r="J75" s="30"/>
      <c r="K75" s="525"/>
      <c r="L75" s="562"/>
      <c r="M75" s="538"/>
      <c r="N75" s="339"/>
      <c r="O75" s="66"/>
      <c r="P75" s="8"/>
      <c r="Q75" s="543" t="str">
        <f>IF(R73="","",Q74)</f>
        <v/>
      </c>
      <c r="R75" s="563"/>
      <c r="S75" s="8"/>
      <c r="T75" s="8"/>
      <c r="V75" s="344"/>
      <c r="Z75" s="11"/>
      <c r="AA75" s="559" t="s">
        <v>8</v>
      </c>
      <c r="AB75" s="559"/>
      <c r="AC75" s="559"/>
      <c r="AD75" s="559"/>
      <c r="AE75" s="559"/>
      <c r="AF75" s="560">
        <f>SUM(AE72,AE71,AE67,AE66,AE62,AE61,AE57,AE56)</f>
        <v>189.83333333333331</v>
      </c>
      <c r="AG75" s="561"/>
      <c r="AH75" s="561"/>
      <c r="AI75" s="30"/>
      <c r="AJ75" s="525"/>
      <c r="AK75" s="562"/>
      <c r="AL75" s="538"/>
      <c r="AM75" s="66"/>
      <c r="AN75" s="4"/>
      <c r="AO75" s="543" t="str">
        <f>IF(AP73="","",IF(AP73=1,'PONUDBA (2)'!AM74))</f>
        <v/>
      </c>
      <c r="AP75" s="563"/>
      <c r="AQ75" s="8"/>
      <c r="AR75" s="8"/>
      <c r="AS75" s="344"/>
      <c r="AT75" s="344"/>
      <c r="AU75" s="11"/>
      <c r="AV75" s="559" t="s">
        <v>8</v>
      </c>
      <c r="AW75" s="559"/>
      <c r="AX75" s="559"/>
      <c r="AY75" s="559"/>
      <c r="AZ75" s="559"/>
      <c r="BA75" s="560">
        <f>SUM(AZ72,AZ71,AZ67,AZ66,AZ62,AZ61,AZ57,AZ56)</f>
        <v>189.83333333333331</v>
      </c>
      <c r="BB75" s="561"/>
      <c r="BC75" s="561"/>
      <c r="BD75" s="30"/>
      <c r="BE75" s="525"/>
      <c r="BF75" s="562"/>
      <c r="BG75" s="538"/>
      <c r="BH75" s="66"/>
      <c r="BI75" s="4"/>
      <c r="BJ75" s="543" t="str">
        <f>IF(BK73="","",IF(BK73=1,'PONUDBA (2)'!BH74))</f>
        <v/>
      </c>
      <c r="BK75" s="563"/>
      <c r="BL75" s="8"/>
      <c r="BM75" s="8"/>
      <c r="BN75" s="340"/>
      <c r="BP75" s="11"/>
      <c r="BQ75" s="559" t="s">
        <v>8</v>
      </c>
      <c r="BR75" s="559"/>
      <c r="BS75" s="559"/>
      <c r="BT75" s="559"/>
      <c r="BU75" s="559"/>
      <c r="BV75" s="560">
        <f>SUM(BU72,BU71,BU67,BU66,BU62,BU61,BU57,BU56)</f>
        <v>117.25</v>
      </c>
      <c r="BW75" s="561"/>
      <c r="BX75" s="561"/>
      <c r="BY75" s="30"/>
      <c r="BZ75" s="525"/>
      <c r="CA75" s="562"/>
      <c r="CB75" s="538"/>
      <c r="CC75" s="339"/>
      <c r="CD75" s="66"/>
      <c r="CE75" s="8"/>
      <c r="CF75" s="543" t="str">
        <f>IF(CG73="","",IF(CG73=1,'PONUDBA (2)'!CD74))</f>
        <v/>
      </c>
      <c r="CG75" s="563"/>
      <c r="CH75" s="8"/>
      <c r="CI75" s="8"/>
      <c r="CL75" s="11"/>
      <c r="CM75" s="559" t="s">
        <v>8</v>
      </c>
      <c r="CN75" s="559"/>
      <c r="CO75" s="559"/>
      <c r="CP75" s="559"/>
      <c r="CQ75" s="559"/>
      <c r="CR75" s="560">
        <f>SUM(CQ72,CQ71,CQ67,CQ66,CQ62,CQ61,CQ57,CQ56)</f>
        <v>117.25</v>
      </c>
      <c r="CS75" s="561"/>
      <c r="CT75" s="561"/>
      <c r="CU75" s="30"/>
      <c r="CV75" s="525"/>
      <c r="CW75" s="562"/>
      <c r="CX75" s="538"/>
      <c r="CY75" s="339"/>
      <c r="CZ75" s="66"/>
      <c r="DA75" s="8"/>
      <c r="DB75" s="543" t="str">
        <f>IF(DC73="","",IF(DC73=1,'PONUDBA (2)'!CZ74))</f>
        <v/>
      </c>
      <c r="DC75" s="563"/>
      <c r="DD75" s="8"/>
      <c r="DE75" s="8"/>
      <c r="DH75" s="11"/>
      <c r="DI75" s="559" t="s">
        <v>8</v>
      </c>
      <c r="DJ75" s="559"/>
      <c r="DK75" s="559"/>
      <c r="DL75" s="559"/>
      <c r="DM75" s="559"/>
      <c r="DN75" s="560">
        <f>SUM(DM72,DM71,DM67,DM66,DM62,DM61,DM57,DM56)</f>
        <v>117.25</v>
      </c>
      <c r="DO75" s="561"/>
      <c r="DP75" s="561"/>
      <c r="DQ75" s="30"/>
      <c r="DR75" s="525"/>
      <c r="DS75" s="562"/>
      <c r="DT75" s="538"/>
      <c r="DU75" s="339"/>
      <c r="DV75" s="66"/>
      <c r="DW75" s="8"/>
      <c r="DX75" s="543" t="str">
        <f>IF(DY73="","",IF(DY73=1,'PONUDBA (2)'!DV74))</f>
        <v/>
      </c>
      <c r="DY75" s="563"/>
      <c r="DZ75" s="8"/>
      <c r="EA75" s="8"/>
    </row>
    <row r="76" spans="1:131" x14ac:dyDescent="0.2">
      <c r="J76" s="30"/>
      <c r="K76" s="525"/>
      <c r="L76" s="8"/>
      <c r="M76" s="8"/>
      <c r="N76" s="8"/>
      <c r="O76" s="8"/>
      <c r="P76" s="8"/>
      <c r="Q76" s="8"/>
      <c r="R76" s="8"/>
      <c r="S76" s="8"/>
      <c r="T76" s="8"/>
      <c r="V76" s="344"/>
      <c r="AI76" s="30"/>
      <c r="AJ76" s="525"/>
      <c r="AK76" s="8"/>
      <c r="AL76" s="8"/>
      <c r="AM76" s="8"/>
      <c r="AN76" s="8"/>
      <c r="AO76" s="8"/>
      <c r="AP76" s="8"/>
      <c r="AQ76" s="8"/>
      <c r="AR76" s="8"/>
      <c r="AS76" s="344"/>
      <c r="AT76" s="344"/>
      <c r="BD76" s="30"/>
      <c r="BE76" s="525"/>
      <c r="BF76" s="8"/>
      <c r="BG76" s="8"/>
      <c r="BH76" s="8"/>
      <c r="BI76" s="8"/>
      <c r="BJ76" s="8"/>
      <c r="BK76" s="8"/>
      <c r="BL76" s="8"/>
      <c r="BM76" s="8"/>
      <c r="BN76" s="340"/>
      <c r="BY76" s="30"/>
      <c r="BZ76" s="525"/>
      <c r="CA76" s="8"/>
      <c r="CB76" s="8"/>
      <c r="CC76" s="8"/>
      <c r="CD76" s="8"/>
      <c r="CE76" s="8"/>
      <c r="CF76" s="8"/>
      <c r="CG76" s="8"/>
      <c r="CH76" s="8"/>
      <c r="CI76" s="8"/>
      <c r="CU76" s="30"/>
      <c r="CV76" s="525"/>
      <c r="CW76" s="8"/>
      <c r="CX76" s="8"/>
      <c r="CY76" s="8"/>
      <c r="CZ76" s="8"/>
      <c r="DA76" s="8"/>
      <c r="DB76" s="8"/>
      <c r="DC76" s="8"/>
      <c r="DD76" s="8"/>
      <c r="DE76" s="8"/>
      <c r="DQ76" s="30"/>
      <c r="DR76" s="525"/>
      <c r="DS76" s="8"/>
      <c r="DT76" s="8"/>
      <c r="DU76" s="8"/>
      <c r="DV76" s="8"/>
      <c r="DW76" s="8"/>
      <c r="DX76" s="8"/>
      <c r="DY76" s="8"/>
      <c r="DZ76" s="8"/>
      <c r="EA76" s="8"/>
    </row>
    <row r="77" spans="1:131" x14ac:dyDescent="0.2">
      <c r="J77" s="30"/>
      <c r="K77" s="525"/>
      <c r="L77" s="8"/>
      <c r="M77" s="8"/>
      <c r="N77" s="8"/>
      <c r="O77" s="8"/>
      <c r="P77" s="8"/>
      <c r="Q77" s="8"/>
      <c r="R77" s="8"/>
      <c r="S77" s="8"/>
      <c r="T77" s="8"/>
      <c r="V77" s="344"/>
      <c r="W77" s="75"/>
      <c r="X77" s="344"/>
      <c r="Y77" s="344"/>
      <c r="AI77" s="30"/>
      <c r="AJ77" s="525"/>
      <c r="AK77" s="8"/>
      <c r="AL77" s="8"/>
      <c r="AM77" s="8"/>
      <c r="AN77" s="8"/>
      <c r="AO77" s="8"/>
      <c r="AP77" s="8"/>
      <c r="AQ77" s="8"/>
      <c r="AR77" s="8"/>
      <c r="AS77" s="344"/>
      <c r="AT77" s="344"/>
      <c r="BD77" s="30"/>
      <c r="BE77" s="525"/>
      <c r="BF77" s="8"/>
      <c r="BG77" s="8"/>
      <c r="BH77" s="8"/>
      <c r="BI77" s="8"/>
      <c r="BJ77" s="8"/>
      <c r="BK77" s="8"/>
      <c r="BL77" s="8"/>
      <c r="BM77" s="8"/>
      <c r="BN77" s="340"/>
      <c r="BY77" s="30"/>
      <c r="BZ77" s="525"/>
      <c r="CA77" s="8"/>
      <c r="CB77" s="8"/>
      <c r="CC77" s="8"/>
      <c r="CD77" s="8"/>
      <c r="CE77" s="8"/>
      <c r="CF77" s="8"/>
      <c r="CG77" s="8"/>
      <c r="CH77" s="8"/>
      <c r="CI77" s="8"/>
      <c r="CU77" s="30"/>
      <c r="CV77" s="525"/>
      <c r="CW77" s="8"/>
      <c r="CX77" s="8"/>
      <c r="CY77" s="8"/>
      <c r="CZ77" s="8"/>
      <c r="DA77" s="8"/>
      <c r="DB77" s="8"/>
      <c r="DC77" s="8"/>
      <c r="DD77" s="8"/>
      <c r="DE77" s="8"/>
      <c r="DQ77" s="30"/>
      <c r="DR77" s="525"/>
      <c r="DS77" s="8"/>
      <c r="DT77" s="8"/>
      <c r="DU77" s="8"/>
      <c r="DV77" s="8"/>
      <c r="DW77" s="8"/>
      <c r="DX77" s="8"/>
      <c r="DY77" s="8"/>
      <c r="DZ77" s="8"/>
      <c r="EA77" s="8"/>
    </row>
    <row r="78" spans="1:131" ht="21.75" customHeight="1" x14ac:dyDescent="0.2">
      <c r="J78" s="30"/>
      <c r="K78" s="525"/>
      <c r="L78" s="333" t="s">
        <v>240</v>
      </c>
      <c r="M78" s="333"/>
      <c r="N78" s="333"/>
      <c r="O78" s="333"/>
      <c r="P78" s="334"/>
      <c r="Q78" s="334"/>
      <c r="R78" s="334"/>
      <c r="S78" s="8"/>
      <c r="T78" s="8"/>
      <c r="V78" s="344"/>
      <c r="W78" s="344"/>
      <c r="X78" s="366"/>
      <c r="Y78" s="366"/>
      <c r="AI78" s="30"/>
      <c r="AJ78" s="525"/>
      <c r="AK78" s="531" t="s">
        <v>240</v>
      </c>
      <c r="AL78" s="531"/>
      <c r="AM78" s="531"/>
      <c r="AN78" s="527"/>
      <c r="AO78" s="527"/>
      <c r="AP78" s="527"/>
      <c r="AQ78" s="8"/>
      <c r="AR78" s="8"/>
      <c r="AS78" s="344"/>
      <c r="AT78" s="344"/>
      <c r="BD78" s="30"/>
      <c r="BE78" s="525"/>
      <c r="BF78" s="531" t="s">
        <v>240</v>
      </c>
      <c r="BG78" s="531"/>
      <c r="BH78" s="531"/>
      <c r="BI78" s="527"/>
      <c r="BJ78" s="527"/>
      <c r="BK78" s="527"/>
      <c r="BL78" s="8"/>
      <c r="BM78" s="8"/>
      <c r="BN78" s="340"/>
      <c r="BY78" s="30"/>
      <c r="BZ78" s="525"/>
      <c r="CA78" s="531" t="s">
        <v>240</v>
      </c>
      <c r="CB78" s="531"/>
      <c r="CC78" s="531"/>
      <c r="CD78" s="531"/>
      <c r="CE78" s="527"/>
      <c r="CF78" s="527"/>
      <c r="CG78" s="527"/>
      <c r="CH78" s="8"/>
      <c r="CI78" s="8"/>
      <c r="CU78" s="30"/>
      <c r="CV78" s="525"/>
      <c r="CW78" s="531" t="s">
        <v>240</v>
      </c>
      <c r="CX78" s="531"/>
      <c r="CY78" s="531"/>
      <c r="CZ78" s="531"/>
      <c r="DA78" s="527"/>
      <c r="DB78" s="527"/>
      <c r="DC78" s="527"/>
      <c r="DD78" s="8"/>
      <c r="DE78" s="8"/>
      <c r="DQ78" s="30"/>
      <c r="DR78" s="525"/>
      <c r="DS78" s="531" t="s">
        <v>240</v>
      </c>
      <c r="DT78" s="531"/>
      <c r="DU78" s="531"/>
      <c r="DV78" s="531"/>
      <c r="DW78" s="527"/>
      <c r="DX78" s="527"/>
      <c r="DY78" s="527"/>
      <c r="DZ78" s="8"/>
      <c r="EA78" s="8"/>
    </row>
    <row r="79" spans="1:131" x14ac:dyDescent="0.2">
      <c r="J79" s="30"/>
      <c r="K79" s="525"/>
      <c r="L79" s="339" t="s">
        <v>39</v>
      </c>
      <c r="M79" s="339"/>
      <c r="N79" s="339"/>
      <c r="O79" s="89"/>
      <c r="P79" s="8"/>
      <c r="Q79" s="546" t="str">
        <f>IF(O80="","",O80*1.3)</f>
        <v/>
      </c>
      <c r="R79" s="564"/>
      <c r="S79" s="8"/>
      <c r="T79" s="8"/>
      <c r="V79" s="344"/>
      <c r="W79" s="344"/>
      <c r="X79" s="344"/>
      <c r="Y79" s="344"/>
      <c r="AI79" s="30"/>
      <c r="AJ79" s="525"/>
      <c r="AK79" s="339" t="s">
        <v>39</v>
      </c>
      <c r="AL79" s="339"/>
      <c r="AM79" s="67" t="str">
        <f>IF(O79="","",O79)</f>
        <v/>
      </c>
      <c r="AN79" s="8"/>
      <c r="AO79" s="546" t="str">
        <f>IF(AM80="","",AM80*1.3)</f>
        <v/>
      </c>
      <c r="AP79" s="564"/>
      <c r="AQ79" s="8"/>
      <c r="AR79" s="8"/>
      <c r="AS79" s="344"/>
      <c r="AT79" s="344"/>
      <c r="BD79" s="30"/>
      <c r="BE79" s="525"/>
      <c r="BF79" s="339" t="s">
        <v>39</v>
      </c>
      <c r="BG79" s="339"/>
      <c r="BH79" s="67" t="str">
        <f>AM79</f>
        <v/>
      </c>
      <c r="BI79" s="8"/>
      <c r="BJ79" s="546" t="str">
        <f>IF(BH80="","",BH80*1.3)</f>
        <v/>
      </c>
      <c r="BK79" s="564"/>
      <c r="BL79" s="8"/>
      <c r="BM79" s="8"/>
      <c r="BN79" s="340"/>
      <c r="BY79" s="30"/>
      <c r="BZ79" s="525"/>
      <c r="CA79" s="339" t="s">
        <v>39</v>
      </c>
      <c r="CB79" s="339"/>
      <c r="CC79" s="339"/>
      <c r="CD79" s="67" t="str">
        <f>BH79</f>
        <v/>
      </c>
      <c r="CE79" s="8"/>
      <c r="CF79" s="546" t="str">
        <f>IF(CD80="","",CD80*1.3)</f>
        <v/>
      </c>
      <c r="CG79" s="564"/>
      <c r="CH79" s="8"/>
      <c r="CI79" s="8"/>
      <c r="CU79" s="30"/>
      <c r="CV79" s="525"/>
      <c r="CW79" s="339" t="s">
        <v>39</v>
      </c>
      <c r="CX79" s="339"/>
      <c r="CY79" s="339"/>
      <c r="CZ79" s="67" t="str">
        <f>CD79</f>
        <v/>
      </c>
      <c r="DA79" s="8"/>
      <c r="DB79" s="546" t="str">
        <f>IF(CZ80="","",CZ80*1.3)</f>
        <v/>
      </c>
      <c r="DC79" s="564"/>
      <c r="DD79" s="8"/>
      <c r="DE79" s="8"/>
      <c r="DQ79" s="30"/>
      <c r="DR79" s="525"/>
      <c r="DS79" s="339" t="s">
        <v>39</v>
      </c>
      <c r="DT79" s="339"/>
      <c r="DU79" s="339"/>
      <c r="DV79" s="67" t="str">
        <f>CZ79</f>
        <v/>
      </c>
      <c r="DW79" s="8"/>
      <c r="DX79" s="546" t="str">
        <f>IF(DV80="","",DV80*1.3)</f>
        <v/>
      </c>
      <c r="DY79" s="564"/>
      <c r="DZ79" s="8"/>
      <c r="EA79" s="8"/>
    </row>
    <row r="80" spans="1:131" ht="15" x14ac:dyDescent="0.2">
      <c r="A80" s="520" t="s">
        <v>51</v>
      </c>
      <c r="B80" s="520"/>
      <c r="C80" s="520"/>
      <c r="D80" s="520"/>
      <c r="E80" s="520"/>
      <c r="F80" s="520"/>
      <c r="J80" s="30"/>
      <c r="K80" s="525"/>
      <c r="L80" s="345" t="s">
        <v>61</v>
      </c>
      <c r="M80" s="339"/>
      <c r="N80" s="68"/>
      <c r="O80" s="10" t="str">
        <f>IF(O79="","",IF(O79&gt;0,(ROUNDUP(H35/O79,))))</f>
        <v/>
      </c>
      <c r="P80" s="8"/>
      <c r="Q80" s="8"/>
      <c r="R80" s="8"/>
      <c r="S80" s="8" t="s">
        <v>23</v>
      </c>
      <c r="T80" s="8"/>
      <c r="V80" s="344"/>
      <c r="W80" s="343"/>
      <c r="X80" s="343"/>
      <c r="Y80" s="343"/>
      <c r="Z80" s="520" t="s">
        <v>51</v>
      </c>
      <c r="AA80" s="520"/>
      <c r="AB80" s="520"/>
      <c r="AC80" s="520"/>
      <c r="AD80" s="520"/>
      <c r="AE80" s="520"/>
      <c r="AI80" s="30"/>
      <c r="AJ80" s="525"/>
      <c r="AK80" s="345" t="s">
        <v>61</v>
      </c>
      <c r="AL80" s="69"/>
      <c r="AM80" s="10" t="str">
        <f>IF(AM79="","",IF(AM79&gt;0,(ROUNDUP(AG35/AM79,))))</f>
        <v/>
      </c>
      <c r="AN80" s="8"/>
      <c r="AO80" s="8"/>
      <c r="AP80" s="8"/>
      <c r="AQ80" s="8" t="s">
        <v>23</v>
      </c>
      <c r="AR80" s="8"/>
      <c r="AS80" s="344"/>
      <c r="AT80" s="344"/>
      <c r="AU80" s="520" t="s">
        <v>51</v>
      </c>
      <c r="AV80" s="520"/>
      <c r="AW80" s="520"/>
      <c r="AX80" s="520"/>
      <c r="AY80" s="520"/>
      <c r="AZ80" s="520"/>
      <c r="BD80" s="30"/>
      <c r="BE80" s="525"/>
      <c r="BF80" s="345" t="s">
        <v>61</v>
      </c>
      <c r="BG80" s="68"/>
      <c r="BH80" s="10" t="str">
        <f>IF(BH79="","",IF(BH79&gt;0,(ROUNDUP(BB35/BH79,))))</f>
        <v/>
      </c>
      <c r="BI80" s="8"/>
      <c r="BJ80" s="8"/>
      <c r="BK80" s="8"/>
      <c r="BL80" s="8" t="s">
        <v>23</v>
      </c>
      <c r="BM80" s="8"/>
      <c r="BN80" s="340"/>
      <c r="BP80" s="520" t="s">
        <v>51</v>
      </c>
      <c r="BQ80" s="520"/>
      <c r="BR80" s="520"/>
      <c r="BS80" s="520"/>
      <c r="BT80" s="520"/>
      <c r="BU80" s="520"/>
      <c r="BY80" s="30"/>
      <c r="BZ80" s="525"/>
      <c r="CA80" s="345" t="s">
        <v>61</v>
      </c>
      <c r="CB80" s="339"/>
      <c r="CC80" s="68"/>
      <c r="CD80" s="10" t="str">
        <f>IF(CD79="","",IF(CD79&gt;0,(ROUNDUP(BW35/CD79,))))</f>
        <v/>
      </c>
      <c r="CE80" s="8"/>
      <c r="CF80" s="8"/>
      <c r="CG80" s="8"/>
      <c r="CH80" s="8" t="s">
        <v>23</v>
      </c>
      <c r="CI80" s="8"/>
      <c r="CL80" s="520" t="s">
        <v>51</v>
      </c>
      <c r="CM80" s="520"/>
      <c r="CN80" s="520"/>
      <c r="CO80" s="520"/>
      <c r="CP80" s="520"/>
      <c r="CQ80" s="520"/>
      <c r="CU80" s="30"/>
      <c r="CV80" s="525"/>
      <c r="CW80" s="345" t="s">
        <v>61</v>
      </c>
      <c r="CX80" s="339"/>
      <c r="CY80" s="68"/>
      <c r="CZ80" s="10" t="str">
        <f>IF(CZ79="","",IF(CZ79&gt;0,(ROUNDUP(CS35/CZ79,))))</f>
        <v/>
      </c>
      <c r="DA80" s="8"/>
      <c r="DB80" s="8"/>
      <c r="DC80" s="8"/>
      <c r="DD80" s="8" t="s">
        <v>23</v>
      </c>
      <c r="DE80" s="8"/>
      <c r="DH80" s="520" t="s">
        <v>51</v>
      </c>
      <c r="DI80" s="520"/>
      <c r="DJ80" s="520"/>
      <c r="DK80" s="520"/>
      <c r="DL80" s="520"/>
      <c r="DM80" s="520"/>
      <c r="DQ80" s="30"/>
      <c r="DR80" s="525"/>
      <c r="DS80" s="345" t="s">
        <v>61</v>
      </c>
      <c r="DT80" s="339"/>
      <c r="DU80" s="68"/>
      <c r="DV80" s="10" t="str">
        <f>IF(DV79="","",IF(DV79&gt;0,(ROUNDUP(DO35/DV79,))))</f>
        <v/>
      </c>
      <c r="DW80" s="8"/>
      <c r="DX80" s="8"/>
      <c r="DY80" s="8"/>
      <c r="DZ80" s="8" t="s">
        <v>23</v>
      </c>
      <c r="EA80" s="8"/>
    </row>
    <row r="81" spans="1:131" x14ac:dyDescent="0.2">
      <c r="A81" s="565" t="s">
        <v>59</v>
      </c>
      <c r="B81" s="527" t="s">
        <v>52</v>
      </c>
      <c r="C81" s="527"/>
      <c r="D81" s="527"/>
      <c r="E81" s="193"/>
      <c r="F81" s="147"/>
      <c r="G81" s="79"/>
      <c r="H81" s="8"/>
      <c r="I81" s="8"/>
      <c r="J81" s="80"/>
      <c r="K81" s="525"/>
      <c r="L81" s="81"/>
      <c r="M81" s="12"/>
      <c r="N81" s="12"/>
      <c r="O81" s="12"/>
      <c r="P81" s="12"/>
      <c r="Q81" s="12"/>
      <c r="R81" s="12"/>
      <c r="S81" s="12"/>
      <c r="T81" s="12"/>
      <c r="V81" s="344"/>
      <c r="W81" s="82"/>
      <c r="X81" s="344"/>
      <c r="Y81" s="344"/>
      <c r="Z81" s="565" t="s">
        <v>59</v>
      </c>
      <c r="AA81" s="527" t="s">
        <v>52</v>
      </c>
      <c r="AB81" s="527"/>
      <c r="AC81" s="527"/>
      <c r="AD81" s="193" t="str">
        <f>IF($E$81="","",$E$81)</f>
        <v/>
      </c>
      <c r="AE81" s="118"/>
      <c r="AF81" s="79"/>
      <c r="AG81" s="8"/>
      <c r="AH81" s="8"/>
      <c r="AI81" s="80"/>
      <c r="AJ81" s="525"/>
      <c r="AK81" s="81"/>
      <c r="AL81" s="12"/>
      <c r="AM81" s="12"/>
      <c r="AN81" s="12"/>
      <c r="AO81" s="12"/>
      <c r="AP81" s="12"/>
      <c r="AQ81" s="12"/>
      <c r="AR81" s="12"/>
      <c r="AS81" s="344"/>
      <c r="AT81" s="344"/>
      <c r="AU81" s="565" t="s">
        <v>59</v>
      </c>
      <c r="AV81" s="527" t="s">
        <v>52</v>
      </c>
      <c r="AW81" s="527"/>
      <c r="AX81" s="527"/>
      <c r="AY81" s="193" t="str">
        <f>IF($E$81="","",$E$81)</f>
        <v/>
      </c>
      <c r="AZ81" s="118" t="str">
        <f>IF($F$81="","",($F$81/$G$18)*M18)</f>
        <v/>
      </c>
      <c r="BA81" s="8"/>
      <c r="BB81" s="8"/>
      <c r="BC81" s="8"/>
      <c r="BD81" s="80"/>
      <c r="BE81" s="525"/>
      <c r="BF81" s="81"/>
      <c r="BG81" s="12"/>
      <c r="BH81" s="12"/>
      <c r="BI81" s="12"/>
      <c r="BJ81" s="12"/>
      <c r="BK81" s="12"/>
      <c r="BL81" s="12"/>
      <c r="BM81" s="12"/>
      <c r="BN81" s="340"/>
      <c r="BP81" s="565" t="s">
        <v>59</v>
      </c>
      <c r="BQ81" s="527" t="s">
        <v>52</v>
      </c>
      <c r="BR81" s="527"/>
      <c r="BS81" s="527"/>
      <c r="BT81" s="193"/>
      <c r="BU81" s="118" t="str">
        <f>IF($F$81="","",($F$81/$G$18)*G29)</f>
        <v/>
      </c>
      <c r="BV81" s="79"/>
      <c r="BW81" s="8"/>
      <c r="BX81" s="8"/>
      <c r="BY81" s="80"/>
      <c r="BZ81" s="525"/>
      <c r="CA81" s="81"/>
      <c r="CB81" s="12"/>
      <c r="CC81" s="12"/>
      <c r="CD81" s="12"/>
      <c r="CE81" s="12"/>
      <c r="CF81" s="12"/>
      <c r="CG81" s="12"/>
      <c r="CH81" s="12"/>
      <c r="CI81" s="12"/>
      <c r="CL81" s="565" t="s">
        <v>59</v>
      </c>
      <c r="CM81" s="527" t="s">
        <v>52</v>
      </c>
      <c r="CN81" s="527"/>
      <c r="CO81" s="527"/>
      <c r="CP81" s="193"/>
      <c r="CQ81" s="118" t="str">
        <f>IF($F$81="","",($F$81/$G$18)*J29)</f>
        <v/>
      </c>
      <c r="CR81" s="79"/>
      <c r="CS81" s="8"/>
      <c r="CT81" s="8"/>
      <c r="CU81" s="80"/>
      <c r="CV81" s="525"/>
      <c r="CW81" s="81"/>
      <c r="CX81" s="12"/>
      <c r="CY81" s="12"/>
      <c r="CZ81" s="12"/>
      <c r="DA81" s="12"/>
      <c r="DB81" s="12"/>
      <c r="DC81" s="12"/>
      <c r="DD81" s="12"/>
      <c r="DE81" s="12"/>
      <c r="DH81" s="565" t="s">
        <v>59</v>
      </c>
      <c r="DI81" s="527" t="s">
        <v>52</v>
      </c>
      <c r="DJ81" s="527"/>
      <c r="DK81" s="527"/>
      <c r="DL81" s="193"/>
      <c r="DM81" s="118" t="str">
        <f>IF($F$81="","",($F$81/$G$18)*M29)</f>
        <v/>
      </c>
      <c r="DN81" s="79"/>
      <c r="DO81" s="8"/>
      <c r="DP81" s="8"/>
      <c r="DQ81" s="80"/>
      <c r="DR81" s="525"/>
      <c r="DS81" s="81"/>
      <c r="DT81" s="12"/>
      <c r="DU81" s="12"/>
      <c r="DV81" s="12"/>
      <c r="DW81" s="12"/>
      <c r="DX81" s="12"/>
      <c r="DY81" s="12"/>
      <c r="DZ81" s="12"/>
      <c r="EA81" s="12"/>
    </row>
    <row r="82" spans="1:131" ht="15.75" thickBot="1" x14ac:dyDescent="0.25">
      <c r="A82" s="566"/>
      <c r="B82" s="527" t="s">
        <v>53</v>
      </c>
      <c r="C82" s="527"/>
      <c r="D82" s="527"/>
      <c r="E82" s="193"/>
      <c r="F82" s="197"/>
      <c r="G82" s="79"/>
      <c r="H82" s="8"/>
      <c r="I82" s="8"/>
      <c r="J82" s="80"/>
      <c r="K82" s="526"/>
      <c r="L82" s="335" t="s">
        <v>8</v>
      </c>
      <c r="M82" s="336"/>
      <c r="N82" s="336"/>
      <c r="O82" s="336"/>
      <c r="P82" s="336"/>
      <c r="Q82" s="336"/>
      <c r="R82" s="569">
        <f>SUM(Q47,Q48,Q49,Q50,S49,Q53,Q54,Q58,Q59,Q63,Q64,Q65,Q69,Q74,Q75,Q79)</f>
        <v>0</v>
      </c>
      <c r="S82" s="570"/>
      <c r="T82" s="570"/>
      <c r="V82" s="344"/>
      <c r="W82" s="82"/>
      <c r="X82" s="344"/>
      <c r="Y82" s="344"/>
      <c r="Z82" s="566"/>
      <c r="AA82" s="527" t="s">
        <v>53</v>
      </c>
      <c r="AB82" s="527"/>
      <c r="AC82" s="527"/>
      <c r="AD82" s="193"/>
      <c r="AE82" s="8"/>
      <c r="AF82" s="79"/>
      <c r="AG82" s="8"/>
      <c r="AH82" s="8"/>
      <c r="AI82" s="80"/>
      <c r="AJ82" s="526"/>
      <c r="AK82" s="567" t="s">
        <v>8</v>
      </c>
      <c r="AL82" s="568"/>
      <c r="AM82" s="568"/>
      <c r="AN82" s="568"/>
      <c r="AO82" s="568"/>
      <c r="AP82" s="569">
        <f>SUM(AO74,AO69,AO65,AO64,AO63,AO59,AO58,AO54,AO53,AO49,AO48,AO47,AO75,AQ49,AO50,AO79)</f>
        <v>0</v>
      </c>
      <c r="AQ82" s="570"/>
      <c r="AR82" s="570"/>
      <c r="AS82" s="70"/>
      <c r="AT82" s="344"/>
      <c r="AU82" s="566"/>
      <c r="AV82" s="527" t="s">
        <v>53</v>
      </c>
      <c r="AW82" s="527"/>
      <c r="AX82" s="527"/>
      <c r="AY82" s="193"/>
      <c r="AZ82" s="8"/>
      <c r="BA82" s="79"/>
      <c r="BB82" s="8"/>
      <c r="BC82" s="8"/>
      <c r="BD82" s="80"/>
      <c r="BE82" s="526"/>
      <c r="BF82" s="567" t="s">
        <v>8</v>
      </c>
      <c r="BG82" s="568"/>
      <c r="BH82" s="568"/>
      <c r="BI82" s="568"/>
      <c r="BJ82" s="568"/>
      <c r="BK82" s="569">
        <f>SUM(BJ79,BJ74,BJ69,BJ65,BJ64,BJ63,BJ59,BJ58,BJ54,BJ53,BJ49,BJ48,BJ47,BJ75,BL49,BJ50)</f>
        <v>0</v>
      </c>
      <c r="BL82" s="570"/>
      <c r="BM82" s="570"/>
      <c r="BN82" s="340"/>
      <c r="BP82" s="566"/>
      <c r="BQ82" s="527" t="s">
        <v>53</v>
      </c>
      <c r="BR82" s="527"/>
      <c r="BS82" s="527"/>
      <c r="BT82" s="193"/>
      <c r="BU82" s="8"/>
      <c r="BV82" s="79"/>
      <c r="BW82" s="8"/>
      <c r="BX82" s="8"/>
      <c r="BY82" s="80"/>
      <c r="BZ82" s="526"/>
      <c r="CA82" s="567" t="s">
        <v>8</v>
      </c>
      <c r="CB82" s="568"/>
      <c r="CC82" s="568"/>
      <c r="CD82" s="568"/>
      <c r="CE82" s="568"/>
      <c r="CF82" s="568"/>
      <c r="CG82" s="569">
        <f>SUM(CF79,CF75,CF74,CF69,CF65,CF64,CF63,CF59,CF58,CF54,CF53,CF49,CH49,CF48,CF47,CF50)</f>
        <v>0</v>
      </c>
      <c r="CH82" s="570"/>
      <c r="CI82" s="570"/>
      <c r="CL82" s="566"/>
      <c r="CM82" s="527" t="s">
        <v>53</v>
      </c>
      <c r="CN82" s="527"/>
      <c r="CO82" s="527"/>
      <c r="CP82" s="193"/>
      <c r="CQ82" s="8"/>
      <c r="CR82" s="79"/>
      <c r="CS82" s="8"/>
      <c r="CT82" s="8"/>
      <c r="CU82" s="80"/>
      <c r="CV82" s="526"/>
      <c r="CW82" s="567" t="s">
        <v>8</v>
      </c>
      <c r="CX82" s="568"/>
      <c r="CY82" s="568"/>
      <c r="CZ82" s="568"/>
      <c r="DA82" s="568"/>
      <c r="DB82" s="568"/>
      <c r="DC82" s="569">
        <f>SUM(DB79,DB75,DB74,DB69,DB65,DB64,DB63,DB59,DB58,DB54,DB53,DB49,DD49,DB48,DB47,DB50)</f>
        <v>0</v>
      </c>
      <c r="DD82" s="570"/>
      <c r="DE82" s="570"/>
      <c r="DH82" s="566"/>
      <c r="DI82" s="527" t="s">
        <v>53</v>
      </c>
      <c r="DJ82" s="527"/>
      <c r="DK82" s="527"/>
      <c r="DL82" s="193"/>
      <c r="DM82" s="8"/>
      <c r="DN82" s="79"/>
      <c r="DO82" s="8"/>
      <c r="DP82" s="8"/>
      <c r="DQ82" s="80"/>
      <c r="DR82" s="526"/>
      <c r="DS82" s="567" t="s">
        <v>8</v>
      </c>
      <c r="DT82" s="568"/>
      <c r="DU82" s="568"/>
      <c r="DV82" s="568"/>
      <c r="DW82" s="568"/>
      <c r="DX82" s="568"/>
      <c r="DY82" s="569">
        <f>SUM(DX79,DX75,DX74,DX69,DX65,DX64,DX63,DX59,DX58,DX54,DX53,DX49,DZ49,DX48,DX47,DX50)</f>
        <v>0</v>
      </c>
      <c r="DZ82" s="570"/>
      <c r="EA82" s="570"/>
    </row>
    <row r="83" spans="1:131" x14ac:dyDescent="0.2">
      <c r="A83" s="566"/>
      <c r="B83" s="527" t="s">
        <v>54</v>
      </c>
      <c r="C83" s="527"/>
      <c r="D83" s="527"/>
      <c r="E83" s="193"/>
      <c r="F83" s="197"/>
      <c r="G83" s="79"/>
      <c r="H83" s="8"/>
      <c r="I83" s="8"/>
      <c r="J83" s="80"/>
      <c r="V83" s="344"/>
      <c r="W83" s="82"/>
      <c r="X83" s="344"/>
      <c r="Y83" s="344"/>
      <c r="Z83" s="566"/>
      <c r="AA83" s="527" t="s">
        <v>54</v>
      </c>
      <c r="AB83" s="527"/>
      <c r="AC83" s="527"/>
      <c r="AD83" s="193"/>
      <c r="AE83" s="8"/>
      <c r="AF83" s="79"/>
      <c r="AG83" s="8"/>
      <c r="AH83" s="8"/>
      <c r="AI83" s="80"/>
      <c r="AS83" s="344"/>
      <c r="AT83" s="344"/>
      <c r="AU83" s="566"/>
      <c r="AV83" s="527" t="s">
        <v>54</v>
      </c>
      <c r="AW83" s="527"/>
      <c r="AX83" s="527"/>
      <c r="AY83" s="193"/>
      <c r="AZ83" s="8"/>
      <c r="BA83" s="79"/>
      <c r="BB83" s="8"/>
      <c r="BC83" s="8"/>
      <c r="BD83" s="80"/>
      <c r="BN83" s="340"/>
      <c r="BP83" s="566"/>
      <c r="BQ83" s="527" t="s">
        <v>54</v>
      </c>
      <c r="BR83" s="527"/>
      <c r="BS83" s="527"/>
      <c r="BT83" s="193"/>
      <c r="BU83" s="8"/>
      <c r="BV83" s="79"/>
      <c r="BW83" s="8"/>
      <c r="BX83" s="8"/>
      <c r="BY83" s="80"/>
      <c r="CL83" s="566"/>
      <c r="CM83" s="527" t="s">
        <v>54</v>
      </c>
      <c r="CN83" s="527"/>
      <c r="CO83" s="527"/>
      <c r="CP83" s="193"/>
      <c r="CQ83" s="8"/>
      <c r="CR83" s="79"/>
      <c r="CS83" s="8"/>
      <c r="CT83" s="8"/>
      <c r="CU83" s="80"/>
      <c r="DH83" s="566"/>
      <c r="DI83" s="527" t="s">
        <v>54</v>
      </c>
      <c r="DJ83" s="527"/>
      <c r="DK83" s="527"/>
      <c r="DL83" s="193"/>
      <c r="DM83" s="8"/>
      <c r="DN83" s="79"/>
      <c r="DO83" s="8"/>
      <c r="DP83" s="8"/>
      <c r="DQ83" s="80"/>
    </row>
    <row r="84" spans="1:131" x14ac:dyDescent="0.2">
      <c r="A84" s="566"/>
      <c r="B84" s="527" t="s">
        <v>55</v>
      </c>
      <c r="C84" s="527"/>
      <c r="D84" s="527"/>
      <c r="E84" s="193"/>
      <c r="F84" s="197"/>
      <c r="G84" s="79"/>
      <c r="H84" s="8"/>
      <c r="I84" s="8"/>
      <c r="J84" s="80"/>
      <c r="V84" s="344"/>
      <c r="W84" s="82"/>
      <c r="X84" s="344"/>
      <c r="Y84" s="344"/>
      <c r="Z84" s="566"/>
      <c r="AA84" s="527" t="s">
        <v>55</v>
      </c>
      <c r="AB84" s="527"/>
      <c r="AC84" s="527"/>
      <c r="AD84" s="193"/>
      <c r="AE84" s="8"/>
      <c r="AF84" s="79"/>
      <c r="AG84" s="8"/>
      <c r="AH84" s="8"/>
      <c r="AI84" s="80"/>
      <c r="AS84" s="344"/>
      <c r="AT84" s="344"/>
      <c r="AU84" s="566"/>
      <c r="AV84" s="527" t="s">
        <v>55</v>
      </c>
      <c r="AW84" s="527"/>
      <c r="AX84" s="527"/>
      <c r="AY84" s="193"/>
      <c r="AZ84" s="8"/>
      <c r="BA84" s="79"/>
      <c r="BB84" s="8"/>
      <c r="BC84" s="8"/>
      <c r="BD84" s="80"/>
      <c r="BN84" s="340"/>
      <c r="BP84" s="566"/>
      <c r="BQ84" s="527" t="s">
        <v>55</v>
      </c>
      <c r="BR84" s="527"/>
      <c r="BS84" s="527"/>
      <c r="BT84" s="193"/>
      <c r="BU84" s="8"/>
      <c r="BV84" s="79"/>
      <c r="BW84" s="8"/>
      <c r="BX84" s="8"/>
      <c r="BY84" s="80"/>
      <c r="CL84" s="566"/>
      <c r="CM84" s="527" t="s">
        <v>55</v>
      </c>
      <c r="CN84" s="527"/>
      <c r="CO84" s="527"/>
      <c r="CP84" s="193"/>
      <c r="CQ84" s="8"/>
      <c r="CR84" s="79"/>
      <c r="CS84" s="8"/>
      <c r="CT84" s="8"/>
      <c r="CU84" s="80"/>
      <c r="DH84" s="566"/>
      <c r="DI84" s="527" t="s">
        <v>55</v>
      </c>
      <c r="DJ84" s="527"/>
      <c r="DK84" s="527"/>
      <c r="DL84" s="193"/>
      <c r="DM84" s="8"/>
      <c r="DN84" s="79"/>
      <c r="DO84" s="8"/>
      <c r="DP84" s="8"/>
      <c r="DQ84" s="80"/>
    </row>
    <row r="85" spans="1:131" x14ac:dyDescent="0.2">
      <c r="A85" s="566"/>
      <c r="B85" s="527" t="s">
        <v>20</v>
      </c>
      <c r="C85" s="527"/>
      <c r="D85" s="527"/>
      <c r="E85" s="193"/>
      <c r="F85" s="197"/>
      <c r="G85" s="79"/>
      <c r="H85" s="8"/>
      <c r="I85" s="8"/>
      <c r="J85" s="80"/>
      <c r="V85" s="344"/>
      <c r="W85" s="82"/>
      <c r="X85" s="344"/>
      <c r="Y85" s="344"/>
      <c r="Z85" s="566"/>
      <c r="AA85" s="527" t="s">
        <v>20</v>
      </c>
      <c r="AB85" s="527"/>
      <c r="AC85" s="527"/>
      <c r="AD85" s="193"/>
      <c r="AE85" s="8"/>
      <c r="AF85" s="79"/>
      <c r="AG85" s="8"/>
      <c r="AH85" s="8"/>
      <c r="AI85" s="80"/>
      <c r="AS85" s="344"/>
      <c r="AT85" s="344"/>
      <c r="AU85" s="566"/>
      <c r="AV85" s="527" t="s">
        <v>20</v>
      </c>
      <c r="AW85" s="527"/>
      <c r="AX85" s="527"/>
      <c r="AY85" s="193"/>
      <c r="AZ85" s="8"/>
      <c r="BA85" s="79"/>
      <c r="BB85" s="8"/>
      <c r="BC85" s="8"/>
      <c r="BD85" s="80"/>
      <c r="BN85" s="340"/>
      <c r="BP85" s="566"/>
      <c r="BQ85" s="527" t="s">
        <v>20</v>
      </c>
      <c r="BR85" s="527"/>
      <c r="BS85" s="527"/>
      <c r="BT85" s="193"/>
      <c r="BU85" s="8"/>
      <c r="BV85" s="79"/>
      <c r="BW85" s="8"/>
      <c r="BX85" s="8"/>
      <c r="BY85" s="80"/>
      <c r="CL85" s="566"/>
      <c r="CM85" s="527" t="s">
        <v>20</v>
      </c>
      <c r="CN85" s="527"/>
      <c r="CO85" s="527"/>
      <c r="CP85" s="193"/>
      <c r="CQ85" s="8"/>
      <c r="CR85" s="79"/>
      <c r="CS85" s="8"/>
      <c r="CT85" s="8"/>
      <c r="CU85" s="80"/>
      <c r="DH85" s="566"/>
      <c r="DI85" s="527" t="s">
        <v>20</v>
      </c>
      <c r="DJ85" s="527"/>
      <c r="DK85" s="527"/>
      <c r="DL85" s="193"/>
      <c r="DM85" s="8"/>
      <c r="DN85" s="79"/>
      <c r="DO85" s="8"/>
      <c r="DP85" s="8"/>
      <c r="DQ85" s="80"/>
    </row>
    <row r="86" spans="1:131" ht="21" thickBot="1" x14ac:dyDescent="0.35">
      <c r="A86" s="566"/>
      <c r="B86" s="527" t="s">
        <v>56</v>
      </c>
      <c r="C86" s="527"/>
      <c r="D86" s="527"/>
      <c r="E86" s="193"/>
      <c r="F86" s="197"/>
      <c r="G86" s="79"/>
      <c r="H86" s="8"/>
      <c r="I86" s="8"/>
      <c r="J86" s="344"/>
      <c r="K86" s="11"/>
      <c r="L86" s="337" t="s">
        <v>50</v>
      </c>
      <c r="M86" s="337"/>
      <c r="N86" s="337"/>
      <c r="O86" s="338"/>
      <c r="P86" s="338"/>
      <c r="Q86" s="338"/>
      <c r="R86" s="573">
        <f>SUM(R82,G75,S40,H42,H50,E88)</f>
        <v>339.47528303958336</v>
      </c>
      <c r="S86" s="573"/>
      <c r="T86" s="573"/>
      <c r="V86" s="344"/>
      <c r="W86" s="82"/>
      <c r="X86" s="344"/>
      <c r="Y86" s="344"/>
      <c r="Z86" s="566"/>
      <c r="AA86" s="527" t="s">
        <v>56</v>
      </c>
      <c r="AB86" s="527"/>
      <c r="AC86" s="527"/>
      <c r="AD86" s="193"/>
      <c r="AE86" s="8"/>
      <c r="AF86" s="79"/>
      <c r="AG86" s="8"/>
      <c r="AH86" s="8"/>
      <c r="AI86" s="344"/>
      <c r="AJ86" s="11"/>
      <c r="AK86" s="571" t="s">
        <v>50</v>
      </c>
      <c r="AL86" s="571"/>
      <c r="AM86" s="572"/>
      <c r="AN86" s="572"/>
      <c r="AO86" s="572"/>
      <c r="AP86" s="573">
        <f>SUM(AG42,AG50,AF75,AD88,AQ40,AP82)</f>
        <v>478.54672959583337</v>
      </c>
      <c r="AQ86" s="573"/>
      <c r="AR86" s="573"/>
      <c r="AS86" s="71"/>
      <c r="AT86" s="344"/>
      <c r="AU86" s="566"/>
      <c r="AV86" s="527" t="s">
        <v>56</v>
      </c>
      <c r="AW86" s="527"/>
      <c r="AX86" s="527"/>
      <c r="AY86" s="193"/>
      <c r="AZ86" s="8"/>
      <c r="BA86" s="79"/>
      <c r="BB86" s="8"/>
      <c r="BC86" s="8"/>
      <c r="BD86" s="344"/>
      <c r="BE86" s="11"/>
      <c r="BF86" s="571" t="s">
        <v>50</v>
      </c>
      <c r="BG86" s="571"/>
      <c r="BH86" s="572"/>
      <c r="BI86" s="572"/>
      <c r="BJ86" s="572"/>
      <c r="BK86" s="573">
        <f>SUM(BK82,BA75,BL40,BB42,BB50,AY88)</f>
        <v>478.54672959583331</v>
      </c>
      <c r="BL86" s="573"/>
      <c r="BM86" s="573"/>
      <c r="BN86" s="340"/>
      <c r="BP86" s="566"/>
      <c r="BQ86" s="527" t="s">
        <v>56</v>
      </c>
      <c r="BR86" s="527"/>
      <c r="BS86" s="527"/>
      <c r="BT86" s="193"/>
      <c r="BU86" s="8"/>
      <c r="BV86" s="79"/>
      <c r="BW86" s="8"/>
      <c r="BX86" s="8"/>
      <c r="BY86" s="344"/>
      <c r="BZ86" s="11"/>
      <c r="CA86" s="571" t="s">
        <v>50</v>
      </c>
      <c r="CB86" s="571"/>
      <c r="CC86" s="571"/>
      <c r="CD86" s="572"/>
      <c r="CE86" s="572"/>
      <c r="CF86" s="572"/>
      <c r="CG86" s="573">
        <f>SUM(CG82,BV75,CH40,BW42,BW50,BT88)</f>
        <v>215.82712788750001</v>
      </c>
      <c r="CH86" s="573"/>
      <c r="CI86" s="573"/>
      <c r="CL86" s="566"/>
      <c r="CM86" s="527" t="s">
        <v>56</v>
      </c>
      <c r="CN86" s="527"/>
      <c r="CO86" s="527"/>
      <c r="CP86" s="193"/>
      <c r="CQ86" s="8"/>
      <c r="CR86" s="79"/>
      <c r="CS86" s="8"/>
      <c r="CT86" s="8"/>
      <c r="CU86" s="344"/>
      <c r="CV86" s="11"/>
      <c r="CW86" s="571" t="s">
        <v>50</v>
      </c>
      <c r="CX86" s="571"/>
      <c r="CY86" s="571"/>
      <c r="CZ86" s="572"/>
      <c r="DA86" s="572"/>
      <c r="DB86" s="572"/>
      <c r="DC86" s="573">
        <f>SUM(DC82,CR75,DD40,CS42,CS50,CP88)</f>
        <v>215.82712788750001</v>
      </c>
      <c r="DD86" s="573"/>
      <c r="DE86" s="573"/>
      <c r="DH86" s="566"/>
      <c r="DI86" s="527" t="s">
        <v>56</v>
      </c>
      <c r="DJ86" s="527"/>
      <c r="DK86" s="527"/>
      <c r="DL86" s="193"/>
      <c r="DM86" s="8"/>
      <c r="DN86" s="79"/>
      <c r="DO86" s="8"/>
      <c r="DP86" s="8"/>
      <c r="DQ86" s="344"/>
      <c r="DR86" s="11"/>
      <c r="DS86" s="571" t="s">
        <v>50</v>
      </c>
      <c r="DT86" s="571"/>
      <c r="DU86" s="571"/>
      <c r="DV86" s="572"/>
      <c r="DW86" s="572"/>
      <c r="DX86" s="572"/>
      <c r="DY86" s="573">
        <f>SUM(DY82,DN75,DZ40,DO42,DO50,DL88)</f>
        <v>215.82712788750001</v>
      </c>
      <c r="DZ86" s="573"/>
      <c r="EA86" s="573"/>
    </row>
    <row r="87" spans="1:131" x14ac:dyDescent="0.2">
      <c r="V87" s="344"/>
      <c r="W87" s="344"/>
      <c r="X87" s="344"/>
      <c r="Y87" s="344"/>
      <c r="AS87" s="344"/>
      <c r="AT87" s="344"/>
      <c r="BN87" s="340"/>
    </row>
    <row r="88" spans="1:131" ht="15.75" thickBot="1" x14ac:dyDescent="0.25">
      <c r="A88" s="11"/>
      <c r="B88" s="578" t="s">
        <v>8</v>
      </c>
      <c r="C88" s="578"/>
      <c r="D88" s="578"/>
      <c r="E88" s="579">
        <f>SUM(F81:F86)</f>
        <v>0</v>
      </c>
      <c r="F88" s="580"/>
      <c r="G88" s="11"/>
      <c r="H88" s="11"/>
      <c r="I88" s="11"/>
      <c r="V88" s="344"/>
      <c r="W88" s="344"/>
      <c r="X88" s="343"/>
      <c r="Y88" s="343"/>
      <c r="Z88" s="11"/>
      <c r="AA88" s="578" t="s">
        <v>8</v>
      </c>
      <c r="AB88" s="578"/>
      <c r="AC88" s="578"/>
      <c r="AD88" s="579">
        <f>SUM(AE81:AE86)</f>
        <v>0</v>
      </c>
      <c r="AE88" s="580"/>
      <c r="AF88" s="11"/>
      <c r="AG88" s="11"/>
      <c r="AH88" s="11"/>
      <c r="AS88" s="344"/>
      <c r="AT88" s="344"/>
      <c r="AU88" s="11"/>
      <c r="AV88" s="578" t="s">
        <v>8</v>
      </c>
      <c r="AW88" s="578"/>
      <c r="AX88" s="578"/>
      <c r="AY88" s="579">
        <f>SUM(AZ81:AZ86)</f>
        <v>0</v>
      </c>
      <c r="AZ88" s="580"/>
      <c r="BA88" s="11"/>
      <c r="BB88" s="11"/>
      <c r="BC88" s="11"/>
      <c r="BN88" s="340"/>
      <c r="BP88" s="11"/>
      <c r="BQ88" s="578" t="s">
        <v>8</v>
      </c>
      <c r="BR88" s="578"/>
      <c r="BS88" s="578"/>
      <c r="BT88" s="579">
        <f>SUM(BU81:BU86)</f>
        <v>0</v>
      </c>
      <c r="BU88" s="580"/>
      <c r="BV88" s="11"/>
      <c r="BW88" s="11"/>
      <c r="BX88" s="11"/>
      <c r="CL88" s="11"/>
      <c r="CM88" s="578" t="s">
        <v>8</v>
      </c>
      <c r="CN88" s="578"/>
      <c r="CO88" s="578"/>
      <c r="CP88" s="579">
        <f>SUM(CQ81:CQ86)</f>
        <v>0</v>
      </c>
      <c r="CQ88" s="580"/>
      <c r="CR88" s="11"/>
      <c r="CS88" s="11"/>
      <c r="CT88" s="11"/>
      <c r="DH88" s="11"/>
      <c r="DI88" s="578" t="s">
        <v>8</v>
      </c>
      <c r="DJ88" s="578"/>
      <c r="DK88" s="578"/>
      <c r="DL88" s="579">
        <f>SUM(DM81:DM86)</f>
        <v>0</v>
      </c>
      <c r="DM88" s="580"/>
      <c r="DN88" s="11"/>
      <c r="DO88" s="11"/>
      <c r="DP88" s="11"/>
    </row>
    <row r="89" spans="1:131" ht="20.25" x14ac:dyDescent="0.3">
      <c r="V89" s="344"/>
      <c r="W89" s="344"/>
      <c r="X89" s="83"/>
      <c r="Y89" s="83"/>
      <c r="AS89" s="344"/>
      <c r="AT89" s="344"/>
      <c r="BN89" s="340"/>
    </row>
    <row r="90" spans="1:131" x14ac:dyDescent="0.2">
      <c r="V90" s="344"/>
      <c r="W90" s="344"/>
      <c r="X90" s="344"/>
      <c r="Y90" s="344"/>
      <c r="AS90" s="344"/>
      <c r="AT90" s="344"/>
      <c r="BN90" s="340"/>
    </row>
    <row r="91" spans="1:131" ht="23.25" x14ac:dyDescent="0.35">
      <c r="A91" s="574" t="s">
        <v>45</v>
      </c>
      <c r="B91" s="574"/>
      <c r="C91" s="574"/>
      <c r="D91" s="574"/>
      <c r="E91" s="574"/>
      <c r="F91" s="575">
        <f>H35</f>
        <v>4550</v>
      </c>
      <c r="G91" s="576"/>
      <c r="H91" s="577"/>
      <c r="I91" s="577"/>
      <c r="J91" s="577"/>
      <c r="K91" s="168"/>
      <c r="L91" s="361" t="s">
        <v>45</v>
      </c>
      <c r="M91" s="361"/>
      <c r="N91" s="361"/>
      <c r="O91" s="361"/>
      <c r="P91" s="575">
        <f>AG35</f>
        <v>8000</v>
      </c>
      <c r="Q91" s="576"/>
      <c r="R91" s="577"/>
      <c r="S91" s="577"/>
      <c r="T91" s="577"/>
      <c r="U91" s="169"/>
      <c r="V91" s="169"/>
      <c r="W91" s="169"/>
      <c r="X91" s="169"/>
      <c r="Y91" s="169"/>
      <c r="AI91" s="344"/>
      <c r="AS91" s="344"/>
      <c r="AT91" s="344"/>
      <c r="BD91" s="344"/>
      <c r="BN91" s="340"/>
    </row>
    <row r="92" spans="1:131" ht="24" thickBot="1" x14ac:dyDescent="0.4">
      <c r="A92" s="581" t="s">
        <v>29</v>
      </c>
      <c r="B92" s="582"/>
      <c r="C92" s="582"/>
      <c r="D92" s="582"/>
      <c r="E92" s="583"/>
      <c r="F92" s="584">
        <f>R86</f>
        <v>339.47528303958336</v>
      </c>
      <c r="G92" s="585"/>
      <c r="H92" s="586"/>
      <c r="I92" s="587">
        <f>100%</f>
        <v>1</v>
      </c>
      <c r="J92" s="583"/>
      <c r="K92" s="168"/>
      <c r="L92" s="355" t="s">
        <v>29</v>
      </c>
      <c r="M92" s="356"/>
      <c r="N92" s="356"/>
      <c r="O92" s="362"/>
      <c r="P92" s="584">
        <f>AP86</f>
        <v>478.54672959583337</v>
      </c>
      <c r="Q92" s="585"/>
      <c r="R92" s="586"/>
      <c r="S92" s="587">
        <f>100%</f>
        <v>1</v>
      </c>
      <c r="T92" s="583"/>
      <c r="U92" s="169"/>
      <c r="V92" s="169"/>
      <c r="W92" s="169"/>
      <c r="X92" s="170"/>
      <c r="Y92" s="169"/>
      <c r="AI92" s="344"/>
      <c r="AS92" s="344"/>
      <c r="AT92" s="344"/>
      <c r="BD92" s="344"/>
      <c r="BN92" s="340"/>
    </row>
    <row r="93" spans="1:131" ht="23.25" x14ac:dyDescent="0.35">
      <c r="A93" s="591" t="s">
        <v>42</v>
      </c>
      <c r="B93" s="594"/>
      <c r="C93" s="594"/>
      <c r="D93" s="594"/>
      <c r="E93" s="595"/>
      <c r="F93" s="611">
        <f>H48</f>
        <v>21</v>
      </c>
      <c r="G93" s="612"/>
      <c r="H93" s="613"/>
      <c r="I93" s="598">
        <f>F93/F92</f>
        <v>6.1860173771624387E-2</v>
      </c>
      <c r="J93" s="614"/>
      <c r="K93" s="168"/>
      <c r="L93" s="353" t="s">
        <v>42</v>
      </c>
      <c r="M93" s="354"/>
      <c r="N93" s="354"/>
      <c r="O93" s="349"/>
      <c r="P93" s="611">
        <f>AG48</f>
        <v>21</v>
      </c>
      <c r="Q93" s="615"/>
      <c r="R93" s="616"/>
      <c r="S93" s="598">
        <f>P93/P92</f>
        <v>4.3882861800635414E-2</v>
      </c>
      <c r="T93" s="595"/>
      <c r="U93" s="169"/>
      <c r="V93" s="169"/>
      <c r="W93" s="169"/>
      <c r="X93" s="170"/>
      <c r="Y93" s="169"/>
      <c r="AI93" s="344"/>
      <c r="BD93" s="344"/>
      <c r="BN93" s="340"/>
    </row>
    <row r="94" spans="1:131" ht="23.25" x14ac:dyDescent="0.35">
      <c r="A94" s="591" t="s">
        <v>46</v>
      </c>
      <c r="B94" s="594"/>
      <c r="C94" s="594"/>
      <c r="D94" s="594"/>
      <c r="E94" s="595"/>
      <c r="F94" s="588">
        <f>G75</f>
        <v>151.30833333333334</v>
      </c>
      <c r="G94" s="617"/>
      <c r="H94" s="618"/>
      <c r="I94" s="598">
        <f>F94/F92</f>
        <v>0.44571237109975559</v>
      </c>
      <c r="J94" s="614"/>
      <c r="K94" s="168"/>
      <c r="L94" s="353" t="s">
        <v>46</v>
      </c>
      <c r="M94" s="354"/>
      <c r="N94" s="354"/>
      <c r="O94" s="349"/>
      <c r="P94" s="588">
        <f>AF75</f>
        <v>189.83333333333331</v>
      </c>
      <c r="Q94" s="596"/>
      <c r="R94" s="597"/>
      <c r="S94" s="598">
        <f>P94/P92</f>
        <v>0.39668713961050578</v>
      </c>
      <c r="T94" s="595"/>
      <c r="U94" s="169"/>
      <c r="V94" s="169"/>
      <c r="W94" s="169"/>
      <c r="X94" s="170"/>
      <c r="Y94" s="169"/>
      <c r="AI94" s="344"/>
      <c r="BD94" s="344"/>
      <c r="BN94" s="340"/>
    </row>
    <row r="95" spans="1:131" ht="23.25" x14ac:dyDescent="0.35">
      <c r="A95" s="591" t="s">
        <v>47</v>
      </c>
      <c r="B95" s="594"/>
      <c r="C95" s="594"/>
      <c r="D95" s="594"/>
      <c r="E95" s="595"/>
      <c r="F95" s="588">
        <f>SUM(S40,Q47,Q48,Q49,Q50,Q53,Q54,R57,Q58,Q59,Q63,Q64,Q65,Q69,E88)</f>
        <v>4.25</v>
      </c>
      <c r="G95" s="617"/>
      <c r="H95" s="618"/>
      <c r="I95" s="598">
        <f>F95/F92</f>
        <v>1.2519320882352554E-2</v>
      </c>
      <c r="J95" s="614"/>
      <c r="K95" s="168"/>
      <c r="L95" s="353" t="s">
        <v>47</v>
      </c>
      <c r="M95" s="354"/>
      <c r="N95" s="354"/>
      <c r="O95" s="349"/>
      <c r="P95" s="588">
        <f>SUM(AQ40,AO47,AO48,AO49,AO50,AO53,AO54,AO58,AO59,AO63,AO64,AO65,AO69,AD88)</f>
        <v>13.600000000000001</v>
      </c>
      <c r="Q95" s="596"/>
      <c r="R95" s="597"/>
      <c r="S95" s="598">
        <f>P95/P92</f>
        <v>2.8419377166125793E-2</v>
      </c>
      <c r="T95" s="595"/>
      <c r="U95" s="169"/>
      <c r="V95" s="169"/>
      <c r="W95" s="169"/>
      <c r="X95" s="170"/>
      <c r="Y95" s="169"/>
      <c r="AI95" s="344"/>
      <c r="BD95" s="344"/>
      <c r="BN95" s="340"/>
    </row>
    <row r="96" spans="1:131" ht="23.25" x14ac:dyDescent="0.35">
      <c r="A96" s="591" t="s">
        <v>48</v>
      </c>
      <c r="B96" s="594"/>
      <c r="C96" s="594"/>
      <c r="D96" s="594"/>
      <c r="E96" s="595"/>
      <c r="F96" s="588">
        <f>SUM(H42,H47,S49,Q74,Q75,Q79)</f>
        <v>162.91694970625002</v>
      </c>
      <c r="G96" s="617"/>
      <c r="H96" s="618"/>
      <c r="I96" s="598">
        <f>F96/F92</f>
        <v>0.47990813424626749</v>
      </c>
      <c r="J96" s="614"/>
      <c r="K96" s="168"/>
      <c r="L96" s="353" t="s">
        <v>48</v>
      </c>
      <c r="M96" s="354"/>
      <c r="N96" s="354"/>
      <c r="O96" s="349"/>
      <c r="P96" s="588">
        <f>SUM(AG47,AG42,AQ49,AO74,AO75,AO79)</f>
        <v>254.11339626250003</v>
      </c>
      <c r="Q96" s="596"/>
      <c r="R96" s="597"/>
      <c r="S96" s="598">
        <f>P96/P92</f>
        <v>0.53101062142273292</v>
      </c>
      <c r="T96" s="595"/>
      <c r="U96" s="169"/>
      <c r="V96" s="169"/>
      <c r="W96" s="169"/>
      <c r="X96" s="170"/>
      <c r="Y96" s="169"/>
      <c r="AI96" s="344"/>
      <c r="AY96" s="344"/>
      <c r="AZ96" s="344"/>
      <c r="BA96" s="340"/>
      <c r="BB96" s="340"/>
      <c r="BC96" s="340"/>
      <c r="BD96" s="340"/>
    </row>
    <row r="97" spans="1:65" ht="23.25" x14ac:dyDescent="0.35">
      <c r="A97" s="631" t="s">
        <v>49</v>
      </c>
      <c r="B97" s="474"/>
      <c r="C97" s="474"/>
      <c r="D97" s="474"/>
      <c r="E97" s="593"/>
      <c r="F97" s="599"/>
      <c r="G97" s="600"/>
      <c r="H97" s="601"/>
      <c r="I97" s="592"/>
      <c r="J97" s="593"/>
      <c r="K97" s="168"/>
      <c r="L97" s="350" t="s">
        <v>49</v>
      </c>
      <c r="M97" s="351"/>
      <c r="N97" s="351"/>
      <c r="O97" s="348"/>
      <c r="P97" s="599"/>
      <c r="Q97" s="600"/>
      <c r="R97" s="601"/>
      <c r="S97" s="592"/>
      <c r="T97" s="593"/>
      <c r="U97" s="169"/>
      <c r="V97" s="169"/>
      <c r="W97" s="169"/>
      <c r="X97" s="169"/>
      <c r="Y97" s="169"/>
      <c r="AI97" s="344"/>
      <c r="AY97" s="344"/>
      <c r="AZ97" s="344"/>
      <c r="BA97" s="340"/>
      <c r="BB97" s="340"/>
      <c r="BC97" s="340"/>
      <c r="BD97" s="340"/>
    </row>
    <row r="98" spans="1:65" ht="23.25" hidden="1" x14ac:dyDescent="0.35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8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AI98" s="344"/>
      <c r="AY98" s="344"/>
      <c r="AZ98" s="344"/>
      <c r="BA98" s="340"/>
      <c r="BB98" s="340"/>
      <c r="BC98" s="340"/>
      <c r="BD98" s="340"/>
    </row>
    <row r="99" spans="1:65" ht="30" x14ac:dyDescent="0.4">
      <c r="A99" s="169"/>
      <c r="B99" s="169"/>
      <c r="C99" s="168"/>
      <c r="D99" s="172">
        <v>0.05</v>
      </c>
      <c r="E99" s="183">
        <f>F92*1.05</f>
        <v>356.44904719156256</v>
      </c>
      <c r="F99" s="169"/>
      <c r="G99" s="287">
        <f>IF(E99="","",E99/G14)</f>
        <v>7.8340449932211551E-2</v>
      </c>
      <c r="H99" s="169"/>
      <c r="I99" s="169"/>
      <c r="J99" s="169"/>
      <c r="K99" s="168"/>
      <c r="L99" s="169"/>
      <c r="M99" s="169"/>
      <c r="O99" s="172">
        <v>0.05</v>
      </c>
      <c r="P99" s="183">
        <f>P92*1.05</f>
        <v>502.47406607562505</v>
      </c>
      <c r="Q99" s="169"/>
      <c r="R99" s="287">
        <f>IF(P99="","",P99/I14)</f>
        <v>6.2809258259453132E-2</v>
      </c>
      <c r="S99" s="169"/>
      <c r="T99" s="169"/>
      <c r="U99" s="168"/>
      <c r="V99" s="169"/>
      <c r="W99" s="169"/>
      <c r="X99" s="169"/>
      <c r="Y99" s="169"/>
      <c r="AI99" s="344"/>
      <c r="AY99" s="344"/>
      <c r="AZ99" s="344"/>
      <c r="BA99" s="340"/>
      <c r="BB99" s="340"/>
      <c r="BC99" s="340"/>
      <c r="BD99" s="340"/>
      <c r="BE99" s="340"/>
      <c r="BF99" s="340"/>
      <c r="BI99" s="340"/>
      <c r="BL99" s="340"/>
      <c r="BM99" s="340"/>
    </row>
    <row r="100" spans="1:65" ht="30" x14ac:dyDescent="0.4">
      <c r="A100" s="169"/>
      <c r="B100" s="169"/>
      <c r="C100" s="168"/>
      <c r="D100" s="172">
        <v>0.1</v>
      </c>
      <c r="E100" s="183">
        <f>F92*1.1</f>
        <v>373.42281134354175</v>
      </c>
      <c r="F100" s="169"/>
      <c r="G100" s="288">
        <f>IF(E100="","",E100/G14)</f>
        <v>8.2070947548031153E-2</v>
      </c>
      <c r="H100" s="169"/>
      <c r="I100" s="169"/>
      <c r="J100" s="169"/>
      <c r="K100" s="168"/>
      <c r="L100" s="169"/>
      <c r="M100" s="169"/>
      <c r="O100" s="172">
        <v>0.1</v>
      </c>
      <c r="P100" s="183">
        <f>P92*1.1</f>
        <v>526.40140255541678</v>
      </c>
      <c r="Q100" s="169"/>
      <c r="R100" s="288">
        <f>IF(P100="","",P100/I14)</f>
        <v>6.5800175319427098E-2</v>
      </c>
      <c r="S100" s="169"/>
      <c r="T100" s="169"/>
      <c r="U100" s="168"/>
      <c r="V100" s="169"/>
      <c r="W100" s="169"/>
      <c r="X100" s="169"/>
      <c r="Y100" s="169"/>
      <c r="AI100" s="344"/>
      <c r="AJ100" s="344"/>
      <c r="AK100" s="344"/>
      <c r="AY100" s="344"/>
      <c r="AZ100" s="344"/>
      <c r="BA100" s="340"/>
      <c r="BB100" s="340"/>
      <c r="BC100" s="340"/>
      <c r="BD100" s="340"/>
      <c r="BE100" s="340"/>
      <c r="BF100" s="340"/>
      <c r="BG100" s="340"/>
      <c r="BH100" s="340"/>
      <c r="BI100" s="340"/>
      <c r="BJ100" s="340"/>
      <c r="BK100" s="340"/>
      <c r="BL100" s="340"/>
      <c r="BM100" s="340"/>
    </row>
    <row r="103" spans="1:65" ht="23.25" x14ac:dyDescent="0.35">
      <c r="A103" s="609" t="s">
        <v>45</v>
      </c>
      <c r="B103" s="609"/>
      <c r="C103" s="609"/>
      <c r="D103" s="609"/>
      <c r="E103" s="610"/>
      <c r="F103" s="607">
        <f>BB35</f>
        <v>8000</v>
      </c>
      <c r="G103" s="608"/>
      <c r="H103" s="289"/>
      <c r="I103" s="289"/>
      <c r="J103" s="290"/>
      <c r="L103" s="361" t="s">
        <v>45</v>
      </c>
      <c r="M103" s="361"/>
      <c r="N103" s="361"/>
      <c r="O103" s="361"/>
      <c r="P103" s="575">
        <f>G24</f>
        <v>1000</v>
      </c>
      <c r="Q103" s="577"/>
      <c r="R103" s="577"/>
      <c r="S103" s="577"/>
      <c r="T103" s="577"/>
      <c r="U103" s="168"/>
    </row>
    <row r="104" spans="1:65" ht="24" thickBot="1" x14ac:dyDescent="0.4">
      <c r="A104" s="581" t="s">
        <v>29</v>
      </c>
      <c r="B104" s="582"/>
      <c r="C104" s="582"/>
      <c r="D104" s="582"/>
      <c r="E104" s="603"/>
      <c r="F104" s="604">
        <f>BK86</f>
        <v>478.54672959583331</v>
      </c>
      <c r="G104" s="605"/>
      <c r="H104" s="606"/>
      <c r="I104" s="632">
        <f>100%</f>
        <v>1</v>
      </c>
      <c r="J104" s="633"/>
      <c r="L104" s="355" t="s">
        <v>29</v>
      </c>
      <c r="M104" s="359"/>
      <c r="N104" s="359"/>
      <c r="O104" s="357"/>
      <c r="P104" s="584">
        <f>CG86</f>
        <v>215.82712788750001</v>
      </c>
      <c r="Q104" s="602"/>
      <c r="R104" s="603"/>
      <c r="S104" s="587">
        <f>100%</f>
        <v>1</v>
      </c>
      <c r="T104" s="583"/>
    </row>
    <row r="105" spans="1:65" ht="23.25" x14ac:dyDescent="0.35">
      <c r="A105" s="591" t="s">
        <v>42</v>
      </c>
      <c r="B105" s="594"/>
      <c r="C105" s="594"/>
      <c r="D105" s="594"/>
      <c r="E105" s="590"/>
      <c r="F105" s="596">
        <f>BB48</f>
        <v>21</v>
      </c>
      <c r="G105" s="636"/>
      <c r="H105" s="635"/>
      <c r="I105" s="598">
        <f>F105/F104</f>
        <v>4.3882861800635414E-2</v>
      </c>
      <c r="J105" s="595"/>
      <c r="L105" s="353" t="s">
        <v>42</v>
      </c>
      <c r="M105" s="363"/>
      <c r="N105" s="363"/>
      <c r="O105" s="358"/>
      <c r="P105" s="588">
        <f>BW48</f>
        <v>21</v>
      </c>
      <c r="Q105" s="589"/>
      <c r="R105" s="590"/>
      <c r="S105" s="598">
        <f>P105/P104</f>
        <v>9.7300094782089952E-2</v>
      </c>
      <c r="T105" s="595"/>
    </row>
    <row r="106" spans="1:65" ht="23.25" x14ac:dyDescent="0.35">
      <c r="A106" s="591" t="s">
        <v>46</v>
      </c>
      <c r="B106" s="594"/>
      <c r="C106" s="594"/>
      <c r="D106" s="594"/>
      <c r="E106" s="590"/>
      <c r="F106" s="596">
        <f>BA75</f>
        <v>189.83333333333331</v>
      </c>
      <c r="G106" s="636"/>
      <c r="H106" s="635"/>
      <c r="I106" s="598">
        <f>F106/F104</f>
        <v>0.39668713961050583</v>
      </c>
      <c r="J106" s="595"/>
      <c r="L106" s="353" t="s">
        <v>46</v>
      </c>
      <c r="M106" s="364"/>
      <c r="N106" s="364"/>
      <c r="O106" s="358"/>
      <c r="P106" s="588">
        <f>BV75</f>
        <v>117.25</v>
      </c>
      <c r="Q106" s="589"/>
      <c r="R106" s="590"/>
      <c r="S106" s="598">
        <f>P106/P104</f>
        <v>0.54325886253333555</v>
      </c>
      <c r="T106" s="595"/>
    </row>
    <row r="107" spans="1:65" ht="23.25" x14ac:dyDescent="0.35">
      <c r="A107" s="591" t="s">
        <v>47</v>
      </c>
      <c r="B107" s="594"/>
      <c r="C107" s="594"/>
      <c r="D107" s="594"/>
      <c r="E107" s="590"/>
      <c r="F107" s="596">
        <f>SUM(BL40,BJ47,BJ48,BJ49,BJ50,BJ53,BJ54,BJ58,BJ59,BJ63,BJ64,BJ65,BJ69)</f>
        <v>13.600000000000001</v>
      </c>
      <c r="G107" s="636"/>
      <c r="H107" s="635"/>
      <c r="I107" s="598">
        <f>F107/F104</f>
        <v>2.8419377166125796E-2</v>
      </c>
      <c r="J107" s="595"/>
      <c r="L107" s="353" t="s">
        <v>47</v>
      </c>
      <c r="M107" s="364"/>
      <c r="N107" s="364"/>
      <c r="O107" s="358"/>
      <c r="P107" s="588">
        <f>SUM(CH40,CF47,CF48,CF49,CF50,CF53,CF54,CF58,CF59,CF63,CF64,CF65,CF69)</f>
        <v>8.5</v>
      </c>
      <c r="Q107" s="589"/>
      <c r="R107" s="590"/>
      <c r="S107" s="598">
        <f>P107/P104</f>
        <v>3.9383371697512597E-2</v>
      </c>
      <c r="T107" s="595"/>
    </row>
    <row r="108" spans="1:65" ht="23.25" x14ac:dyDescent="0.35">
      <c r="A108" s="591" t="s">
        <v>48</v>
      </c>
      <c r="B108" s="594"/>
      <c r="C108" s="594"/>
      <c r="D108" s="594"/>
      <c r="E108" s="590"/>
      <c r="F108" s="596">
        <f>SUM(BB42,BL49,BJ79,BJ75,BJ74,BB47)</f>
        <v>254.11339626250003</v>
      </c>
      <c r="G108" s="636"/>
      <c r="H108" s="635"/>
      <c r="I108" s="598">
        <f>F108/F104</f>
        <v>0.53101062142273303</v>
      </c>
      <c r="J108" s="595"/>
      <c r="L108" s="353" t="s">
        <v>48</v>
      </c>
      <c r="M108" s="364"/>
      <c r="N108" s="364"/>
      <c r="O108" s="358"/>
      <c r="P108" s="588">
        <f>SUM(BW42,CF79,CF75,CF74,CH49,BW47)</f>
        <v>69.077127887500012</v>
      </c>
      <c r="Q108" s="589"/>
      <c r="R108" s="590"/>
      <c r="S108" s="598">
        <f>P108/P104</f>
        <v>0.32005767098706189</v>
      </c>
      <c r="T108" s="595"/>
    </row>
    <row r="109" spans="1:65" ht="23.25" x14ac:dyDescent="0.35">
      <c r="A109" s="631" t="s">
        <v>49</v>
      </c>
      <c r="B109" s="474"/>
      <c r="C109" s="474"/>
      <c r="D109" s="474"/>
      <c r="E109" s="610"/>
      <c r="F109" s="599"/>
      <c r="G109" s="577"/>
      <c r="H109" s="610"/>
      <c r="I109" s="592"/>
      <c r="J109" s="593"/>
      <c r="L109" s="350" t="s">
        <v>49</v>
      </c>
      <c r="M109" s="360"/>
      <c r="N109" s="360"/>
      <c r="O109" s="352"/>
      <c r="P109" s="599"/>
      <c r="Q109" s="634"/>
      <c r="R109" s="610"/>
      <c r="S109" s="592"/>
      <c r="T109" s="593"/>
    </row>
    <row r="110" spans="1:65" ht="23.25" hidden="1" x14ac:dyDescent="0.35">
      <c r="A110" s="171"/>
      <c r="B110" s="171"/>
      <c r="C110" s="171"/>
      <c r="D110" s="171"/>
      <c r="E110" s="171"/>
      <c r="F110" s="171"/>
      <c r="G110" s="171"/>
      <c r="H110" s="171"/>
      <c r="I110" s="171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</row>
    <row r="111" spans="1:65" ht="30" x14ac:dyDescent="0.4">
      <c r="A111" s="171"/>
      <c r="B111" s="171"/>
      <c r="D111" s="172">
        <v>0.05</v>
      </c>
      <c r="E111" s="184">
        <f>F104*1.05</f>
        <v>502.47406607562499</v>
      </c>
      <c r="F111" s="171"/>
      <c r="G111" s="287">
        <f>IF(E111="","",E111/M14)</f>
        <v>6.2809258259453118E-2</v>
      </c>
      <c r="H111" s="171"/>
      <c r="I111" s="171"/>
      <c r="L111" s="169"/>
      <c r="M111" s="169"/>
      <c r="N111" s="168"/>
      <c r="O111" s="172">
        <v>0.05</v>
      </c>
      <c r="P111" s="183">
        <f>P104*1.05</f>
        <v>226.61848428187503</v>
      </c>
      <c r="Q111" s="169"/>
      <c r="R111" s="287">
        <f>IF(P111="","",P111/G24)</f>
        <v>0.22661848428187503</v>
      </c>
      <c r="S111" s="169"/>
      <c r="T111" s="169"/>
      <c r="U111" s="169"/>
    </row>
    <row r="112" spans="1:65" ht="30" x14ac:dyDescent="0.4">
      <c r="A112" s="171"/>
      <c r="B112" s="171"/>
      <c r="D112" s="172">
        <v>0.1</v>
      </c>
      <c r="E112" s="184">
        <f>F104*1.1</f>
        <v>526.40140255541667</v>
      </c>
      <c r="F112" s="171"/>
      <c r="G112" s="288">
        <f>IF(E112="","",E112/M14)</f>
        <v>6.5800175319427084E-2</v>
      </c>
      <c r="H112" s="171"/>
      <c r="I112" s="171"/>
      <c r="L112" s="169"/>
      <c r="M112" s="169"/>
      <c r="N112" s="168"/>
      <c r="O112" s="172">
        <v>0.1</v>
      </c>
      <c r="P112" s="183">
        <f>P104*1.1</f>
        <v>237.40984067625004</v>
      </c>
      <c r="Q112" s="169"/>
      <c r="R112" s="288">
        <f>IF(P112="","",P112/G24)</f>
        <v>0.23740984067625004</v>
      </c>
      <c r="S112" s="169"/>
      <c r="T112" s="169"/>
      <c r="U112" s="169"/>
    </row>
    <row r="115" spans="1:20" ht="23.25" x14ac:dyDescent="0.35">
      <c r="A115" s="609" t="s">
        <v>45</v>
      </c>
      <c r="B115" s="609"/>
      <c r="C115" s="609"/>
      <c r="D115" s="609"/>
      <c r="E115" s="610"/>
      <c r="F115" s="575">
        <f>CS35</f>
        <v>1000</v>
      </c>
      <c r="G115" s="576"/>
      <c r="H115" s="577"/>
      <c r="I115" s="577"/>
      <c r="J115" s="577"/>
      <c r="K115" s="169"/>
      <c r="L115" s="361" t="s">
        <v>45</v>
      </c>
      <c r="M115" s="361"/>
      <c r="N115" s="361"/>
      <c r="O115" s="361"/>
      <c r="P115" s="575">
        <f>DO35</f>
        <v>1000</v>
      </c>
      <c r="Q115" s="576"/>
      <c r="R115" s="577"/>
      <c r="S115" s="577"/>
      <c r="T115" s="577"/>
    </row>
    <row r="116" spans="1:20" ht="24" thickBot="1" x14ac:dyDescent="0.4">
      <c r="A116" s="581" t="s">
        <v>29</v>
      </c>
      <c r="B116" s="582"/>
      <c r="C116" s="582"/>
      <c r="D116" s="582"/>
      <c r="E116" s="603"/>
      <c r="F116" s="584">
        <f>DC86</f>
        <v>215.82712788750001</v>
      </c>
      <c r="G116" s="602"/>
      <c r="H116" s="603"/>
      <c r="I116" s="587">
        <f>100%</f>
        <v>1</v>
      </c>
      <c r="J116" s="583"/>
      <c r="K116" s="169"/>
      <c r="L116" s="355" t="s">
        <v>29</v>
      </c>
      <c r="M116" s="356"/>
      <c r="N116" s="356"/>
      <c r="O116" s="362"/>
      <c r="P116" s="584">
        <f>DY86</f>
        <v>215.82712788750001</v>
      </c>
      <c r="Q116" s="585"/>
      <c r="R116" s="586"/>
      <c r="S116" s="587">
        <f>100%</f>
        <v>1</v>
      </c>
      <c r="T116" s="583"/>
    </row>
    <row r="117" spans="1:20" ht="23.25" x14ac:dyDescent="0.35">
      <c r="A117" s="591" t="s">
        <v>42</v>
      </c>
      <c r="B117" s="594"/>
      <c r="C117" s="594"/>
      <c r="D117" s="594"/>
      <c r="E117" s="590"/>
      <c r="F117" s="588">
        <f>P105</f>
        <v>21</v>
      </c>
      <c r="G117" s="636"/>
      <c r="H117" s="590"/>
      <c r="I117" s="598">
        <f>F117/F116</f>
        <v>9.7300094782089952E-2</v>
      </c>
      <c r="J117" s="595"/>
      <c r="K117" s="169"/>
      <c r="L117" s="353" t="s">
        <v>42</v>
      </c>
      <c r="M117" s="354"/>
      <c r="N117" s="354"/>
      <c r="O117" s="349"/>
      <c r="P117" s="611">
        <f>F117</f>
        <v>21</v>
      </c>
      <c r="Q117" s="612"/>
      <c r="R117" s="613"/>
      <c r="S117" s="598">
        <f>P117/P116</f>
        <v>9.7300094782089952E-2</v>
      </c>
      <c r="T117" s="595"/>
    </row>
    <row r="118" spans="1:20" ht="23.25" x14ac:dyDescent="0.35">
      <c r="A118" s="591" t="s">
        <v>46</v>
      </c>
      <c r="B118" s="594"/>
      <c r="C118" s="594"/>
      <c r="D118" s="594"/>
      <c r="E118" s="590"/>
      <c r="F118" s="588">
        <f>CR75</f>
        <v>117.25</v>
      </c>
      <c r="G118" s="636"/>
      <c r="H118" s="590"/>
      <c r="I118" s="598">
        <f>F118/F116</f>
        <v>0.54325886253333555</v>
      </c>
      <c r="J118" s="595"/>
      <c r="K118" s="169"/>
      <c r="L118" s="353" t="s">
        <v>46</v>
      </c>
      <c r="M118" s="354"/>
      <c r="N118" s="354"/>
      <c r="O118" s="349"/>
      <c r="P118" s="588">
        <f>DN75</f>
        <v>117.25</v>
      </c>
      <c r="Q118" s="617"/>
      <c r="R118" s="618"/>
      <c r="S118" s="598">
        <f>P118/P116</f>
        <v>0.54325886253333555</v>
      </c>
      <c r="T118" s="595"/>
    </row>
    <row r="119" spans="1:20" ht="23.25" x14ac:dyDescent="0.35">
      <c r="A119" s="591" t="s">
        <v>47</v>
      </c>
      <c r="B119" s="594"/>
      <c r="C119" s="594"/>
      <c r="D119" s="594"/>
      <c r="E119" s="590"/>
      <c r="F119" s="588">
        <f>SUM(DD40,DB47,DB48,DB49,DB50,DB53,DB54,DB58,DB59,DB63,DB64,DB65,DB69,CP88)</f>
        <v>8.5</v>
      </c>
      <c r="G119" s="636"/>
      <c r="H119" s="590"/>
      <c r="I119" s="598">
        <f>F119/F116</f>
        <v>3.9383371697512597E-2</v>
      </c>
      <c r="J119" s="595"/>
      <c r="K119" s="169"/>
      <c r="L119" s="353" t="s">
        <v>47</v>
      </c>
      <c r="M119" s="354"/>
      <c r="N119" s="354"/>
      <c r="O119" s="349"/>
      <c r="P119" s="588">
        <f>SUM(DZ40,DL88,DX47,DX48,DX49,DX50,DX53,DX54,DX58,DX59,DX63,DX64,DX65,DX69)</f>
        <v>8.5</v>
      </c>
      <c r="Q119" s="617"/>
      <c r="R119" s="618"/>
      <c r="S119" s="598">
        <f>P119/P116</f>
        <v>3.9383371697512597E-2</v>
      </c>
      <c r="T119" s="595"/>
    </row>
    <row r="120" spans="1:20" ht="23.25" x14ac:dyDescent="0.35">
      <c r="A120" s="591" t="s">
        <v>48</v>
      </c>
      <c r="B120" s="594"/>
      <c r="C120" s="594"/>
      <c r="D120" s="594"/>
      <c r="E120" s="590"/>
      <c r="F120" s="588">
        <f>SUM(DD49,DB74,DB75,DB79,CS42,CS47)</f>
        <v>69.077127887500012</v>
      </c>
      <c r="G120" s="636"/>
      <c r="H120" s="590"/>
      <c r="I120" s="598">
        <f>F120/F116</f>
        <v>0.32005767098706189</v>
      </c>
      <c r="J120" s="595"/>
      <c r="K120" s="169"/>
      <c r="L120" s="353" t="s">
        <v>48</v>
      </c>
      <c r="M120" s="354"/>
      <c r="N120" s="354"/>
      <c r="O120" s="349"/>
      <c r="P120" s="588">
        <f>SUM(DO42,DO47,DZ49,DX74,DX75,DX79)</f>
        <v>69.077127887500012</v>
      </c>
      <c r="Q120" s="617"/>
      <c r="R120" s="618"/>
      <c r="S120" s="598">
        <f>P120/P116</f>
        <v>0.32005767098706189</v>
      </c>
      <c r="T120" s="595"/>
    </row>
    <row r="121" spans="1:20" ht="23.25" x14ac:dyDescent="0.35">
      <c r="A121" s="631" t="s">
        <v>49</v>
      </c>
      <c r="B121" s="474"/>
      <c r="C121" s="474"/>
      <c r="D121" s="474"/>
      <c r="E121" s="610"/>
      <c r="F121" s="599"/>
      <c r="G121" s="577"/>
      <c r="H121" s="610"/>
      <c r="I121" s="592"/>
      <c r="J121" s="593"/>
      <c r="K121" s="169"/>
      <c r="L121" s="350" t="s">
        <v>49</v>
      </c>
      <c r="M121" s="351"/>
      <c r="N121" s="351"/>
      <c r="O121" s="348"/>
      <c r="P121" s="599"/>
      <c r="Q121" s="600"/>
      <c r="R121" s="601"/>
      <c r="S121" s="592"/>
      <c r="T121" s="593"/>
    </row>
    <row r="122" spans="1:20" ht="23.25" hidden="1" x14ac:dyDescent="0.35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71"/>
      <c r="M122" s="171"/>
      <c r="N122" s="171"/>
      <c r="O122" s="171"/>
      <c r="P122" s="171"/>
      <c r="Q122" s="171"/>
      <c r="R122" s="171"/>
      <c r="S122" s="171"/>
      <c r="T122" s="171"/>
    </row>
    <row r="123" spans="1:20" ht="30" x14ac:dyDescent="0.4">
      <c r="A123" s="169"/>
      <c r="B123" s="169"/>
      <c r="D123" s="172">
        <v>0.05</v>
      </c>
      <c r="E123" s="183">
        <f>F116*1.05</f>
        <v>226.61848428187503</v>
      </c>
      <c r="F123" s="169"/>
      <c r="G123" s="287">
        <f>IF(E123="","",E123/I24)</f>
        <v>0.22661848428187503</v>
      </c>
      <c r="H123" s="169"/>
      <c r="I123" s="169"/>
      <c r="J123" s="168"/>
      <c r="K123" s="169"/>
      <c r="O123" s="172">
        <v>0.05</v>
      </c>
      <c r="P123" s="184">
        <f>P116*1.05</f>
        <v>226.61848428187503</v>
      </c>
      <c r="Q123" s="171"/>
      <c r="R123" s="287">
        <f>IF(P123="","",P123/M24)</f>
        <v>0.22661848428187503</v>
      </c>
      <c r="S123" s="171"/>
      <c r="T123" s="171"/>
    </row>
    <row r="124" spans="1:20" ht="30" x14ac:dyDescent="0.4">
      <c r="A124" s="169"/>
      <c r="B124" s="169"/>
      <c r="D124" s="172">
        <v>0.1</v>
      </c>
      <c r="E124" s="183">
        <f>F116*1.1</f>
        <v>237.40984067625004</v>
      </c>
      <c r="F124" s="169"/>
      <c r="G124" s="288">
        <f>IF(E124="","",E124/I24)</f>
        <v>0.23740984067625004</v>
      </c>
      <c r="H124" s="169"/>
      <c r="I124" s="169"/>
      <c r="J124" s="168"/>
      <c r="K124" s="169"/>
      <c r="O124" s="172">
        <v>0.1</v>
      </c>
      <c r="P124" s="184">
        <f>P116*1.1</f>
        <v>237.40984067625004</v>
      </c>
      <c r="Q124" s="171"/>
      <c r="R124" s="288">
        <f>IF(P124="","",P124/M24)</f>
        <v>0.23740984067625004</v>
      </c>
      <c r="S124" s="171"/>
      <c r="T124" s="171"/>
    </row>
    <row r="145" spans="11:11" ht="23.25" x14ac:dyDescent="0.35">
      <c r="K145" s="168"/>
    </row>
    <row r="146" spans="11:11" ht="23.25" x14ac:dyDescent="0.35">
      <c r="K146" s="168"/>
    </row>
    <row r="147" spans="11:11" ht="23.25" x14ac:dyDescent="0.35">
      <c r="K147" s="168"/>
    </row>
    <row r="148" spans="11:11" ht="23.25" x14ac:dyDescent="0.35">
      <c r="K148" s="168"/>
    </row>
    <row r="149" spans="11:11" ht="23.25" x14ac:dyDescent="0.35">
      <c r="K149" s="168"/>
    </row>
    <row r="150" spans="11:11" ht="23.25" x14ac:dyDescent="0.35">
      <c r="K150" s="168"/>
    </row>
    <row r="151" spans="11:11" ht="23.25" x14ac:dyDescent="0.35">
      <c r="K151" s="168"/>
    </row>
    <row r="173" spans="1:27" x14ac:dyDescent="0.2">
      <c r="A173" s="344"/>
      <c r="B173" s="344"/>
      <c r="C173" s="344"/>
      <c r="D173" s="344"/>
      <c r="E173" s="344"/>
      <c r="F173" s="344"/>
      <c r="G173" s="344"/>
      <c r="H173" s="115"/>
      <c r="I173" s="115"/>
      <c r="J173" s="344"/>
      <c r="K173" s="344"/>
      <c r="L173" s="344"/>
      <c r="M173" s="344"/>
      <c r="N173" s="344"/>
      <c r="O173" s="344"/>
      <c r="P173" s="344"/>
      <c r="Q173" s="344"/>
      <c r="R173" s="344"/>
      <c r="S173" s="344"/>
      <c r="T173" s="344"/>
      <c r="U173" s="344"/>
      <c r="V173" s="344"/>
      <c r="W173" s="344"/>
      <c r="X173" s="344"/>
      <c r="Y173" s="344"/>
      <c r="Z173" s="344"/>
      <c r="AA173" s="344"/>
    </row>
    <row r="174" spans="1:27" x14ac:dyDescent="0.2">
      <c r="A174" s="344"/>
      <c r="B174" s="344"/>
      <c r="C174" s="344"/>
      <c r="D174" s="344"/>
      <c r="E174" s="344"/>
      <c r="F174" s="344"/>
      <c r="G174" s="344"/>
      <c r="H174" s="115"/>
      <c r="I174" s="115"/>
      <c r="J174" s="344"/>
      <c r="K174" s="344"/>
      <c r="L174" s="344"/>
      <c r="M174" s="344"/>
      <c r="N174" s="344"/>
      <c r="O174" s="344"/>
      <c r="P174" s="344"/>
      <c r="Q174" s="344"/>
      <c r="R174" s="344"/>
      <c r="S174" s="344"/>
      <c r="T174" s="344"/>
      <c r="U174" s="344"/>
      <c r="V174" s="344"/>
      <c r="W174" s="344"/>
      <c r="X174" s="344"/>
      <c r="Y174" s="344"/>
      <c r="Z174" s="344"/>
      <c r="AA174" s="344"/>
    </row>
    <row r="175" spans="1:27" x14ac:dyDescent="0.2">
      <c r="A175" s="344"/>
      <c r="B175" s="344"/>
      <c r="C175" s="344"/>
      <c r="D175" s="344"/>
      <c r="E175" s="344"/>
      <c r="F175" s="344"/>
      <c r="G175" s="344"/>
      <c r="H175" s="344"/>
      <c r="I175" s="344"/>
      <c r="J175" s="344"/>
      <c r="K175" s="344"/>
      <c r="L175" s="344"/>
      <c r="M175" s="344"/>
      <c r="N175" s="344"/>
      <c r="O175" s="344"/>
      <c r="P175" s="344"/>
      <c r="Q175" s="344"/>
      <c r="R175" s="344"/>
      <c r="S175" s="344"/>
      <c r="T175" s="344"/>
      <c r="U175" s="344"/>
      <c r="V175" s="344"/>
      <c r="W175" s="344"/>
      <c r="X175" s="344"/>
      <c r="Y175" s="344"/>
      <c r="Z175" s="344"/>
      <c r="AA175" s="344"/>
    </row>
    <row r="176" spans="1:27" x14ac:dyDescent="0.2">
      <c r="A176" s="344"/>
      <c r="B176" s="344"/>
      <c r="C176" s="344"/>
      <c r="D176" s="344"/>
      <c r="E176" s="344"/>
      <c r="F176" s="344"/>
      <c r="G176" s="344"/>
      <c r="H176" s="344"/>
      <c r="I176" s="344"/>
      <c r="J176" s="344"/>
      <c r="K176" s="344"/>
      <c r="L176" s="344"/>
      <c r="M176" s="344"/>
      <c r="N176" s="344"/>
      <c r="O176" s="344"/>
      <c r="P176" s="344"/>
      <c r="Q176" s="344"/>
      <c r="R176" s="344"/>
      <c r="S176" s="344"/>
      <c r="T176" s="344"/>
      <c r="U176" s="344"/>
      <c r="V176" s="344"/>
      <c r="W176" s="344"/>
      <c r="X176" s="344"/>
      <c r="Y176" s="344"/>
      <c r="Z176" s="344"/>
      <c r="AA176" s="344"/>
    </row>
  </sheetData>
  <mergeCells count="785">
    <mergeCell ref="Z15:AA15"/>
    <mergeCell ref="R17:U17"/>
    <mergeCell ref="Z17:AA17"/>
    <mergeCell ref="A121:E121"/>
    <mergeCell ref="F121:H121"/>
    <mergeCell ref="I121:J121"/>
    <mergeCell ref="P121:R121"/>
    <mergeCell ref="S121:T121"/>
    <mergeCell ref="A120:E120"/>
    <mergeCell ref="F120:H120"/>
    <mergeCell ref="I120:J120"/>
    <mergeCell ref="P120:R120"/>
    <mergeCell ref="S120:T120"/>
    <mergeCell ref="A119:E119"/>
    <mergeCell ref="F119:H119"/>
    <mergeCell ref="I119:J119"/>
    <mergeCell ref="P119:R119"/>
    <mergeCell ref="S119:T119"/>
    <mergeCell ref="A118:E118"/>
    <mergeCell ref="F118:H118"/>
    <mergeCell ref="I118:J118"/>
    <mergeCell ref="P118:R118"/>
    <mergeCell ref="S118:T118"/>
    <mergeCell ref="A117:E117"/>
    <mergeCell ref="F117:H117"/>
    <mergeCell ref="I117:J117"/>
    <mergeCell ref="P117:R117"/>
    <mergeCell ref="S117:T117"/>
    <mergeCell ref="A115:E115"/>
    <mergeCell ref="F115:J115"/>
    <mergeCell ref="P115:T115"/>
    <mergeCell ref="A116:E116"/>
    <mergeCell ref="F116:H116"/>
    <mergeCell ref="I116:J116"/>
    <mergeCell ref="P116:R116"/>
    <mergeCell ref="S116:T116"/>
    <mergeCell ref="A109:E109"/>
    <mergeCell ref="F109:H109"/>
    <mergeCell ref="I109:J109"/>
    <mergeCell ref="P109:R109"/>
    <mergeCell ref="S109:T109"/>
    <mergeCell ref="A108:E108"/>
    <mergeCell ref="F108:H108"/>
    <mergeCell ref="I108:J108"/>
    <mergeCell ref="P108:R108"/>
    <mergeCell ref="S108:T108"/>
    <mergeCell ref="A107:E107"/>
    <mergeCell ref="F107:H107"/>
    <mergeCell ref="I107:J107"/>
    <mergeCell ref="P107:R107"/>
    <mergeCell ref="S107:T107"/>
    <mergeCell ref="A106:E106"/>
    <mergeCell ref="F106:H106"/>
    <mergeCell ref="I106:J106"/>
    <mergeCell ref="P106:R106"/>
    <mergeCell ref="S106:T106"/>
    <mergeCell ref="A105:E105"/>
    <mergeCell ref="F105:H105"/>
    <mergeCell ref="I105:J105"/>
    <mergeCell ref="P105:R105"/>
    <mergeCell ref="S105:T105"/>
    <mergeCell ref="A103:E103"/>
    <mergeCell ref="F103:G103"/>
    <mergeCell ref="P103:T103"/>
    <mergeCell ref="A104:E104"/>
    <mergeCell ref="F104:H104"/>
    <mergeCell ref="I104:J104"/>
    <mergeCell ref="P104:R104"/>
    <mergeCell ref="S104:T104"/>
    <mergeCell ref="A97:E97"/>
    <mergeCell ref="F97:H97"/>
    <mergeCell ref="I97:J97"/>
    <mergeCell ref="P97:R97"/>
    <mergeCell ref="S97:T97"/>
    <mergeCell ref="A96:E96"/>
    <mergeCell ref="F96:H96"/>
    <mergeCell ref="I96:J96"/>
    <mergeCell ref="P96:R96"/>
    <mergeCell ref="S96:T96"/>
    <mergeCell ref="A95:E95"/>
    <mergeCell ref="F95:H95"/>
    <mergeCell ref="I95:J95"/>
    <mergeCell ref="P95:R95"/>
    <mergeCell ref="S95:T95"/>
    <mergeCell ref="A94:E94"/>
    <mergeCell ref="F94:H94"/>
    <mergeCell ref="I94:J94"/>
    <mergeCell ref="P94:R94"/>
    <mergeCell ref="S94:T94"/>
    <mergeCell ref="A93:E93"/>
    <mergeCell ref="F93:H93"/>
    <mergeCell ref="I93:J93"/>
    <mergeCell ref="P93:R93"/>
    <mergeCell ref="S93:T93"/>
    <mergeCell ref="A91:E91"/>
    <mergeCell ref="F91:J91"/>
    <mergeCell ref="P91:T91"/>
    <mergeCell ref="A92:E92"/>
    <mergeCell ref="F92:H92"/>
    <mergeCell ref="I92:J92"/>
    <mergeCell ref="P92:R92"/>
    <mergeCell ref="S92:T92"/>
    <mergeCell ref="BQ88:BS88"/>
    <mergeCell ref="BT88:BU88"/>
    <mergeCell ref="CM88:CO88"/>
    <mergeCell ref="CP88:CQ88"/>
    <mergeCell ref="DI88:DK88"/>
    <mergeCell ref="DL88:DM88"/>
    <mergeCell ref="B88:D88"/>
    <mergeCell ref="E88:F88"/>
    <mergeCell ref="AA88:AC88"/>
    <mergeCell ref="AD88:AE88"/>
    <mergeCell ref="AV88:AX88"/>
    <mergeCell ref="AY88:AZ88"/>
    <mergeCell ref="CM86:CO86"/>
    <mergeCell ref="CW86:DB86"/>
    <mergeCell ref="DC86:DE86"/>
    <mergeCell ref="DI86:DK86"/>
    <mergeCell ref="DS86:DX86"/>
    <mergeCell ref="DY86:EA86"/>
    <mergeCell ref="AV86:AX86"/>
    <mergeCell ref="BF86:BJ86"/>
    <mergeCell ref="BK86:BM86"/>
    <mergeCell ref="BQ86:BS86"/>
    <mergeCell ref="CA86:CF86"/>
    <mergeCell ref="CG86:CI86"/>
    <mergeCell ref="CM85:CO85"/>
    <mergeCell ref="DI85:DK85"/>
    <mergeCell ref="B84:D84"/>
    <mergeCell ref="AA84:AC84"/>
    <mergeCell ref="AV84:AX84"/>
    <mergeCell ref="BQ84:BS84"/>
    <mergeCell ref="CM84:CO84"/>
    <mergeCell ref="DI84:DK84"/>
    <mergeCell ref="DC82:DE82"/>
    <mergeCell ref="DI82:DK82"/>
    <mergeCell ref="B85:D85"/>
    <mergeCell ref="AA85:AC85"/>
    <mergeCell ref="AV85:AX85"/>
    <mergeCell ref="BQ85:BS85"/>
    <mergeCell ref="DS82:DX82"/>
    <mergeCell ref="DY82:EA82"/>
    <mergeCell ref="B83:D83"/>
    <mergeCell ref="AA83:AC83"/>
    <mergeCell ref="AV83:AX83"/>
    <mergeCell ref="BQ83:BS83"/>
    <mergeCell ref="CM83:CO83"/>
    <mergeCell ref="DI83:DK83"/>
    <mergeCell ref="AK82:AO82"/>
    <mergeCell ref="AP82:AR82"/>
    <mergeCell ref="AV82:AX82"/>
    <mergeCell ref="BF82:BJ82"/>
    <mergeCell ref="BK82:BM82"/>
    <mergeCell ref="BQ82:BS82"/>
    <mergeCell ref="BP81:BP86"/>
    <mergeCell ref="BQ81:BS81"/>
    <mergeCell ref="CL81:CL86"/>
    <mergeCell ref="CM81:CO81"/>
    <mergeCell ref="DH81:DH86"/>
    <mergeCell ref="DI81:DK81"/>
    <mergeCell ref="CA82:CF82"/>
    <mergeCell ref="CG82:CI82"/>
    <mergeCell ref="CM82:CO82"/>
    <mergeCell ref="CW82:DB82"/>
    <mergeCell ref="A81:A86"/>
    <mergeCell ref="B81:D81"/>
    <mergeCell ref="Z81:Z86"/>
    <mergeCell ref="AA81:AC81"/>
    <mergeCell ref="AU81:AU86"/>
    <mergeCell ref="AV81:AX81"/>
    <mergeCell ref="B82:D82"/>
    <mergeCell ref="R82:T82"/>
    <mergeCell ref="AA82:AC82"/>
    <mergeCell ref="B86:D86"/>
    <mergeCell ref="R86:T86"/>
    <mergeCell ref="AA86:AC86"/>
    <mergeCell ref="AK86:AO86"/>
    <mergeCell ref="AP86:AR86"/>
    <mergeCell ref="A80:F80"/>
    <mergeCell ref="Z80:AE80"/>
    <mergeCell ref="AU80:AZ80"/>
    <mergeCell ref="BP80:BU80"/>
    <mergeCell ref="CL80:CQ80"/>
    <mergeCell ref="DH80:DM80"/>
    <mergeCell ref="Q79:R79"/>
    <mergeCell ref="AO79:AP79"/>
    <mergeCell ref="BJ79:BK79"/>
    <mergeCell ref="CF79:CG79"/>
    <mergeCell ref="DB79:DC79"/>
    <mergeCell ref="DX79:DY79"/>
    <mergeCell ref="AK78:AP78"/>
    <mergeCell ref="BF78:BK78"/>
    <mergeCell ref="CA78:CG78"/>
    <mergeCell ref="CW78:DC78"/>
    <mergeCell ref="DS78:DY78"/>
    <mergeCell ref="CW75:CX75"/>
    <mergeCell ref="DB75:DC75"/>
    <mergeCell ref="DI75:DM75"/>
    <mergeCell ref="DN75:DP75"/>
    <mergeCell ref="DS75:DT75"/>
    <mergeCell ref="DX75:DY75"/>
    <mergeCell ref="BQ75:BU75"/>
    <mergeCell ref="BV75:BX75"/>
    <mergeCell ref="CA75:CB75"/>
    <mergeCell ref="CF75:CG75"/>
    <mergeCell ref="CM75:CQ75"/>
    <mergeCell ref="CR75:CT75"/>
    <mergeCell ref="AK75:AL75"/>
    <mergeCell ref="AO75:AP75"/>
    <mergeCell ref="AV75:AZ75"/>
    <mergeCell ref="BA75:BC75"/>
    <mergeCell ref="BF75:BG75"/>
    <mergeCell ref="BJ75:BK75"/>
    <mergeCell ref="B75:F75"/>
    <mergeCell ref="G75:I75"/>
    <mergeCell ref="L75:M75"/>
    <mergeCell ref="Q75:R75"/>
    <mergeCell ref="AA75:AE75"/>
    <mergeCell ref="AF75:AH75"/>
    <mergeCell ref="CA74:CB74"/>
    <mergeCell ref="CF74:CG74"/>
    <mergeCell ref="CW74:CX74"/>
    <mergeCell ref="DB74:DC74"/>
    <mergeCell ref="DS74:DT74"/>
    <mergeCell ref="DX74:DY74"/>
    <mergeCell ref="L74:M74"/>
    <mergeCell ref="Q74:R74"/>
    <mergeCell ref="AK74:AL74"/>
    <mergeCell ref="AO74:AP74"/>
    <mergeCell ref="BF74:BG74"/>
    <mergeCell ref="BJ74:BK74"/>
    <mergeCell ref="CW72:DE72"/>
    <mergeCell ref="DI72:DJ72"/>
    <mergeCell ref="DM72:DN72"/>
    <mergeCell ref="DS72:EA72"/>
    <mergeCell ref="AV72:AW72"/>
    <mergeCell ref="AZ72:BA72"/>
    <mergeCell ref="BF72:BM72"/>
    <mergeCell ref="BQ72:BR72"/>
    <mergeCell ref="BU72:BV72"/>
    <mergeCell ref="CA72:CI72"/>
    <mergeCell ref="AA72:AB72"/>
    <mergeCell ref="AE72:AF72"/>
    <mergeCell ref="AK72:AR72"/>
    <mergeCell ref="BQ71:BR71"/>
    <mergeCell ref="BU71:BV71"/>
    <mergeCell ref="CM71:CN71"/>
    <mergeCell ref="CQ71:CR71"/>
    <mergeCell ref="CM72:CN72"/>
    <mergeCell ref="CQ72:CR72"/>
    <mergeCell ref="DI71:DJ71"/>
    <mergeCell ref="DM71:DN71"/>
    <mergeCell ref="B71:C71"/>
    <mergeCell ref="F71:G71"/>
    <mergeCell ref="AA71:AB71"/>
    <mergeCell ref="AE71:AF71"/>
    <mergeCell ref="AV71:AW71"/>
    <mergeCell ref="AZ71:BA71"/>
    <mergeCell ref="DX69:DY69"/>
    <mergeCell ref="B70:C70"/>
    <mergeCell ref="AA70:AB70"/>
    <mergeCell ref="AV70:AW70"/>
    <mergeCell ref="BQ70:BR70"/>
    <mergeCell ref="CM70:CN70"/>
    <mergeCell ref="DI70:DJ70"/>
    <mergeCell ref="DS68:DW68"/>
    <mergeCell ref="Q69:R69"/>
    <mergeCell ref="AO69:AP69"/>
    <mergeCell ref="BJ69:BK69"/>
    <mergeCell ref="CF69:CG69"/>
    <mergeCell ref="DB69:DC69"/>
    <mergeCell ref="BU67:BV67"/>
    <mergeCell ref="CM67:CN67"/>
    <mergeCell ref="CQ67:CR67"/>
    <mergeCell ref="DI67:DJ67"/>
    <mergeCell ref="DM67:DN67"/>
    <mergeCell ref="AK68:AN68"/>
    <mergeCell ref="BF68:BI68"/>
    <mergeCell ref="CA68:CE68"/>
    <mergeCell ref="CW68:DA68"/>
    <mergeCell ref="CQ66:CR66"/>
    <mergeCell ref="DI66:DJ66"/>
    <mergeCell ref="DM66:DN66"/>
    <mergeCell ref="B67:C67"/>
    <mergeCell ref="F67:G67"/>
    <mergeCell ref="AA67:AB67"/>
    <mergeCell ref="AE67:AF67"/>
    <mergeCell ref="AV67:AW67"/>
    <mergeCell ref="AZ67:BA67"/>
    <mergeCell ref="BQ67:BR67"/>
    <mergeCell ref="AA65:AB65"/>
    <mergeCell ref="AK65:AL65"/>
    <mergeCell ref="DX65:DY65"/>
    <mergeCell ref="B66:C66"/>
    <mergeCell ref="F66:G66"/>
    <mergeCell ref="AA66:AB66"/>
    <mergeCell ref="AE66:AF66"/>
    <mergeCell ref="AV66:AW66"/>
    <mergeCell ref="AZ66:BA66"/>
    <mergeCell ref="BQ66:BR66"/>
    <mergeCell ref="BU66:BV66"/>
    <mergeCell ref="CM66:CN66"/>
    <mergeCell ref="CF65:CG65"/>
    <mergeCell ref="CM65:CN65"/>
    <mergeCell ref="CW65:CX65"/>
    <mergeCell ref="DB65:DC65"/>
    <mergeCell ref="DI65:DJ65"/>
    <mergeCell ref="DS65:DT65"/>
    <mergeCell ref="AO65:AP65"/>
    <mergeCell ref="AV65:AW65"/>
    <mergeCell ref="BF65:BG65"/>
    <mergeCell ref="BJ65:BK65"/>
    <mergeCell ref="BQ65:BR65"/>
    <mergeCell ref="CA65:CB65"/>
    <mergeCell ref="AZ62:BA62"/>
    <mergeCell ref="BF62:BG62"/>
    <mergeCell ref="BQ62:BR62"/>
    <mergeCell ref="BU62:BV62"/>
    <mergeCell ref="DB63:DC63"/>
    <mergeCell ref="DS63:DT63"/>
    <mergeCell ref="DX63:DY63"/>
    <mergeCell ref="L64:M64"/>
    <mergeCell ref="Q64:R64"/>
    <mergeCell ref="AK64:AL64"/>
    <mergeCell ref="AO64:AP64"/>
    <mergeCell ref="BF64:BG64"/>
    <mergeCell ref="BJ64:BK64"/>
    <mergeCell ref="CA64:CB64"/>
    <mergeCell ref="CF64:CG64"/>
    <mergeCell ref="CW64:CX64"/>
    <mergeCell ref="DB64:DC64"/>
    <mergeCell ref="DS64:DT64"/>
    <mergeCell ref="DX64:DY64"/>
    <mergeCell ref="DM61:DN61"/>
    <mergeCell ref="B62:C62"/>
    <mergeCell ref="F62:G62"/>
    <mergeCell ref="L62:M62"/>
    <mergeCell ref="AA62:AB62"/>
    <mergeCell ref="AE62:AF62"/>
    <mergeCell ref="DS62:DT62"/>
    <mergeCell ref="L63:M63"/>
    <mergeCell ref="Q63:R63"/>
    <mergeCell ref="AK63:AL63"/>
    <mergeCell ref="AO63:AP63"/>
    <mergeCell ref="BF63:BG63"/>
    <mergeCell ref="BJ63:BK63"/>
    <mergeCell ref="CA63:CB63"/>
    <mergeCell ref="CF63:CG63"/>
    <mergeCell ref="CW63:CX63"/>
    <mergeCell ref="CA62:CB62"/>
    <mergeCell ref="CM62:CN62"/>
    <mergeCell ref="CQ62:CR62"/>
    <mergeCell ref="CW62:CX62"/>
    <mergeCell ref="DI62:DJ62"/>
    <mergeCell ref="DM62:DN62"/>
    <mergeCell ref="AK62:AL62"/>
    <mergeCell ref="AV62:AW62"/>
    <mergeCell ref="AA61:AB61"/>
    <mergeCell ref="AE61:AF61"/>
    <mergeCell ref="AV61:AW61"/>
    <mergeCell ref="AZ61:BA61"/>
    <mergeCell ref="BQ61:BR61"/>
    <mergeCell ref="BQ59:BU59"/>
    <mergeCell ref="CA59:CB59"/>
    <mergeCell ref="CF59:CG59"/>
    <mergeCell ref="CM59:CQ59"/>
    <mergeCell ref="BU61:BV61"/>
    <mergeCell ref="CM61:CN61"/>
    <mergeCell ref="CQ61:CR61"/>
    <mergeCell ref="AK58:AL58"/>
    <mergeCell ref="AO58:AP58"/>
    <mergeCell ref="BF58:BG58"/>
    <mergeCell ref="DX58:DY58"/>
    <mergeCell ref="B59:F59"/>
    <mergeCell ref="L59:M59"/>
    <mergeCell ref="Q59:R59"/>
    <mergeCell ref="AA59:AE59"/>
    <mergeCell ref="AK59:AL59"/>
    <mergeCell ref="AO59:AP59"/>
    <mergeCell ref="AV59:AZ59"/>
    <mergeCell ref="BF59:BG59"/>
    <mergeCell ref="BJ59:BK59"/>
    <mergeCell ref="BJ58:BK58"/>
    <mergeCell ref="CA58:CB58"/>
    <mergeCell ref="CF58:CG58"/>
    <mergeCell ref="CW58:CX58"/>
    <mergeCell ref="DB58:DC58"/>
    <mergeCell ref="DS58:DT58"/>
    <mergeCell ref="DI59:DM59"/>
    <mergeCell ref="DS59:DT59"/>
    <mergeCell ref="DX59:DY59"/>
    <mergeCell ref="CW59:CX59"/>
    <mergeCell ref="DB59:DC59"/>
    <mergeCell ref="AZ57:BA57"/>
    <mergeCell ref="BQ57:BR57"/>
    <mergeCell ref="BF56:BK56"/>
    <mergeCell ref="BQ56:BR56"/>
    <mergeCell ref="BU56:BV56"/>
    <mergeCell ref="CA56:CG56"/>
    <mergeCell ref="CM56:CN56"/>
    <mergeCell ref="CQ56:CR56"/>
    <mergeCell ref="BU57:BV57"/>
    <mergeCell ref="CM57:CN57"/>
    <mergeCell ref="CQ57:CR57"/>
    <mergeCell ref="DX54:DY54"/>
    <mergeCell ref="B56:C56"/>
    <mergeCell ref="F56:G56"/>
    <mergeCell ref="AA56:AB56"/>
    <mergeCell ref="AE56:AF56"/>
    <mergeCell ref="AK56:AP56"/>
    <mergeCell ref="AV56:AW56"/>
    <mergeCell ref="AZ56:BA56"/>
    <mergeCell ref="DH53:DH74"/>
    <mergeCell ref="DS53:DT53"/>
    <mergeCell ref="DX53:DY53"/>
    <mergeCell ref="L54:M54"/>
    <mergeCell ref="Q54:R54"/>
    <mergeCell ref="AK54:AL54"/>
    <mergeCell ref="AO54:AP54"/>
    <mergeCell ref="BF54:BG54"/>
    <mergeCell ref="BJ54:BK54"/>
    <mergeCell ref="CA54:CB54"/>
    <mergeCell ref="BP53:BP74"/>
    <mergeCell ref="CA53:CB53"/>
    <mergeCell ref="CF53:CG53"/>
    <mergeCell ref="CL53:CL74"/>
    <mergeCell ref="CW53:CX53"/>
    <mergeCell ref="DI56:DJ56"/>
    <mergeCell ref="DS52:DT52"/>
    <mergeCell ref="A53:A74"/>
    <mergeCell ref="L53:M53"/>
    <mergeCell ref="Q53:R53"/>
    <mergeCell ref="Z53:Z74"/>
    <mergeCell ref="AK53:AL53"/>
    <mergeCell ref="AO53:AP53"/>
    <mergeCell ref="AU53:AU74"/>
    <mergeCell ref="BF53:BG53"/>
    <mergeCell ref="BJ53:BK53"/>
    <mergeCell ref="BF52:BG52"/>
    <mergeCell ref="BP52:BS52"/>
    <mergeCell ref="CA52:CB52"/>
    <mergeCell ref="CL52:CO52"/>
    <mergeCell ref="CW52:CX52"/>
    <mergeCell ref="DH52:DK52"/>
    <mergeCell ref="DS54:DT54"/>
    <mergeCell ref="DM56:DN56"/>
    <mergeCell ref="DS56:DY56"/>
    <mergeCell ref="B57:C57"/>
    <mergeCell ref="F57:G57"/>
    <mergeCell ref="AA57:AB57"/>
    <mergeCell ref="AE57:AF57"/>
    <mergeCell ref="AV57:AW57"/>
    <mergeCell ref="Z52:AC52"/>
    <mergeCell ref="AK52:AL52"/>
    <mergeCell ref="AU52:AX52"/>
    <mergeCell ref="BW50:BX50"/>
    <mergeCell ref="CA50:CB50"/>
    <mergeCell ref="CF50:CG50"/>
    <mergeCell ref="CM50:CO50"/>
    <mergeCell ref="CS50:CT50"/>
    <mergeCell ref="CW50:CX50"/>
    <mergeCell ref="AO50:AP50"/>
    <mergeCell ref="AV50:AX50"/>
    <mergeCell ref="BB50:BC50"/>
    <mergeCell ref="BJ50:BK50"/>
    <mergeCell ref="BL50:BM50"/>
    <mergeCell ref="BQ50:BS50"/>
    <mergeCell ref="AA50:AC50"/>
    <mergeCell ref="AG50:AH50"/>
    <mergeCell ref="CW49:CX49"/>
    <mergeCell ref="DB49:DC49"/>
    <mergeCell ref="DD49:DE49"/>
    <mergeCell ref="DS49:DT49"/>
    <mergeCell ref="DX49:DY49"/>
    <mergeCell ref="DB50:DC50"/>
    <mergeCell ref="DI50:DK50"/>
    <mergeCell ref="DO50:DP50"/>
    <mergeCell ref="DS50:DT50"/>
    <mergeCell ref="DX50:DY50"/>
    <mergeCell ref="BF49:BG49"/>
    <mergeCell ref="BJ49:BK49"/>
    <mergeCell ref="BL49:BM49"/>
    <mergeCell ref="CA49:CB49"/>
    <mergeCell ref="CF49:CG49"/>
    <mergeCell ref="CH49:CI49"/>
    <mergeCell ref="L49:M49"/>
    <mergeCell ref="Q49:R49"/>
    <mergeCell ref="S49:T49"/>
    <mergeCell ref="AK49:AL49"/>
    <mergeCell ref="AO49:AP49"/>
    <mergeCell ref="AQ49:AR49"/>
    <mergeCell ref="BP46:BP50"/>
    <mergeCell ref="CA47:CB47"/>
    <mergeCell ref="CF47:CG47"/>
    <mergeCell ref="BL46:BM46"/>
    <mergeCell ref="AJ46:AJ82"/>
    <mergeCell ref="AK46:AL46"/>
    <mergeCell ref="AQ46:AR46"/>
    <mergeCell ref="AA47:AD47"/>
    <mergeCell ref="AG47:AH47"/>
    <mergeCell ref="AK47:AL47"/>
    <mergeCell ref="AO47:AP47"/>
    <mergeCell ref="L50:M50"/>
    <mergeCell ref="BQ48:BT48"/>
    <mergeCell ref="BW48:BX48"/>
    <mergeCell ref="CA48:CB48"/>
    <mergeCell ref="CF48:CG48"/>
    <mergeCell ref="CM48:CP48"/>
    <mergeCell ref="CS48:CT48"/>
    <mergeCell ref="DH46:DH50"/>
    <mergeCell ref="DI46:DL46"/>
    <mergeCell ref="DO46:DP46"/>
    <mergeCell ref="BQ46:BT46"/>
    <mergeCell ref="BW46:BX46"/>
    <mergeCell ref="BZ46:BZ82"/>
    <mergeCell ref="CA46:CB46"/>
    <mergeCell ref="CH46:CI46"/>
    <mergeCell ref="BQ47:BT47"/>
    <mergeCell ref="BW47:BX47"/>
    <mergeCell ref="DB53:DC53"/>
    <mergeCell ref="CF54:CG54"/>
    <mergeCell ref="CW54:CX54"/>
    <mergeCell ref="DB54:DC54"/>
    <mergeCell ref="CW56:DC56"/>
    <mergeCell ref="DI57:DJ57"/>
    <mergeCell ref="DM57:DN57"/>
    <mergeCell ref="DI61:DJ61"/>
    <mergeCell ref="AK48:AL48"/>
    <mergeCell ref="AO48:AP48"/>
    <mergeCell ref="AV48:AY48"/>
    <mergeCell ref="BB48:BC48"/>
    <mergeCell ref="BF48:BG48"/>
    <mergeCell ref="BJ48:BK48"/>
    <mergeCell ref="B48:E48"/>
    <mergeCell ref="H48:I48"/>
    <mergeCell ref="L48:M48"/>
    <mergeCell ref="Q48:R48"/>
    <mergeCell ref="AA48:AD48"/>
    <mergeCell ref="AG48:AH48"/>
    <mergeCell ref="AU46:AU50"/>
    <mergeCell ref="AV46:AY46"/>
    <mergeCell ref="BB46:BC46"/>
    <mergeCell ref="BE46:BE82"/>
    <mergeCell ref="BF46:BG46"/>
    <mergeCell ref="AV47:AY47"/>
    <mergeCell ref="BB47:BC47"/>
    <mergeCell ref="BF47:BG47"/>
    <mergeCell ref="BJ47:BK47"/>
    <mergeCell ref="Z46:Z50"/>
    <mergeCell ref="AA46:AD46"/>
    <mergeCell ref="AG46:AH46"/>
    <mergeCell ref="DZ46:EA46"/>
    <mergeCell ref="DI47:DL47"/>
    <mergeCell ref="DO47:DP47"/>
    <mergeCell ref="DS47:DT47"/>
    <mergeCell ref="DX47:DY47"/>
    <mergeCell ref="CL46:CL50"/>
    <mergeCell ref="CM46:CP46"/>
    <mergeCell ref="CS46:CT46"/>
    <mergeCell ref="CV46:CV82"/>
    <mergeCell ref="CW46:CX46"/>
    <mergeCell ref="DD46:DE46"/>
    <mergeCell ref="CM47:CP47"/>
    <mergeCell ref="CS47:CT47"/>
    <mergeCell ref="CW47:CX47"/>
    <mergeCell ref="DB47:DC47"/>
    <mergeCell ref="CW48:CX48"/>
    <mergeCell ref="DB48:DC48"/>
    <mergeCell ref="DI48:DL48"/>
    <mergeCell ref="DO48:DP48"/>
    <mergeCell ref="DS48:DT48"/>
    <mergeCell ref="DX48:DY48"/>
    <mergeCell ref="DR46:DR82"/>
    <mergeCell ref="DS46:DT46"/>
    <mergeCell ref="DZ49:EA49"/>
    <mergeCell ref="A46:A50"/>
    <mergeCell ref="B46:E46"/>
    <mergeCell ref="H46:I46"/>
    <mergeCell ref="K46:K82"/>
    <mergeCell ref="L46:M46"/>
    <mergeCell ref="S46:T46"/>
    <mergeCell ref="B47:E47"/>
    <mergeCell ref="H47:I47"/>
    <mergeCell ref="L47:M47"/>
    <mergeCell ref="Q47:R47"/>
    <mergeCell ref="Q50:R50"/>
    <mergeCell ref="A52:D52"/>
    <mergeCell ref="L52:M52"/>
    <mergeCell ref="B50:D50"/>
    <mergeCell ref="H50:I50"/>
    <mergeCell ref="L58:M58"/>
    <mergeCell ref="Q58:R58"/>
    <mergeCell ref="B61:C61"/>
    <mergeCell ref="F61:G61"/>
    <mergeCell ref="B65:C65"/>
    <mergeCell ref="L65:M65"/>
    <mergeCell ref="Q65:R65"/>
    <mergeCell ref="B72:C72"/>
    <mergeCell ref="F72:G72"/>
    <mergeCell ref="BP45:BV45"/>
    <mergeCell ref="BZ45:CG45"/>
    <mergeCell ref="CL45:CR45"/>
    <mergeCell ref="CV45:DC45"/>
    <mergeCell ref="DH45:DN45"/>
    <mergeCell ref="DR45:DY45"/>
    <mergeCell ref="A45:G45"/>
    <mergeCell ref="Z45:AF45"/>
    <mergeCell ref="AJ45:AP45"/>
    <mergeCell ref="AU45:BA45"/>
    <mergeCell ref="BE45:BK45"/>
    <mergeCell ref="BQ42:BS42"/>
    <mergeCell ref="BW42:BX42"/>
    <mergeCell ref="CM42:CO42"/>
    <mergeCell ref="CS42:CT42"/>
    <mergeCell ref="DI42:DK42"/>
    <mergeCell ref="DO42:DP42"/>
    <mergeCell ref="B42:D42"/>
    <mergeCell ref="H42:I42"/>
    <mergeCell ref="AA42:AC42"/>
    <mergeCell ref="AG42:AH42"/>
    <mergeCell ref="AV42:AX42"/>
    <mergeCell ref="BB42:BC42"/>
    <mergeCell ref="CW40:CZ40"/>
    <mergeCell ref="DD40:DE40"/>
    <mergeCell ref="DI40:DM40"/>
    <mergeCell ref="DO40:DP40"/>
    <mergeCell ref="DS40:DV40"/>
    <mergeCell ref="DZ40:EA40"/>
    <mergeCell ref="BQ40:BU40"/>
    <mergeCell ref="BW40:BX40"/>
    <mergeCell ref="CA40:CD40"/>
    <mergeCell ref="CH40:CI40"/>
    <mergeCell ref="CM40:CQ40"/>
    <mergeCell ref="CS40:CT40"/>
    <mergeCell ref="AK40:AM40"/>
    <mergeCell ref="AQ40:AR40"/>
    <mergeCell ref="AV40:AZ40"/>
    <mergeCell ref="BB40:BC40"/>
    <mergeCell ref="BF40:BH40"/>
    <mergeCell ref="BL40:BM40"/>
    <mergeCell ref="B40:F40"/>
    <mergeCell ref="H40:I40"/>
    <mergeCell ref="S40:T40"/>
    <mergeCell ref="AA40:AE40"/>
    <mergeCell ref="AG40:AH40"/>
    <mergeCell ref="CG37:CH37"/>
    <mergeCell ref="CM37:CQ37"/>
    <mergeCell ref="AG37:AH37"/>
    <mergeCell ref="AK37:AL37"/>
    <mergeCell ref="DC38:DD38"/>
    <mergeCell ref="DS38:DT38"/>
    <mergeCell ref="DY38:DZ38"/>
    <mergeCell ref="B39:C39"/>
    <mergeCell ref="AA39:AB39"/>
    <mergeCell ref="AV39:AW39"/>
    <mergeCell ref="BQ39:BR39"/>
    <mergeCell ref="CM39:CN39"/>
    <mergeCell ref="DI39:DJ39"/>
    <mergeCell ref="DI36:DJ36"/>
    <mergeCell ref="DS36:DT36"/>
    <mergeCell ref="DY36:DZ36"/>
    <mergeCell ref="CG36:CH36"/>
    <mergeCell ref="CM36:CN36"/>
    <mergeCell ref="DY37:DZ37"/>
    <mergeCell ref="L38:M38"/>
    <mergeCell ref="R38:S38"/>
    <mergeCell ref="AK38:AL38"/>
    <mergeCell ref="AP38:AQ38"/>
    <mergeCell ref="BF38:BG38"/>
    <mergeCell ref="BK38:BL38"/>
    <mergeCell ref="CA38:CB38"/>
    <mergeCell ref="CG38:CH38"/>
    <mergeCell ref="CW38:CX38"/>
    <mergeCell ref="CS37:CT37"/>
    <mergeCell ref="CW37:CX37"/>
    <mergeCell ref="DC37:DD37"/>
    <mergeCell ref="DI37:DM37"/>
    <mergeCell ref="DO37:DP37"/>
    <mergeCell ref="DS37:DT37"/>
    <mergeCell ref="BK37:BL37"/>
    <mergeCell ref="BQ37:BU37"/>
    <mergeCell ref="BW37:BX37"/>
    <mergeCell ref="B37:F37"/>
    <mergeCell ref="H37:I37"/>
    <mergeCell ref="L37:M37"/>
    <mergeCell ref="R37:S37"/>
    <mergeCell ref="AA37:AE37"/>
    <mergeCell ref="BF36:BG36"/>
    <mergeCell ref="BK36:BL36"/>
    <mergeCell ref="BQ36:BR36"/>
    <mergeCell ref="CA36:CB36"/>
    <mergeCell ref="AP37:AQ37"/>
    <mergeCell ref="AV37:AZ37"/>
    <mergeCell ref="BB37:BC37"/>
    <mergeCell ref="BF37:BG37"/>
    <mergeCell ref="CA37:CB37"/>
    <mergeCell ref="DH35:DJ35"/>
    <mergeCell ref="DO35:DP35"/>
    <mergeCell ref="DR35:DW35"/>
    <mergeCell ref="B36:C36"/>
    <mergeCell ref="L36:M36"/>
    <mergeCell ref="R36:S36"/>
    <mergeCell ref="AA36:AB36"/>
    <mergeCell ref="AK36:AL36"/>
    <mergeCell ref="AP36:AQ36"/>
    <mergeCell ref="AV36:AW36"/>
    <mergeCell ref="BP35:BR35"/>
    <mergeCell ref="BW35:BX35"/>
    <mergeCell ref="BZ35:CE35"/>
    <mergeCell ref="CL35:CN35"/>
    <mergeCell ref="CS35:CT35"/>
    <mergeCell ref="CV35:DA35"/>
    <mergeCell ref="Z35:AB35"/>
    <mergeCell ref="AG35:AH35"/>
    <mergeCell ref="AJ35:AN35"/>
    <mergeCell ref="AU35:AW35"/>
    <mergeCell ref="BB35:BC35"/>
    <mergeCell ref="BE35:BI35"/>
    <mergeCell ref="CW36:CX36"/>
    <mergeCell ref="DC36:DD36"/>
    <mergeCell ref="P31:U31"/>
    <mergeCell ref="J30:K30"/>
    <mergeCell ref="J31:K31"/>
    <mergeCell ref="M31:N31"/>
    <mergeCell ref="A27:D27"/>
    <mergeCell ref="I27:K27"/>
    <mergeCell ref="M27:N27"/>
    <mergeCell ref="P32:U32"/>
    <mergeCell ref="A35:C35"/>
    <mergeCell ref="H35:I35"/>
    <mergeCell ref="M32:N32"/>
    <mergeCell ref="J32:K32"/>
    <mergeCell ref="M30:N30"/>
    <mergeCell ref="R29:S29"/>
    <mergeCell ref="J20:K20"/>
    <mergeCell ref="M20:N20"/>
    <mergeCell ref="J21:K21"/>
    <mergeCell ref="M21:N21"/>
    <mergeCell ref="A24:D24"/>
    <mergeCell ref="I24:K24"/>
    <mergeCell ref="M24:N24"/>
    <mergeCell ref="P29:Q29"/>
    <mergeCell ref="J29:K29"/>
    <mergeCell ref="M29:N29"/>
    <mergeCell ref="P24:Q24"/>
    <mergeCell ref="J22:K22"/>
    <mergeCell ref="M22:N22"/>
    <mergeCell ref="A25:D25"/>
    <mergeCell ref="I25:K25"/>
    <mergeCell ref="M25:N25"/>
    <mergeCell ref="A26:D26"/>
    <mergeCell ref="I26:K26"/>
    <mergeCell ref="M26:N26"/>
    <mergeCell ref="J19:K19"/>
    <mergeCell ref="M19:N19"/>
    <mergeCell ref="R15:U15"/>
    <mergeCell ref="A4:D4"/>
    <mergeCell ref="E4:O4"/>
    <mergeCell ref="A7:D7"/>
    <mergeCell ref="F7:O7"/>
    <mergeCell ref="F8:O8"/>
    <mergeCell ref="F12:G12"/>
    <mergeCell ref="J12:L12"/>
    <mergeCell ref="A14:D14"/>
    <mergeCell ref="I14:K14"/>
    <mergeCell ref="M14:N14"/>
    <mergeCell ref="A15:D15"/>
    <mergeCell ref="I15:K15"/>
    <mergeCell ref="M15:N15"/>
    <mergeCell ref="A16:D16"/>
    <mergeCell ref="I16:K16"/>
    <mergeCell ref="M16:N16"/>
    <mergeCell ref="A17:D17"/>
    <mergeCell ref="I17:K17"/>
    <mergeCell ref="M17:N17"/>
    <mergeCell ref="E1:G1"/>
    <mergeCell ref="R2:V2"/>
    <mergeCell ref="A3:D3"/>
    <mergeCell ref="E3:K3"/>
    <mergeCell ref="L3:P3"/>
    <mergeCell ref="Q3:X3"/>
    <mergeCell ref="Q12:T12"/>
    <mergeCell ref="P13:R13"/>
    <mergeCell ref="J18:K18"/>
    <mergeCell ref="M18:N18"/>
  </mergeCells>
  <pageMargins left="0.25" right="0.25" top="0.75" bottom="0.75" header="0.3" footer="0.3"/>
  <pageSetup paperSize="9" scale="33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8</vt:i4>
      </vt:variant>
      <vt:variant>
        <vt:lpstr>Imenovani obsegi</vt:lpstr>
      </vt:variant>
      <vt:variant>
        <vt:i4>2</vt:i4>
      </vt:variant>
    </vt:vector>
  </HeadingPairs>
  <TitlesOfParts>
    <vt:vector size="10" baseType="lpstr">
      <vt:lpstr>PONUDBA</vt:lpstr>
      <vt:lpstr>PLASTIKA</vt:lpstr>
      <vt:lpstr>KLIŠE</vt:lpstr>
      <vt:lpstr> UV ZUNANJI</vt:lpstr>
      <vt:lpstr>BROŠURE</vt:lpstr>
      <vt:lpstr>LETAKI DOPISI</vt:lpstr>
      <vt:lpstr>CENA MATERIALA</vt:lpstr>
      <vt:lpstr>PONUDBA (2)</vt:lpstr>
      <vt:lpstr>PONUDBA!Področje_tiskanja</vt:lpstr>
      <vt:lpstr>'PONUDBA (2)'!Področje_tiskanja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Uporabnik sistema Windows</cp:lastModifiedBy>
  <cp:lastPrinted>2021-05-24T14:36:51Z</cp:lastPrinted>
  <dcterms:created xsi:type="dcterms:W3CDTF">2020-11-19T17:28:26Z</dcterms:created>
  <dcterms:modified xsi:type="dcterms:W3CDTF">2024-11-18T18:08:23Z</dcterms:modified>
</cp:coreProperties>
</file>