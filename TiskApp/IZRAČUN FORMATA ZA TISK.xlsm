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a_delovni_zvezek" defaultThemeVersion="166925"/>
  <mc:AlternateContent xmlns:mc="http://schemas.openxmlformats.org/markup-compatibility/2006">
    <mc:Choice Requires="x15">
      <x15ac:absPath xmlns:x15ac="http://schemas.microsoft.com/office/spreadsheetml/2010/11/ac" url="C:\Users\Prodaja\Desktop\DARKO\"/>
    </mc:Choice>
  </mc:AlternateContent>
  <xr:revisionPtr revIDLastSave="0" documentId="13_ncr:1_{E3270651-2ACC-428C-80CA-CCA36F1C4089}" xr6:coauthVersionLast="47" xr6:coauthVersionMax="47" xr10:uidLastSave="{00000000-0000-0000-0000-000000000000}"/>
  <bookViews>
    <workbookView xWindow="2730" yWindow="2610" windowWidth="22725" windowHeight="12990" xr2:uid="{AB9E1F00-C631-43D8-BD9A-5C3E64EDDDF9}"/>
  </bookViews>
  <sheets>
    <sheet name="IZRAČUN STAVKOV NA POLI" sheetId="1" r:id="rId1"/>
    <sheet name="MAKRO" sheetId="4" r:id="rId2"/>
    <sheet name="List1" sheetId="2" r:id="rId3"/>
    <sheet name="CENA MATERIALA (2)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J5" i="1"/>
  <c r="Q5" i="1" s="1"/>
  <c r="M5" i="1"/>
  <c r="I6" i="1"/>
  <c r="J6" i="1" s="1"/>
  <c r="K6" i="1"/>
  <c r="M6" i="1" s="1"/>
  <c r="R6" i="1" s="1"/>
  <c r="O12" i="1"/>
  <c r="F4" i="3"/>
  <c r="I4" i="3" s="1"/>
  <c r="L4" i="3" s="1"/>
  <c r="F5" i="3"/>
  <c r="H4" i="3" l="1"/>
  <c r="K4" i="3" s="1"/>
  <c r="O5" i="1"/>
  <c r="P5" i="1" s="1"/>
  <c r="R5" i="1"/>
  <c r="K5" i="3"/>
  <c r="Q6" i="1"/>
  <c r="O6" i="1"/>
  <c r="P6" i="1" s="1"/>
  <c r="I5" i="3"/>
  <c r="L5" i="3" s="1"/>
  <c r="L7" i="3" s="1"/>
</calcChain>
</file>

<file path=xl/sharedStrings.xml><?xml version="1.0" encoding="utf-8"?>
<sst xmlns="http://schemas.openxmlformats.org/spreadsheetml/2006/main" count="142" uniqueCount="117">
  <si>
    <t>IZRAČUN FORM ZA MONTAŽO</t>
  </si>
  <si>
    <t>Širina</t>
  </si>
  <si>
    <t>Višina</t>
  </si>
  <si>
    <t>Format forme</t>
  </si>
  <si>
    <t>Dodatek za obrez</t>
  </si>
  <si>
    <t>NAKLADA</t>
  </si>
  <si>
    <t>Dod. Za obrez mm</t>
  </si>
  <si>
    <t>Širina cm</t>
  </si>
  <si>
    <t>Višina cm</t>
  </si>
  <si>
    <t>STAVKOV NA POLI</t>
  </si>
  <si>
    <t>ROČNA IZBIRA ŠTEVILA STAVKOV NA POLI</t>
  </si>
  <si>
    <t>TISKOVNI FORMAT</t>
  </si>
  <si>
    <t>x</t>
  </si>
  <si>
    <t>TEŽA/KG</t>
  </si>
  <si>
    <t xml:space="preserve">CENA ZA KOLIČINO </t>
  </si>
  <si>
    <t>ŽELJENA KOLIČINA POL</t>
  </si>
  <si>
    <t>število pol  v toni</t>
  </si>
  <si>
    <t>cena pole</t>
  </si>
  <si>
    <t>tona/1000 kg</t>
  </si>
  <si>
    <t>površina</t>
  </si>
  <si>
    <t>gramatura</t>
  </si>
  <si>
    <t xml:space="preserve">DIMENZIJA POLE </t>
  </si>
  <si>
    <t>IZRAČUN CENE MATERALA</t>
  </si>
  <si>
    <t xml:space="preserve"> </t>
  </si>
  <si>
    <t>Sub DodajGumbe()</t>
  </si>
  <si>
    <t>Dim ws As Worksheet</t>
  </si>
  <si>
    <t>Set ws = ActiveSheet</t>
  </si>
  <si>
    <t>Dim btn1 As Shape, btn2 As Shape, btn3 As Shape</t>
  </si>
  <si>
    <t>Dim x As Double, y As Double, w As Double, h As Double</t>
  </si>
  <si>
    <t>x = ws.Range("M2").Left</t>
  </si>
  <si>
    <t>y = ws.Range("M2").Top</t>
  </si>
  <si>
    <t>w = 120</t>
  </si>
  <si>
    <t>h = 32</t>
  </si>
  <si>
    <t>Set btn1 = ws.Shapes.AddShape(msoShapeRoundedRectangle, x, y, w, h)</t>
  </si>
  <si>
    <t>btn1.TextFrame2.TextRange.Text = "NORMALNO"</t>
  </si>
  <si>
    <t>btn1.OnAction = "NarisiNormalno"</t>
  </si>
  <si>
    <t>Set btn2 = ws.Shapes.AddShape(msoShapeRoundedRectangle, x, y + 42, w, h)</t>
  </si>
  <si>
    <t>btn2.TextFrame2.TextRange.Text = "OBRNJENO"</t>
  </si>
  <si>
    <t>btn2.OnAction = "NarisiObrnjeno"</t>
  </si>
  <si>
    <t>Set btn3 = ws.Shapes.AddShape(msoShapeRoundedRectangle, x, y + 84, w, h)</t>
  </si>
  <si>
    <t>btn3.TextFrame2.TextRange.Text = "OBE VERZIJI"</t>
  </si>
  <si>
    <t>btn3.OnAction = "NarisiObeVerziji"</t>
  </si>
  <si>
    <t>End Sub</t>
  </si>
  <si>
    <t>Sub NarisiNormalno()</t>
  </si>
  <si>
    <t>NarisiMontažo ActiveSheet, _</t>
  </si>
  <si>
    <t xml:space="preserve">    CDbl(Range("B5").Value) * 10, _</t>
  </si>
  <si>
    <t xml:space="preserve">    CDbl(Range("F5").Value) * 10, _</t>
  </si>
  <si>
    <t xml:space="preserve">    CDbl(Range("I5").Value) * 10, _</t>
  </si>
  <si>
    <t xml:space="preserve">    CDbl(Range("K5").Value) * 10, _</t>
  </si>
  <si>
    <t xml:space="preserve">    CDbl(Range("F9").Value), _</t>
  </si>
  <si>
    <t xml:space="preserve">    CDbl(Range("I9").Value), _</t>
  </si>
  <si>
    <t xml:space="preserve">    20, _</t>
  </si>
  <si>
    <t xml:space="preserve">    0.4, _</t>
  </si>
  <si>
    <t>Sub NarisiObrnjeno()</t>
  </si>
  <si>
    <t>Sub NarisiObeVerziji()</t>
  </si>
  <si>
    <t>Dim paperW As Double, paperH As Double</t>
  </si>
  <si>
    <t>Dim formatW As Double, formatH As Double</t>
  </si>
  <si>
    <t>Dim trim As Double, gap As Double</t>
  </si>
  <si>
    <t>Dim bottomMargin As Double, k As Double</t>
  </si>
  <si>
    <t>k = 0.4</t>
  </si>
  <si>
    <t>bottomMargin = 20</t>
  </si>
  <si>
    <t>paperW = CDbl(ws.Range("B5").Value) * 10</t>
  </si>
  <si>
    <t>paperH = CDbl(ws.Range("F5").Value) * 10</t>
  </si>
  <si>
    <t>formatW = CDbl(ws.Range("I5").Value) * 10</t>
  </si>
  <si>
    <t>formatH = CDbl(ws.Range("K5").Value) * 10</t>
  </si>
  <si>
    <t>trim = CDbl(ws.Range("F9").Value)</t>
  </si>
  <si>
    <t>gap = CDbl(ws.Range("I9").Value)</t>
  </si>
  <si>
    <t>NarisiMontažo ws, paperW, paperH, formatW, formatH, trim, gap, bottomMargin, k, 1</t>
  </si>
  <si>
    <t>NarisiMontažo ws, paperW, paperH, formatH, formatW, trim, gap, bottomMargin, k, 2</t>
  </si>
  <si>
    <t>' =========================</t>
  </si>
  <si>
    <t>' JEDRO RISANJA</t>
  </si>
  <si>
    <t>Sub NarisiMontažo(ws As Worksheet, _</t>
  </si>
  <si>
    <t xml:space="preserve">                  paperW As Double, paperH As Double, _</t>
  </si>
  <si>
    <t xml:space="preserve">                  formatW As Double, formatH As Double, _</t>
  </si>
  <si>
    <t xml:space="preserve">                  trim As Double, gap As Double, bottomMargin As Double, _</t>
  </si>
  <si>
    <t xml:space="preserve">                  k As Double, verzija As Integer)</t>
  </si>
  <si>
    <t>Dim effW As Double, effH As Double</t>
  </si>
  <si>
    <t>Dim nx As Long, ny As Long</t>
  </si>
  <si>
    <t>effW = formatW + 2 * trim + gap</t>
  </si>
  <si>
    <t>effH = formatH + 2 * trim + gap</t>
  </si>
  <si>
    <t>nx = Int(paperW / effW)</t>
  </si>
  <si>
    <t>ny = Int((paperH - bottomMargin) / effH)</t>
  </si>
  <si>
    <t>If nx &lt; 1 Or ny &lt; 1 Then</t>
  </si>
  <si>
    <t xml:space="preserve">    MsgBox "Na ta format ne gre noben stavek!", vbCritical</t>
  </si>
  <si>
    <t xml:space="preserve">    Exit Sub</t>
  </si>
  <si>
    <t>End If</t>
  </si>
  <si>
    <t>Dim lastCol As Long</t>
  </si>
  <si>
    <t>lastCol = ws.Cells(3, ws.Columns.Count).End(xlToLeft).Column</t>
  </si>
  <si>
    <t>Dim startX As Double, startY As Double</t>
  </si>
  <si>
    <t>startX = ws.Cells(3, lastCol - 6).Left + (verzija - 1) * (paperW * k + 60)</t>
  </si>
  <si>
    <t>startY = ws.Cells(13, 3).Top</t>
  </si>
  <si>
    <t>If verzija = 1 Then</t>
  </si>
  <si>
    <t xml:space="preserve">    Dim shp As Shape</t>
  </si>
  <si>
    <t xml:space="preserve">    For Each shp In ws.Shapes</t>
  </si>
  <si>
    <t xml:space="preserve">        If shp.Type &lt;&gt; msoShapeRoundedRectangle Then shp.Delete</t>
  </si>
  <si>
    <t xml:space="preserve">    Next</t>
  </si>
  <si>
    <t>ws.Shapes.AddShape msoShapeRectangle, startX, startY, paperW * k, paperH * k</t>
  </si>
  <si>
    <t>ws.Shapes.AddLine startX, _</t>
  </si>
  <si>
    <t xml:space="preserve">                  startY + paperH * k - bottomMargin * k, _</t>
  </si>
  <si>
    <t xml:space="preserve">                  startX + paperW * k, _</t>
  </si>
  <si>
    <t xml:space="preserve">                  startY + paperH * k - bottomMargin * k</t>
  </si>
  <si>
    <t>Dim totalW As Double, totalH As Double</t>
  </si>
  <si>
    <t>totalW = nx * effW</t>
  </si>
  <si>
    <t>totalH = ny * effH</t>
  </si>
  <si>
    <t>Dim offsetX As Double, offsetY As Double</t>
  </si>
  <si>
    <t>offsetX = (paperW - totalW) / 2</t>
  </si>
  <si>
    <t>offsetY = bottomMargin + (paperH - bottomMargin - totalH) / 2</t>
  </si>
  <si>
    <t>Dim i As Long, j As Long</t>
  </si>
  <si>
    <t>For i = 0 To nx - 1</t>
  </si>
  <si>
    <t xml:space="preserve">    For j = 0 To ny - 1</t>
  </si>
  <si>
    <t xml:space="preserve">        ws.Shapes.AddShape msoShapeRectangle, _</t>
  </si>
  <si>
    <t xml:space="preserve">            startX + (offsetX + i * effW) * k, _</t>
  </si>
  <si>
    <t xml:space="preserve">            startY + paperH * k - (offsetY + (j + 1) * effH) * k, _</t>
  </si>
  <si>
    <t xml:space="preserve">            (effW - gap) * k, _</t>
  </si>
  <si>
    <t xml:space="preserve">            (effH - gap) * k</t>
  </si>
  <si>
    <t xml:space="preserve">    Next j</t>
  </si>
  <si>
    <t>Next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</si>
</sst>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,##0.00000"/>
    <numFmt numFmtId="166" formatCode="#,##0\ &quot;€&quot;"/>
    <numFmt numFmtId="167" formatCode="#,##0.0000\ &quot;€&quot;"/>
  </numFmts>
  <fonts count="15" x14ac:knownFonts="1">
    <font>
      <sz val="11"/>
      <color theme="1"/>
      <name val="Arial"/>
      <family val="2"/>
      <charset val="238"/>
    </font>
    <font>
      <b/>
      <sz val="11"/>
      <color theme="1"/>
      <name val="Aptos"/>
      <family val="2"/>
    </font>
    <font>
      <b/>
      <sz val="10"/>
      <color theme="1"/>
      <name val="Aptos"/>
      <family val="2"/>
    </font>
    <font>
      <sz val="11"/>
      <color theme="1"/>
      <name val="Aptos"/>
      <family val="2"/>
    </font>
    <font>
      <b/>
      <sz val="12"/>
      <color theme="1"/>
      <name val="Aptos"/>
      <family val="2"/>
    </font>
    <font>
      <b/>
      <i/>
      <sz val="11"/>
      <color theme="1"/>
      <name val="Aptos"/>
      <family val="2"/>
    </font>
    <font>
      <b/>
      <i/>
      <sz val="12"/>
      <color theme="1"/>
      <name val="Aptos"/>
      <family val="2"/>
    </font>
    <font>
      <sz val="12"/>
      <color theme="1"/>
      <name val="Aptos"/>
      <family val="2"/>
    </font>
    <font>
      <b/>
      <sz val="12"/>
      <name val="Aptos"/>
      <family val="2"/>
    </font>
    <font>
      <b/>
      <sz val="11"/>
      <color theme="1"/>
      <name val="Aptos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1"/>
      <color theme="0"/>
      <name val="Aptos"/>
      <family val="2"/>
    </font>
    <font>
      <sz val="11"/>
      <color rgb="FFFF0000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2" borderId="0" xfId="0" applyFont="1" applyFill="1" applyAlignment="1" applyProtection="1">
      <alignment horizontal="center"/>
      <protection hidden="1"/>
    </xf>
    <xf numFmtId="3" fontId="6" fillId="2" borderId="0" xfId="0" applyNumberFormat="1" applyFont="1" applyFill="1" applyAlignment="1" applyProtection="1">
      <alignment horizontal="center"/>
      <protection hidden="1"/>
    </xf>
    <xf numFmtId="3" fontId="1" fillId="5" borderId="0" xfId="0" applyNumberFormat="1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5" fillId="4" borderId="0" xfId="0" applyFont="1" applyFill="1" applyAlignment="1" applyProtection="1">
      <alignment horizontal="center"/>
      <protection locked="0"/>
    </xf>
    <xf numFmtId="0" fontId="4" fillId="3" borderId="0" xfId="0" applyFont="1" applyFill="1" applyAlignment="1" applyProtection="1">
      <alignment horizontal="center"/>
      <protection locked="0"/>
    </xf>
    <xf numFmtId="0" fontId="7" fillId="0" borderId="0" xfId="0" applyFont="1" applyAlignment="1">
      <alignment vertical="center"/>
    </xf>
    <xf numFmtId="3" fontId="0" fillId="0" borderId="0" xfId="0" applyNumberFormat="1"/>
    <xf numFmtId="0" fontId="8" fillId="2" borderId="0" xfId="0" applyFont="1" applyFill="1" applyAlignment="1" applyProtection="1">
      <alignment horizontal="center"/>
      <protection hidden="1"/>
    </xf>
    <xf numFmtId="164" fontId="3" fillId="4" borderId="0" xfId="0" applyNumberFormat="1" applyFont="1" applyFill="1" applyAlignment="1" applyProtection="1">
      <alignment horizontal="center"/>
      <protection locked="0"/>
    </xf>
    <xf numFmtId="0" fontId="4" fillId="6" borderId="0" xfId="0" applyFont="1" applyFill="1" applyAlignment="1" applyProtection="1">
      <alignment horizontal="center"/>
      <protection hidden="1"/>
    </xf>
    <xf numFmtId="0" fontId="4" fillId="6" borderId="0" xfId="0" applyFont="1" applyFill="1" applyAlignment="1" applyProtection="1">
      <alignment horizontal="center"/>
      <protection locked="0"/>
    </xf>
    <xf numFmtId="164" fontId="0" fillId="0" borderId="0" xfId="0" applyNumberFormat="1"/>
    <xf numFmtId="164" fontId="9" fillId="7" borderId="0" xfId="0" applyNumberFormat="1" applyFont="1" applyFill="1" applyAlignment="1">
      <alignment horizontal="center"/>
    </xf>
    <xf numFmtId="0" fontId="10" fillId="0" borderId="0" xfId="1"/>
    <xf numFmtId="165" fontId="11" fillId="0" borderId="0" xfId="1" applyNumberFormat="1" applyFont="1" applyAlignment="1">
      <alignment horizontal="center"/>
    </xf>
    <xf numFmtId="0" fontId="10" fillId="0" borderId="0" xfId="1" applyProtection="1">
      <protection hidden="1"/>
    </xf>
    <xf numFmtId="165" fontId="11" fillId="0" borderId="0" xfId="1" applyNumberFormat="1" applyFont="1" applyAlignment="1" applyProtection="1">
      <alignment horizontal="center"/>
      <protection hidden="1"/>
    </xf>
    <xf numFmtId="166" fontId="11" fillId="0" borderId="0" xfId="1" applyNumberFormat="1" applyFont="1" applyAlignment="1" applyProtection="1">
      <alignment horizontal="center"/>
      <protection hidden="1"/>
    </xf>
    <xf numFmtId="3" fontId="11" fillId="8" borderId="0" xfId="1" applyNumberFormat="1" applyFont="1" applyFill="1" applyAlignment="1" applyProtection="1">
      <alignment horizontal="center"/>
      <protection hidden="1"/>
    </xf>
    <xf numFmtId="3" fontId="11" fillId="0" borderId="0" xfId="1" applyNumberFormat="1" applyFont="1" applyAlignment="1" applyProtection="1">
      <alignment horizontal="center"/>
      <protection hidden="1"/>
    </xf>
    <xf numFmtId="167" fontId="11" fillId="0" borderId="0" xfId="1" applyNumberFormat="1" applyFont="1" applyAlignment="1" applyProtection="1">
      <alignment horizontal="center"/>
      <protection hidden="1"/>
    </xf>
    <xf numFmtId="0" fontId="11" fillId="0" borderId="0" xfId="1" applyFont="1" applyAlignment="1" applyProtection="1">
      <alignment horizontal="center"/>
      <protection hidden="1"/>
    </xf>
    <xf numFmtId="0" fontId="11" fillId="8" borderId="0" xfId="1" applyFont="1" applyFill="1" applyAlignment="1" applyProtection="1">
      <alignment horizontal="center"/>
      <protection hidden="1"/>
    </xf>
    <xf numFmtId="0" fontId="11" fillId="0" borderId="0" xfId="1" applyFont="1" applyAlignment="1" applyProtection="1">
      <alignment horizontal="left"/>
      <protection hidden="1"/>
    </xf>
    <xf numFmtId="0" fontId="11" fillId="8" borderId="0" xfId="1" applyFont="1" applyFill="1" applyAlignment="1" applyProtection="1">
      <alignment horizontal="left"/>
      <protection hidden="1"/>
    </xf>
    <xf numFmtId="0" fontId="11" fillId="8" borderId="0" xfId="1" applyFont="1" applyFill="1" applyProtection="1">
      <protection hidden="1"/>
    </xf>
    <xf numFmtId="0" fontId="12" fillId="0" borderId="0" xfId="1" applyFont="1" applyAlignment="1" applyProtection="1">
      <alignment horizontal="center"/>
      <protection hidden="1"/>
    </xf>
    <xf numFmtId="0" fontId="13" fillId="0" borderId="0" xfId="0" applyFont="1" applyAlignment="1">
      <alignment horizontal="center"/>
    </xf>
    <xf numFmtId="0" fontId="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3" fontId="6" fillId="0" borderId="0" xfId="0" applyNumberFormat="1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4" borderId="0" xfId="0" applyNumberFormat="1" applyFont="1" applyFill="1" applyAlignment="1" applyProtection="1">
      <alignment horizontal="center"/>
      <protection locked="0"/>
    </xf>
    <xf numFmtId="0" fontId="12" fillId="0" borderId="0" xfId="1" applyFont="1" applyAlignment="1" applyProtection="1">
      <alignment horizontal="center"/>
      <protection hidden="1"/>
    </xf>
    <xf numFmtId="0" fontId="10" fillId="0" borderId="0" xfId="1" applyProtection="1">
      <protection hidden="1"/>
    </xf>
  </cellXfs>
  <cellStyles count="2">
    <cellStyle name="Navadno" xfId="0" builtinId="0"/>
    <cellStyle name="Navadno 2" xfId="1" xr:uid="{6DAF93F2-CFC6-4809-9ECE-61571A97C1E0}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14</xdr:row>
      <xdr:rowOff>0</xdr:rowOff>
    </xdr:from>
    <xdr:to>
      <xdr:col>16</xdr:col>
      <xdr:colOff>12065</xdr:colOff>
      <xdr:row>26</xdr:row>
      <xdr:rowOff>177165</xdr:rowOff>
    </xdr:to>
    <xdr:sp macro="" textlink="">
      <xdr:nvSpPr>
        <xdr:cNvPr id="15" name="Pravokotnik 14">
          <a:extLst>
            <a:ext uri="{FF2B5EF4-FFF2-40B4-BE49-F238E27FC236}">
              <a16:creationId xmlns:a16="http://schemas.microsoft.com/office/drawing/2014/main" id="{E0A4FFFE-AF1E-388A-0C45-74D712DC081A}"/>
            </a:ext>
          </a:extLst>
        </xdr:cNvPr>
        <xdr:cNvSpPr/>
      </xdr:nvSpPr>
      <xdr:spPr>
        <a:xfrm>
          <a:off x="4286250" y="2705100"/>
          <a:ext cx="3545840" cy="252984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0</xdr:colOff>
      <xdr:row>26</xdr:row>
      <xdr:rowOff>116205</xdr:rowOff>
    </xdr:from>
    <xdr:to>
      <xdr:col>16</xdr:col>
      <xdr:colOff>12065</xdr:colOff>
      <xdr:row>26</xdr:row>
      <xdr:rowOff>116205</xdr:rowOff>
    </xdr:to>
    <xdr:cxnSp macro="">
      <xdr:nvCxnSpPr>
        <xdr:cNvPr id="16" name="Raven povezovalnik 15">
          <a:extLst>
            <a:ext uri="{FF2B5EF4-FFF2-40B4-BE49-F238E27FC236}">
              <a16:creationId xmlns:a16="http://schemas.microsoft.com/office/drawing/2014/main" id="{E1EDFF02-EA05-66D9-AB7F-9C9412B209B4}"/>
            </a:ext>
          </a:extLst>
        </xdr:cNvPr>
        <xdr:cNvCxnSpPr/>
      </xdr:nvCxnSpPr>
      <xdr:spPr>
        <a:xfrm>
          <a:off x="4286250" y="5173980"/>
          <a:ext cx="354584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106680</xdr:colOff>
      <xdr:row>14</xdr:row>
      <xdr:rowOff>20320</xdr:rowOff>
    </xdr:from>
    <xdr:to>
      <xdr:col>11</xdr:col>
      <xdr:colOff>166370</xdr:colOff>
      <xdr:row>26</xdr:row>
      <xdr:rowOff>95885</xdr:rowOff>
    </xdr:to>
    <xdr:sp macro="" textlink="">
      <xdr:nvSpPr>
        <xdr:cNvPr id="17" name="Pravokotnik 16">
          <a:extLst>
            <a:ext uri="{FF2B5EF4-FFF2-40B4-BE49-F238E27FC236}">
              <a16:creationId xmlns:a16="http://schemas.microsoft.com/office/drawing/2014/main" id="{33C24ED9-C6AD-7123-78E3-7279CE364403}"/>
            </a:ext>
          </a:extLst>
        </xdr:cNvPr>
        <xdr:cNvSpPr/>
      </xdr:nvSpPr>
      <xdr:spPr>
        <a:xfrm>
          <a:off x="4392930" y="2725420"/>
          <a:ext cx="650240" cy="24282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15240</xdr:colOff>
      <xdr:row>14</xdr:row>
      <xdr:rowOff>20320</xdr:rowOff>
    </xdr:from>
    <xdr:to>
      <xdr:col>14</xdr:col>
      <xdr:colOff>27305</xdr:colOff>
      <xdr:row>26</xdr:row>
      <xdr:rowOff>95885</xdr:rowOff>
    </xdr:to>
    <xdr:sp macro="" textlink="">
      <xdr:nvSpPr>
        <xdr:cNvPr id="18" name="Pravokotnik 17">
          <a:extLst>
            <a:ext uri="{FF2B5EF4-FFF2-40B4-BE49-F238E27FC236}">
              <a16:creationId xmlns:a16="http://schemas.microsoft.com/office/drawing/2014/main" id="{B3E2CBAF-0418-69A1-C5B7-F22E46239E59}"/>
            </a:ext>
          </a:extLst>
        </xdr:cNvPr>
        <xdr:cNvSpPr/>
      </xdr:nvSpPr>
      <xdr:spPr>
        <a:xfrm>
          <a:off x="5063490" y="2725420"/>
          <a:ext cx="650240" cy="24282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14</xdr:col>
      <xdr:colOff>47625</xdr:colOff>
      <xdr:row>14</xdr:row>
      <xdr:rowOff>20320</xdr:rowOff>
    </xdr:from>
    <xdr:to>
      <xdr:col>14</xdr:col>
      <xdr:colOff>697865</xdr:colOff>
      <xdr:row>26</xdr:row>
      <xdr:rowOff>95885</xdr:rowOff>
    </xdr:to>
    <xdr:sp macro="" textlink="">
      <xdr:nvSpPr>
        <xdr:cNvPr id="19" name="Pravokotnik 18">
          <a:extLst>
            <a:ext uri="{FF2B5EF4-FFF2-40B4-BE49-F238E27FC236}">
              <a16:creationId xmlns:a16="http://schemas.microsoft.com/office/drawing/2014/main" id="{F8DDEE20-B035-1793-F59F-BAF53829CD14}"/>
            </a:ext>
          </a:extLst>
        </xdr:cNvPr>
        <xdr:cNvSpPr/>
      </xdr:nvSpPr>
      <xdr:spPr>
        <a:xfrm>
          <a:off x="5734050" y="2725420"/>
          <a:ext cx="650240" cy="24282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14</xdr:col>
      <xdr:colOff>718185</xdr:colOff>
      <xdr:row>14</xdr:row>
      <xdr:rowOff>20320</xdr:rowOff>
    </xdr:from>
    <xdr:to>
      <xdr:col>15</xdr:col>
      <xdr:colOff>139700</xdr:colOff>
      <xdr:row>26</xdr:row>
      <xdr:rowOff>95885</xdr:rowOff>
    </xdr:to>
    <xdr:sp macro="" textlink="">
      <xdr:nvSpPr>
        <xdr:cNvPr id="20" name="Pravokotnik 19">
          <a:extLst>
            <a:ext uri="{FF2B5EF4-FFF2-40B4-BE49-F238E27FC236}">
              <a16:creationId xmlns:a16="http://schemas.microsoft.com/office/drawing/2014/main" id="{3969995B-6B79-AD02-EE16-D1ED604A4C76}"/>
            </a:ext>
          </a:extLst>
        </xdr:cNvPr>
        <xdr:cNvSpPr/>
      </xdr:nvSpPr>
      <xdr:spPr>
        <a:xfrm>
          <a:off x="6404610" y="2725420"/>
          <a:ext cx="650240" cy="24282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160020</xdr:colOff>
      <xdr:row>14</xdr:row>
      <xdr:rowOff>20320</xdr:rowOff>
    </xdr:from>
    <xdr:to>
      <xdr:col>15</xdr:col>
      <xdr:colOff>810260</xdr:colOff>
      <xdr:row>26</xdr:row>
      <xdr:rowOff>95885</xdr:rowOff>
    </xdr:to>
    <xdr:sp macro="" textlink="">
      <xdr:nvSpPr>
        <xdr:cNvPr id="21" name="Pravokotnik 20">
          <a:extLst>
            <a:ext uri="{FF2B5EF4-FFF2-40B4-BE49-F238E27FC236}">
              <a16:creationId xmlns:a16="http://schemas.microsoft.com/office/drawing/2014/main" id="{29BD3F0A-06FA-C451-7411-4E7A7FF9CBFF}"/>
            </a:ext>
          </a:extLst>
        </xdr:cNvPr>
        <xdr:cNvSpPr/>
      </xdr:nvSpPr>
      <xdr:spPr>
        <a:xfrm>
          <a:off x="7075170" y="2725420"/>
          <a:ext cx="650240" cy="24282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10</xdr:col>
      <xdr:colOff>0</xdr:colOff>
      <xdr:row>27</xdr:row>
      <xdr:rowOff>78740</xdr:rowOff>
    </xdr:from>
    <xdr:to>
      <xdr:col>16</xdr:col>
      <xdr:colOff>12065</xdr:colOff>
      <xdr:row>28</xdr:row>
      <xdr:rowOff>132715</xdr:rowOff>
    </xdr:to>
    <xdr:sp macro="" textlink="">
      <xdr:nvSpPr>
        <xdr:cNvPr id="22" name="PoljeZBesedilom 21">
          <a:extLst>
            <a:ext uri="{FF2B5EF4-FFF2-40B4-BE49-F238E27FC236}">
              <a16:creationId xmlns:a16="http://schemas.microsoft.com/office/drawing/2014/main" id="{61E7946A-832C-C2ED-A274-204FB33AD713}"/>
            </a:ext>
          </a:extLst>
        </xdr:cNvPr>
        <xdr:cNvSpPr txBox="1"/>
      </xdr:nvSpPr>
      <xdr:spPr>
        <a:xfrm>
          <a:off x="4286250" y="5336540"/>
          <a:ext cx="3545840" cy="25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de-DE" sz="1100" b="1"/>
            <a:t>NORMALNO – 5 kos</a:t>
          </a:r>
        </a:p>
      </xdr:txBody>
    </xdr:sp>
    <xdr:clientData/>
  </xdr:twoCellAnchor>
  <xdr:twoCellAnchor>
    <xdr:from>
      <xdr:col>16</xdr:col>
      <xdr:colOff>774065</xdr:colOff>
      <xdr:row>14</xdr:row>
      <xdr:rowOff>0</xdr:rowOff>
    </xdr:from>
    <xdr:to>
      <xdr:col>21</xdr:col>
      <xdr:colOff>309880</xdr:colOff>
      <xdr:row>26</xdr:row>
      <xdr:rowOff>177165</xdr:rowOff>
    </xdr:to>
    <xdr:sp macro="" textlink="">
      <xdr:nvSpPr>
        <xdr:cNvPr id="23" name="Pravokotnik 22">
          <a:extLst>
            <a:ext uri="{FF2B5EF4-FFF2-40B4-BE49-F238E27FC236}">
              <a16:creationId xmlns:a16="http://schemas.microsoft.com/office/drawing/2014/main" id="{46199055-E5B6-2410-D6E5-E61AEEA50ED9}"/>
            </a:ext>
          </a:extLst>
        </xdr:cNvPr>
        <xdr:cNvSpPr/>
      </xdr:nvSpPr>
      <xdr:spPr>
        <a:xfrm>
          <a:off x="8594090" y="2705100"/>
          <a:ext cx="3545840" cy="25298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16</xdr:col>
      <xdr:colOff>774065</xdr:colOff>
      <xdr:row>26</xdr:row>
      <xdr:rowOff>116205</xdr:rowOff>
    </xdr:from>
    <xdr:to>
      <xdr:col>21</xdr:col>
      <xdr:colOff>309880</xdr:colOff>
      <xdr:row>26</xdr:row>
      <xdr:rowOff>116205</xdr:rowOff>
    </xdr:to>
    <xdr:cxnSp macro="">
      <xdr:nvCxnSpPr>
        <xdr:cNvPr id="24" name="Raven povezovalnik 23">
          <a:extLst>
            <a:ext uri="{FF2B5EF4-FFF2-40B4-BE49-F238E27FC236}">
              <a16:creationId xmlns:a16="http://schemas.microsoft.com/office/drawing/2014/main" id="{F02E3444-FD98-67ED-A8B2-A65C6D884C20}"/>
            </a:ext>
          </a:extLst>
        </xdr:cNvPr>
        <xdr:cNvCxnSpPr/>
      </xdr:nvCxnSpPr>
      <xdr:spPr>
        <a:xfrm>
          <a:off x="8594090" y="5173980"/>
          <a:ext cx="354584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56515</xdr:colOff>
      <xdr:row>22</xdr:row>
      <xdr:rowOff>27305</xdr:rowOff>
    </xdr:from>
    <xdr:to>
      <xdr:col>20</xdr:col>
      <xdr:colOff>436880</xdr:colOff>
      <xdr:row>25</xdr:row>
      <xdr:rowOff>77470</xdr:rowOff>
    </xdr:to>
    <xdr:sp macro="" textlink="">
      <xdr:nvSpPr>
        <xdr:cNvPr id="25" name="Pravokotnik 24">
          <a:extLst>
            <a:ext uri="{FF2B5EF4-FFF2-40B4-BE49-F238E27FC236}">
              <a16:creationId xmlns:a16="http://schemas.microsoft.com/office/drawing/2014/main" id="{FCEE1F9E-C6C9-F3AA-8E71-AF825DF773D9}"/>
            </a:ext>
          </a:extLst>
        </xdr:cNvPr>
        <xdr:cNvSpPr/>
      </xdr:nvSpPr>
      <xdr:spPr>
        <a:xfrm>
          <a:off x="9152890" y="4284980"/>
          <a:ext cx="2428240" cy="6502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56515</xdr:colOff>
      <xdr:row>18</xdr:row>
      <xdr:rowOff>147320</xdr:rowOff>
    </xdr:from>
    <xdr:to>
      <xdr:col>20</xdr:col>
      <xdr:colOff>436880</xdr:colOff>
      <xdr:row>22</xdr:row>
      <xdr:rowOff>6985</xdr:rowOff>
    </xdr:to>
    <xdr:sp macro="" textlink="">
      <xdr:nvSpPr>
        <xdr:cNvPr id="26" name="Pravokotnik 25">
          <a:extLst>
            <a:ext uri="{FF2B5EF4-FFF2-40B4-BE49-F238E27FC236}">
              <a16:creationId xmlns:a16="http://schemas.microsoft.com/office/drawing/2014/main" id="{4CF35353-DE15-A177-8327-E8EF929781AB}"/>
            </a:ext>
          </a:extLst>
        </xdr:cNvPr>
        <xdr:cNvSpPr/>
      </xdr:nvSpPr>
      <xdr:spPr>
        <a:xfrm>
          <a:off x="9152890" y="3614420"/>
          <a:ext cx="2428240" cy="6502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56515</xdr:colOff>
      <xdr:row>15</xdr:row>
      <xdr:rowOff>48260</xdr:rowOff>
    </xdr:from>
    <xdr:to>
      <xdr:col>20</xdr:col>
      <xdr:colOff>436880</xdr:colOff>
      <xdr:row>18</xdr:row>
      <xdr:rowOff>127000</xdr:rowOff>
    </xdr:to>
    <xdr:sp macro="" textlink="">
      <xdr:nvSpPr>
        <xdr:cNvPr id="27" name="Pravokotnik 26">
          <a:extLst>
            <a:ext uri="{FF2B5EF4-FFF2-40B4-BE49-F238E27FC236}">
              <a16:creationId xmlns:a16="http://schemas.microsoft.com/office/drawing/2014/main" id="{B5BE9364-58A6-A431-50BF-7EAAC8B80F80}"/>
            </a:ext>
          </a:extLst>
        </xdr:cNvPr>
        <xdr:cNvSpPr/>
      </xdr:nvSpPr>
      <xdr:spPr>
        <a:xfrm>
          <a:off x="9152890" y="2943860"/>
          <a:ext cx="2428240" cy="6502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16</xdr:col>
      <xdr:colOff>774065</xdr:colOff>
      <xdr:row>27</xdr:row>
      <xdr:rowOff>78740</xdr:rowOff>
    </xdr:from>
    <xdr:to>
      <xdr:col>21</xdr:col>
      <xdr:colOff>309880</xdr:colOff>
      <xdr:row>28</xdr:row>
      <xdr:rowOff>132715</xdr:rowOff>
    </xdr:to>
    <xdr:sp macro="" textlink="">
      <xdr:nvSpPr>
        <xdr:cNvPr id="28" name="PoljeZBesedilom 27">
          <a:extLst>
            <a:ext uri="{FF2B5EF4-FFF2-40B4-BE49-F238E27FC236}">
              <a16:creationId xmlns:a16="http://schemas.microsoft.com/office/drawing/2014/main" id="{FE2EAE1E-E6CC-B844-4045-FC38F1B504CA}"/>
            </a:ext>
          </a:extLst>
        </xdr:cNvPr>
        <xdr:cNvSpPr txBox="1"/>
      </xdr:nvSpPr>
      <xdr:spPr>
        <a:xfrm>
          <a:off x="8594090" y="5336540"/>
          <a:ext cx="3545840" cy="25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de-DE" sz="1100" b="1"/>
            <a:t>OBRNJENO – 3 kos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isarna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7D88F-F30E-4CE6-BFBA-3DF8984AC3BE}">
  <sheetPr codeName="List1"/>
  <dimension ref="A1:U36"/>
  <sheetViews>
    <sheetView tabSelected="1" zoomScaleNormal="100" workbookViewId="0">
      <selection activeCell="I12" sqref="I12"/>
    </sheetView>
  </sheetViews>
  <sheetFormatPr defaultRowHeight="14.25" x14ac:dyDescent="0.2"/>
  <cols>
    <col min="2" max="2" width="5.125" style="1" customWidth="1"/>
    <col min="3" max="3" width="3.5" style="1" customWidth="1"/>
    <col min="4" max="4" width="4.25" style="1" customWidth="1"/>
    <col min="5" max="5" width="2.125" style="1" customWidth="1"/>
    <col min="6" max="6" width="5.375" style="1" customWidth="1"/>
    <col min="7" max="7" width="3.875" style="1" customWidth="1"/>
    <col min="8" max="8" width="4.25" style="1" customWidth="1"/>
    <col min="9" max="9" width="13.125" customWidth="1"/>
    <col min="10" max="10" width="5.625" customWidth="1"/>
    <col min="11" max="11" width="7.75" customWidth="1"/>
    <col min="12" max="12" width="2.25" customWidth="1"/>
    <col min="13" max="13" width="5.75" customWidth="1"/>
    <col min="14" max="14" width="2.625" customWidth="1"/>
    <col min="15" max="15" width="16.125" bestFit="1" customWidth="1"/>
    <col min="16" max="16" width="11.875" customWidth="1"/>
    <col min="17" max="17" width="16.75" bestFit="1" customWidth="1"/>
    <col min="18" max="18" width="8.875" bestFit="1" customWidth="1"/>
  </cols>
  <sheetData>
    <row r="1" spans="1:21" ht="15" x14ac:dyDescent="0.25">
      <c r="A1" s="41" t="s">
        <v>0</v>
      </c>
      <c r="B1" s="41"/>
      <c r="C1" s="41"/>
      <c r="D1" s="41"/>
      <c r="E1" s="41"/>
      <c r="F1" s="41"/>
      <c r="G1" s="41"/>
      <c r="H1" s="41"/>
      <c r="I1" s="41"/>
      <c r="J1" s="3"/>
      <c r="K1" s="3"/>
      <c r="L1" s="3"/>
      <c r="M1" s="3"/>
      <c r="N1" s="3"/>
      <c r="O1" s="3"/>
      <c r="P1" s="3"/>
      <c r="Q1" s="3"/>
      <c r="R1" s="3"/>
    </row>
    <row r="2" spans="1:21" ht="15" x14ac:dyDescent="0.25">
      <c r="A2" s="3"/>
      <c r="B2" s="4"/>
      <c r="C2" s="4"/>
      <c r="D2" s="4"/>
      <c r="E2" s="4"/>
      <c r="F2" s="4"/>
      <c r="G2" s="4"/>
      <c r="H2" s="4"/>
      <c r="I2" s="3"/>
      <c r="J2" s="3"/>
      <c r="K2" s="3"/>
      <c r="L2" s="3"/>
      <c r="M2" s="3"/>
      <c r="N2" s="3"/>
      <c r="O2" s="3"/>
      <c r="P2" s="3"/>
      <c r="Q2" s="3"/>
      <c r="R2" s="3"/>
    </row>
    <row r="3" spans="1:21" ht="15" x14ac:dyDescent="0.25">
      <c r="A3" s="3"/>
      <c r="B3" s="4"/>
      <c r="C3" s="4"/>
      <c r="D3" s="4"/>
      <c r="E3" s="4"/>
      <c r="F3" s="4"/>
      <c r="G3" s="4"/>
      <c r="H3" s="4"/>
      <c r="I3" s="42" t="s">
        <v>3</v>
      </c>
      <c r="J3" s="42"/>
      <c r="K3" s="42"/>
      <c r="L3" s="42"/>
      <c r="M3" s="3"/>
      <c r="N3" s="3"/>
      <c r="O3" s="3"/>
      <c r="P3" s="2" t="s">
        <v>5</v>
      </c>
      <c r="Q3" s="41" t="s">
        <v>11</v>
      </c>
      <c r="R3" s="41"/>
    </row>
    <row r="4" spans="1:21" ht="15" x14ac:dyDescent="0.25">
      <c r="A4" s="3"/>
      <c r="B4" s="42" t="s">
        <v>7</v>
      </c>
      <c r="C4" s="42"/>
      <c r="D4" s="4"/>
      <c r="E4" s="4"/>
      <c r="F4" s="42" t="s">
        <v>8</v>
      </c>
      <c r="G4" s="42"/>
      <c r="H4" s="4"/>
      <c r="I4" s="42" t="s">
        <v>7</v>
      </c>
      <c r="J4" s="42"/>
      <c r="K4" s="42" t="s">
        <v>8</v>
      </c>
      <c r="L4" s="42"/>
      <c r="M4" s="42"/>
      <c r="N4" s="3"/>
      <c r="O4" s="3" t="s">
        <v>9</v>
      </c>
      <c r="P4" s="8">
        <v>1000</v>
      </c>
      <c r="Q4" s="4" t="s">
        <v>7</v>
      </c>
      <c r="R4" s="4" t="s">
        <v>8</v>
      </c>
      <c r="T4" s="3"/>
      <c r="U4" s="3"/>
    </row>
    <row r="5" spans="1:21" ht="15.75" x14ac:dyDescent="0.25">
      <c r="A5" s="3"/>
      <c r="B5" s="43">
        <v>69.8</v>
      </c>
      <c r="C5" s="43"/>
      <c r="D5" s="4"/>
      <c r="E5" s="4"/>
      <c r="F5" s="43">
        <v>49.8</v>
      </c>
      <c r="G5" s="43"/>
      <c r="H5" s="4"/>
      <c r="I5" s="9">
        <v>12</v>
      </c>
      <c r="J5" s="6">
        <f>IF(I5="","",ROUNDDOWN(B5/(I5+(I9/10)),0))</f>
        <v>5</v>
      </c>
      <c r="K5" s="9">
        <v>47</v>
      </c>
      <c r="L5" s="4"/>
      <c r="M5" s="14">
        <f>IF(F5="","",ROUNDDOWN((F5-2)/(K5+(I9/10)),0))</f>
        <v>1</v>
      </c>
      <c r="N5" s="34"/>
      <c r="O5" s="16">
        <f>J5*M5</f>
        <v>5</v>
      </c>
      <c r="P5" s="7">
        <f>IF($P$4="","",ROUNDDOWN(P4/O5,0))</f>
        <v>200</v>
      </c>
      <c r="Q5" s="19">
        <f>I5*J5+(($I$9/5)*(J5))</f>
        <v>64</v>
      </c>
      <c r="R5" s="19">
        <f>M5*K5+(($I$9/5)*(M5))</f>
        <v>47.8</v>
      </c>
      <c r="S5" s="13"/>
    </row>
    <row r="6" spans="1:21" ht="15.75" x14ac:dyDescent="0.25">
      <c r="A6" s="3"/>
      <c r="B6" s="15"/>
      <c r="C6" s="15"/>
      <c r="D6" s="4"/>
      <c r="E6" s="4"/>
      <c r="F6" s="15"/>
      <c r="G6" s="15"/>
      <c r="H6" s="4"/>
      <c r="I6" s="9">
        <f>K5</f>
        <v>47</v>
      </c>
      <c r="J6" s="6">
        <f>IF(I6="","",ROUNDDOWN(B5/(I6+(I9/10)),0))</f>
        <v>1</v>
      </c>
      <c r="K6" s="9">
        <f>I5</f>
        <v>12</v>
      </c>
      <c r="L6" s="4"/>
      <c r="M6" s="14">
        <f>IF(F5="","",ROUNDDOWN((F5-2)/(K6+(I9/10)),0))</f>
        <v>3</v>
      </c>
      <c r="N6" s="34"/>
      <c r="O6" s="16">
        <f>J6*M6</f>
        <v>3</v>
      </c>
      <c r="P6" s="7">
        <f>IF($P$4="","",ROUNDDOWN(P4/O6,0))</f>
        <v>333</v>
      </c>
      <c r="Q6" s="19">
        <f>I6*J6+(($I$9/5)*(J6))</f>
        <v>47.8</v>
      </c>
      <c r="R6" s="19">
        <f>M6*K6+(($I$9/5)*(M6))</f>
        <v>38.4</v>
      </c>
      <c r="S6" s="13"/>
    </row>
    <row r="7" spans="1:21" ht="15.75" x14ac:dyDescent="0.25">
      <c r="A7" s="3"/>
      <c r="B7" s="15"/>
      <c r="C7" s="15"/>
      <c r="D7" s="4"/>
      <c r="E7" s="4"/>
      <c r="F7" s="15"/>
      <c r="G7" s="15"/>
      <c r="H7" s="4"/>
      <c r="I7" s="36"/>
      <c r="J7" s="37"/>
      <c r="K7" s="36" t="s">
        <v>23</v>
      </c>
      <c r="L7" s="4"/>
      <c r="M7" s="38"/>
      <c r="N7" s="4"/>
      <c r="O7" s="37"/>
      <c r="P7" s="39"/>
      <c r="Q7" s="3"/>
      <c r="R7" s="13"/>
      <c r="S7" s="13"/>
    </row>
    <row r="8" spans="1:21" ht="15" x14ac:dyDescent="0.25">
      <c r="A8" s="3"/>
      <c r="B8" s="4"/>
      <c r="C8" s="4"/>
      <c r="D8" s="4"/>
      <c r="E8" s="4"/>
      <c r="F8" s="4"/>
      <c r="G8" s="4"/>
      <c r="H8" s="4"/>
      <c r="I8" s="5" t="s">
        <v>6</v>
      </c>
      <c r="J8" s="4"/>
      <c r="K8" s="4"/>
      <c r="L8" s="4"/>
      <c r="M8" s="4"/>
      <c r="N8" s="4"/>
      <c r="O8" s="4"/>
      <c r="P8" s="3" t="s">
        <v>23</v>
      </c>
      <c r="Q8" s="3"/>
      <c r="R8" s="13"/>
      <c r="S8" s="13"/>
    </row>
    <row r="9" spans="1:21" ht="15" x14ac:dyDescent="0.25">
      <c r="A9" s="3"/>
      <c r="B9" s="4"/>
      <c r="C9" s="4"/>
      <c r="D9" s="4"/>
      <c r="E9" s="4"/>
      <c r="F9" s="40">
        <f>I9</f>
        <v>4</v>
      </c>
      <c r="G9" s="4"/>
      <c r="H9" s="4"/>
      <c r="I9" s="10">
        <v>4</v>
      </c>
      <c r="J9" s="4"/>
      <c r="K9" s="4"/>
      <c r="L9" s="4"/>
      <c r="M9" s="4"/>
      <c r="N9" s="4"/>
      <c r="O9" s="4"/>
      <c r="P9" s="3"/>
      <c r="Q9" s="3"/>
      <c r="R9" s="13"/>
      <c r="S9" s="13"/>
    </row>
    <row r="10" spans="1:21" ht="15" x14ac:dyDescent="0.25">
      <c r="A10" s="3"/>
      <c r="B10" s="4"/>
      <c r="C10" s="4"/>
      <c r="D10" s="4"/>
      <c r="E10" s="4"/>
      <c r="F10" s="34"/>
      <c r="G10" s="4"/>
      <c r="H10" s="4"/>
      <c r="I10" s="35"/>
      <c r="J10" s="4"/>
      <c r="K10" s="4"/>
      <c r="L10" s="4"/>
      <c r="M10" s="4"/>
      <c r="N10" s="4"/>
      <c r="O10" s="4"/>
      <c r="P10" s="3"/>
      <c r="Q10" s="3"/>
      <c r="R10" s="13"/>
      <c r="S10" s="13"/>
    </row>
    <row r="11" spans="1:21" ht="15" x14ac:dyDescent="0.25">
      <c r="A11" s="3"/>
      <c r="B11" s="4"/>
      <c r="C11" s="4"/>
      <c r="D11" s="4"/>
      <c r="E11" s="4"/>
      <c r="F11" s="34"/>
      <c r="G11" s="4"/>
      <c r="H11" s="41" t="s">
        <v>10</v>
      </c>
      <c r="I11" s="41"/>
      <c r="J11" s="41"/>
      <c r="K11" s="41"/>
      <c r="L11" s="41"/>
      <c r="M11" s="41"/>
      <c r="N11" s="41"/>
      <c r="O11" s="4"/>
      <c r="P11" s="3"/>
      <c r="Q11" s="3"/>
      <c r="R11" s="13"/>
      <c r="S11" s="13"/>
    </row>
    <row r="12" spans="1:21" ht="15.75" x14ac:dyDescent="0.25">
      <c r="A12" s="3"/>
      <c r="B12" s="4"/>
      <c r="C12" s="4"/>
      <c r="D12" s="4"/>
      <c r="E12" s="4"/>
      <c r="F12" s="4"/>
      <c r="G12" s="4"/>
      <c r="H12" s="4"/>
      <c r="I12" s="4"/>
      <c r="J12" s="11"/>
      <c r="K12" s="4"/>
      <c r="L12" s="4"/>
      <c r="M12" s="11"/>
      <c r="N12" s="4"/>
      <c r="O12" s="17">
        <f>J12*M12</f>
        <v>0</v>
      </c>
      <c r="P12" s="3"/>
      <c r="Q12" s="3"/>
      <c r="R12" s="13"/>
      <c r="S12" s="13"/>
    </row>
    <row r="13" spans="1:21" ht="15" x14ac:dyDescent="0.25">
      <c r="A13" s="3"/>
      <c r="B13" s="4"/>
      <c r="C13" s="4"/>
      <c r="D13" s="4"/>
      <c r="E13" s="4"/>
      <c r="F13" s="4"/>
      <c r="G13" s="4"/>
      <c r="I13" t="s">
        <v>23</v>
      </c>
      <c r="P13" s="3"/>
      <c r="Q13" s="3"/>
      <c r="R13" s="13"/>
      <c r="S13" s="13"/>
    </row>
    <row r="14" spans="1:21" ht="15" x14ac:dyDescent="0.25">
      <c r="A14" s="3"/>
      <c r="B14" s="4"/>
      <c r="C14" s="4"/>
      <c r="D14" s="4"/>
      <c r="E14" s="4"/>
      <c r="F14" s="4"/>
      <c r="G14" s="4"/>
      <c r="P14" s="3"/>
      <c r="Q14" s="3"/>
      <c r="R14" s="13"/>
      <c r="S14" s="13"/>
    </row>
    <row r="15" spans="1:21" ht="15" x14ac:dyDescent="0.25">
      <c r="P15" s="3"/>
      <c r="Q15" s="3"/>
      <c r="R15" s="13"/>
      <c r="S15" s="13"/>
    </row>
    <row r="16" spans="1:21" ht="15" x14ac:dyDescent="0.25">
      <c r="P16" s="3"/>
      <c r="Q16" s="3"/>
      <c r="R16" s="13"/>
      <c r="S16" s="13"/>
    </row>
    <row r="17" spans="1:18" ht="15" x14ac:dyDescent="0.25">
      <c r="P17" s="3"/>
      <c r="Q17" s="3"/>
      <c r="R17" s="3"/>
    </row>
    <row r="18" spans="1:18" ht="15" x14ac:dyDescent="0.25">
      <c r="P18" s="3"/>
      <c r="Q18" s="3"/>
      <c r="R18" s="3"/>
    </row>
    <row r="19" spans="1:18" ht="15" x14ac:dyDescent="0.25">
      <c r="P19" s="3"/>
      <c r="Q19" s="3"/>
      <c r="R19" s="3"/>
    </row>
    <row r="20" spans="1:18" ht="15.75" x14ac:dyDescent="0.25">
      <c r="B20" s="12"/>
      <c r="P20" s="3"/>
      <c r="Q20" s="3"/>
      <c r="R20" s="3"/>
    </row>
    <row r="21" spans="1:18" ht="15.75" x14ac:dyDescent="0.25">
      <c r="B21" s="12"/>
      <c r="P21" s="3"/>
      <c r="Q21" s="3"/>
      <c r="R21" s="3"/>
    </row>
    <row r="22" spans="1:18" ht="15.75" x14ac:dyDescent="0.25">
      <c r="B22" s="12"/>
      <c r="P22" s="3"/>
      <c r="Q22" s="3"/>
      <c r="R22" s="3"/>
    </row>
    <row r="23" spans="1:18" ht="15.75" x14ac:dyDescent="0.25">
      <c r="B23" s="12"/>
      <c r="P23" s="3"/>
      <c r="Q23" s="3"/>
      <c r="R23" s="3"/>
    </row>
    <row r="24" spans="1:18" ht="15.75" x14ac:dyDescent="0.25">
      <c r="B24" s="12"/>
      <c r="P24" s="3"/>
      <c r="Q24" s="3"/>
      <c r="R24" s="3"/>
    </row>
    <row r="25" spans="1:18" ht="15.75" x14ac:dyDescent="0.25">
      <c r="A25" s="3"/>
      <c r="B25" s="12"/>
      <c r="C25" s="4"/>
      <c r="D25" s="4"/>
      <c r="E25" s="4"/>
      <c r="F25" s="4"/>
      <c r="G25" s="4"/>
      <c r="H25" s="4"/>
      <c r="I25" s="3"/>
      <c r="J25" s="3"/>
      <c r="K25" s="3"/>
      <c r="L25" s="3"/>
      <c r="M25" s="3"/>
      <c r="N25" s="3"/>
      <c r="O25" s="3"/>
      <c r="P25" s="3"/>
      <c r="Q25" s="3"/>
      <c r="R25" s="3"/>
    </row>
    <row r="26" spans="1:18" ht="15.75" x14ac:dyDescent="0.25">
      <c r="A26" s="3"/>
      <c r="B26" s="12"/>
      <c r="C26" s="4"/>
      <c r="D26" s="4"/>
      <c r="E26" s="4"/>
      <c r="F26" s="4"/>
      <c r="G26" s="4"/>
      <c r="H26" s="4"/>
      <c r="I26" s="3"/>
      <c r="J26" s="3"/>
      <c r="K26" s="3"/>
      <c r="L26" s="3"/>
      <c r="M26" s="3"/>
      <c r="N26" s="3"/>
      <c r="O26" s="3"/>
      <c r="P26" s="3"/>
      <c r="Q26" s="3"/>
      <c r="R26" s="3"/>
    </row>
    <row r="27" spans="1:18" ht="15.75" x14ac:dyDescent="0.25">
      <c r="A27" s="3"/>
      <c r="B27" s="12"/>
      <c r="C27" s="4"/>
      <c r="D27" s="4"/>
      <c r="E27" s="4"/>
      <c r="F27" s="4"/>
      <c r="G27" s="4"/>
      <c r="H27" s="4"/>
      <c r="I27" s="3"/>
      <c r="J27" s="3"/>
      <c r="K27" s="3"/>
      <c r="L27" s="3"/>
      <c r="M27" s="3"/>
      <c r="N27" s="3"/>
      <c r="O27" s="3"/>
    </row>
    <row r="28" spans="1:18" ht="15.75" x14ac:dyDescent="0.2">
      <c r="B28" s="12"/>
    </row>
    <row r="36" spans="1:15" ht="15" x14ac:dyDescent="0.25">
      <c r="A36" s="3"/>
      <c r="B36" s="4"/>
      <c r="C36" s="4"/>
      <c r="D36" s="4"/>
      <c r="E36" s="4"/>
      <c r="F36" s="4"/>
      <c r="G36" s="4"/>
      <c r="H36" s="4"/>
      <c r="I36" s="3"/>
      <c r="J36" s="3"/>
      <c r="K36" s="3"/>
      <c r="L36" s="3"/>
      <c r="M36" s="3"/>
      <c r="N36" s="3"/>
      <c r="O36" s="3"/>
    </row>
  </sheetData>
  <mergeCells count="10">
    <mergeCell ref="Q3:R3"/>
    <mergeCell ref="H11:N11"/>
    <mergeCell ref="B5:C5"/>
    <mergeCell ref="F5:G5"/>
    <mergeCell ref="K4:M4"/>
    <mergeCell ref="A1:I1"/>
    <mergeCell ref="B4:C4"/>
    <mergeCell ref="F4:G4"/>
    <mergeCell ref="I4:J4"/>
    <mergeCell ref="I3:L3"/>
  </mergeCells>
  <pageMargins left="0.7" right="0.7" top="0.75" bottom="0.75" header="0.3" footer="0.3"/>
  <ignoredErrors>
    <ignoredError sqref="I6 K6 O12" unlockedFormula="1"/>
  </ignoredErrors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A0B019F1-31AA-42A1-B9E3-690989A4E0D3}">
          <x14:formula1>
            <xm:f>List1!$D$6:$D$30</xm:f>
          </x14:formula1>
          <xm:sqref>I9:I10</xm:sqref>
        </x14:dataValidation>
        <x14:dataValidation type="list" allowBlank="1" showInputMessage="1" showErrorMessage="1" xr:uid="{454E9BAF-E9FA-4E5E-8D98-90FE3030427D}">
          <x14:formula1>
            <xm:f>List1!$C$6:$C$12</xm:f>
          </x14:formula1>
          <xm:sqref>F6:G7</xm:sqref>
        </x14:dataValidation>
        <x14:dataValidation type="list" allowBlank="1" showInputMessage="1" showErrorMessage="1" xr:uid="{0FE17FCA-8631-43A9-A71A-78819FA1E505}">
          <x14:formula1>
            <xm:f>List1!$B$6:$B$10</xm:f>
          </x14:formula1>
          <xm:sqref>B6:C7</xm:sqref>
        </x14:dataValidation>
        <x14:dataValidation type="list" allowBlank="1" showInputMessage="1" showErrorMessage="1" xr:uid="{8691CF21-261B-4568-B1BF-703AC56936A6}">
          <x14:formula1>
            <xm:f>List1!$C$6:$C$18</xm:f>
          </x14:formula1>
          <xm:sqref>F5:G5</xm:sqref>
        </x14:dataValidation>
        <x14:dataValidation type="list" allowBlank="1" showInputMessage="1" showErrorMessage="1" xr:uid="{BC73B853-606E-46B8-AD75-132041B4037C}">
          <x14:formula1>
            <xm:f>List1!$B$6:$B$14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080C-B222-48C7-8A4D-982CFDEE0171}">
  <sheetPr codeName="List4"/>
  <dimension ref="A2:A154"/>
  <sheetViews>
    <sheetView workbookViewId="0">
      <selection activeCell="H150" sqref="H150"/>
    </sheetView>
  </sheetViews>
  <sheetFormatPr defaultRowHeight="14.25" x14ac:dyDescent="0.2"/>
  <sheetData>
    <row r="2" spans="1:1" x14ac:dyDescent="0.2">
      <c r="A2" t="s">
        <v>24</v>
      </c>
    </row>
    <row r="4" spans="1:1" x14ac:dyDescent="0.2">
      <c r="A4" t="s">
        <v>25</v>
      </c>
    </row>
    <row r="5" spans="1:1" x14ac:dyDescent="0.2">
      <c r="A5" t="s">
        <v>26</v>
      </c>
    </row>
    <row r="7" spans="1:1" x14ac:dyDescent="0.2">
      <c r="A7" t="s">
        <v>27</v>
      </c>
    </row>
    <row r="8" spans="1:1" x14ac:dyDescent="0.2">
      <c r="A8" t="s">
        <v>28</v>
      </c>
    </row>
    <row r="10" spans="1:1" x14ac:dyDescent="0.2">
      <c r="A10" t="s">
        <v>29</v>
      </c>
    </row>
    <row r="11" spans="1:1" x14ac:dyDescent="0.2">
      <c r="A11" t="s">
        <v>30</v>
      </c>
    </row>
    <row r="12" spans="1:1" x14ac:dyDescent="0.2">
      <c r="A12" t="s">
        <v>31</v>
      </c>
    </row>
    <row r="13" spans="1:1" x14ac:dyDescent="0.2">
      <c r="A13" t="s">
        <v>32</v>
      </c>
    </row>
    <row r="15" spans="1:1" x14ac:dyDescent="0.2">
      <c r="A15" t="s">
        <v>33</v>
      </c>
    </row>
    <row r="16" spans="1:1" x14ac:dyDescent="0.2">
      <c r="A16" t="s">
        <v>34</v>
      </c>
    </row>
    <row r="17" spans="1:1" x14ac:dyDescent="0.2">
      <c r="A17" t="s">
        <v>35</v>
      </c>
    </row>
    <row r="19" spans="1:1" x14ac:dyDescent="0.2">
      <c r="A19" t="s">
        <v>36</v>
      </c>
    </row>
    <row r="20" spans="1:1" x14ac:dyDescent="0.2">
      <c r="A20" t="s">
        <v>37</v>
      </c>
    </row>
    <row r="21" spans="1:1" x14ac:dyDescent="0.2">
      <c r="A21" t="s">
        <v>38</v>
      </c>
    </row>
    <row r="23" spans="1:1" x14ac:dyDescent="0.2">
      <c r="A23" t="s">
        <v>39</v>
      </c>
    </row>
    <row r="24" spans="1:1" x14ac:dyDescent="0.2">
      <c r="A24" t="s">
        <v>40</v>
      </c>
    </row>
    <row r="25" spans="1:1" x14ac:dyDescent="0.2">
      <c r="A25" t="s">
        <v>41</v>
      </c>
    </row>
    <row r="27" spans="1:1" x14ac:dyDescent="0.2">
      <c r="A27" t="s">
        <v>42</v>
      </c>
    </row>
    <row r="30" spans="1:1" x14ac:dyDescent="0.2">
      <c r="A30" t="s">
        <v>43</v>
      </c>
    </row>
    <row r="32" spans="1:1" x14ac:dyDescent="0.2">
      <c r="A32" t="s">
        <v>44</v>
      </c>
    </row>
    <row r="33" spans="1:1" x14ac:dyDescent="0.2">
      <c r="A33" t="s">
        <v>45</v>
      </c>
    </row>
    <row r="34" spans="1:1" x14ac:dyDescent="0.2">
      <c r="A34" t="s">
        <v>46</v>
      </c>
    </row>
    <row r="35" spans="1:1" x14ac:dyDescent="0.2">
      <c r="A35" t="s">
        <v>47</v>
      </c>
    </row>
    <row r="36" spans="1:1" x14ac:dyDescent="0.2">
      <c r="A36" t="s">
        <v>48</v>
      </c>
    </row>
    <row r="37" spans="1:1" x14ac:dyDescent="0.2">
      <c r="A37" t="s">
        <v>49</v>
      </c>
    </row>
    <row r="38" spans="1:1" x14ac:dyDescent="0.2">
      <c r="A38" t="s">
        <v>50</v>
      </c>
    </row>
    <row r="39" spans="1:1" x14ac:dyDescent="0.2">
      <c r="A39" t="s">
        <v>51</v>
      </c>
    </row>
    <row r="40" spans="1:1" x14ac:dyDescent="0.2">
      <c r="A40" t="s">
        <v>52</v>
      </c>
    </row>
    <row r="41" spans="1:1" x14ac:dyDescent="0.2">
      <c r="A41">
        <v>1</v>
      </c>
    </row>
    <row r="43" spans="1:1" x14ac:dyDescent="0.2">
      <c r="A43" t="s">
        <v>42</v>
      </c>
    </row>
    <row r="46" spans="1:1" x14ac:dyDescent="0.2">
      <c r="A46" t="s">
        <v>53</v>
      </c>
    </row>
    <row r="48" spans="1:1" x14ac:dyDescent="0.2">
      <c r="A48" t="s">
        <v>44</v>
      </c>
    </row>
    <row r="49" spans="1:1" x14ac:dyDescent="0.2">
      <c r="A49" t="s">
        <v>45</v>
      </c>
    </row>
    <row r="50" spans="1:1" x14ac:dyDescent="0.2">
      <c r="A50" t="s">
        <v>46</v>
      </c>
    </row>
    <row r="51" spans="1:1" x14ac:dyDescent="0.2">
      <c r="A51" t="s">
        <v>48</v>
      </c>
    </row>
    <row r="52" spans="1:1" x14ac:dyDescent="0.2">
      <c r="A52" t="s">
        <v>47</v>
      </c>
    </row>
    <row r="53" spans="1:1" x14ac:dyDescent="0.2">
      <c r="A53" t="s">
        <v>49</v>
      </c>
    </row>
    <row r="54" spans="1:1" x14ac:dyDescent="0.2">
      <c r="A54" t="s">
        <v>50</v>
      </c>
    </row>
    <row r="55" spans="1:1" x14ac:dyDescent="0.2">
      <c r="A55" t="s">
        <v>51</v>
      </c>
    </row>
    <row r="56" spans="1:1" x14ac:dyDescent="0.2">
      <c r="A56" t="s">
        <v>52</v>
      </c>
    </row>
    <row r="57" spans="1:1" x14ac:dyDescent="0.2">
      <c r="A57">
        <v>1</v>
      </c>
    </row>
    <row r="59" spans="1:1" x14ac:dyDescent="0.2">
      <c r="A59" t="s">
        <v>42</v>
      </c>
    </row>
    <row r="62" spans="1:1" x14ac:dyDescent="0.2">
      <c r="A62" t="s">
        <v>54</v>
      </c>
    </row>
    <row r="64" spans="1:1" x14ac:dyDescent="0.2">
      <c r="A64" t="s">
        <v>25</v>
      </c>
    </row>
    <row r="65" spans="1:1" x14ac:dyDescent="0.2">
      <c r="A65" t="s">
        <v>26</v>
      </c>
    </row>
    <row r="67" spans="1:1" x14ac:dyDescent="0.2">
      <c r="A67" t="s">
        <v>55</v>
      </c>
    </row>
    <row r="68" spans="1:1" x14ac:dyDescent="0.2">
      <c r="A68" t="s">
        <v>56</v>
      </c>
    </row>
    <row r="69" spans="1:1" x14ac:dyDescent="0.2">
      <c r="A69" t="s">
        <v>57</v>
      </c>
    </row>
    <row r="70" spans="1:1" x14ac:dyDescent="0.2">
      <c r="A70" t="s">
        <v>58</v>
      </c>
    </row>
    <row r="72" spans="1:1" x14ac:dyDescent="0.2">
      <c r="A72" t="s">
        <v>59</v>
      </c>
    </row>
    <row r="73" spans="1:1" x14ac:dyDescent="0.2">
      <c r="A73" t="s">
        <v>60</v>
      </c>
    </row>
    <row r="75" spans="1:1" x14ac:dyDescent="0.2">
      <c r="A75" t="s">
        <v>61</v>
      </c>
    </row>
    <row r="76" spans="1:1" x14ac:dyDescent="0.2">
      <c r="A76" t="s">
        <v>62</v>
      </c>
    </row>
    <row r="78" spans="1:1" x14ac:dyDescent="0.2">
      <c r="A78" t="s">
        <v>63</v>
      </c>
    </row>
    <row r="79" spans="1:1" x14ac:dyDescent="0.2">
      <c r="A79" t="s">
        <v>64</v>
      </c>
    </row>
    <row r="81" spans="1:1" x14ac:dyDescent="0.2">
      <c r="A81" t="s">
        <v>65</v>
      </c>
    </row>
    <row r="82" spans="1:1" x14ac:dyDescent="0.2">
      <c r="A82" t="s">
        <v>66</v>
      </c>
    </row>
    <row r="84" spans="1:1" x14ac:dyDescent="0.2">
      <c r="A84" t="s">
        <v>67</v>
      </c>
    </row>
    <row r="85" spans="1:1" x14ac:dyDescent="0.2">
      <c r="A85" t="s">
        <v>68</v>
      </c>
    </row>
    <row r="87" spans="1:1" x14ac:dyDescent="0.2">
      <c r="A87" t="s">
        <v>42</v>
      </c>
    </row>
    <row r="90" spans="1:1" x14ac:dyDescent="0.2">
      <c r="A90" t="s">
        <v>69</v>
      </c>
    </row>
    <row r="91" spans="1:1" x14ac:dyDescent="0.2">
      <c r="A91" t="s">
        <v>70</v>
      </c>
    </row>
    <row r="92" spans="1:1" x14ac:dyDescent="0.2">
      <c r="A92" t="s">
        <v>69</v>
      </c>
    </row>
    <row r="94" spans="1:1" x14ac:dyDescent="0.2">
      <c r="A94" t="s">
        <v>71</v>
      </c>
    </row>
    <row r="95" spans="1:1" x14ac:dyDescent="0.2">
      <c r="A95" t="s">
        <v>72</v>
      </c>
    </row>
    <row r="96" spans="1:1" x14ac:dyDescent="0.2">
      <c r="A96" t="s">
        <v>73</v>
      </c>
    </row>
    <row r="97" spans="1:1" x14ac:dyDescent="0.2">
      <c r="A97" t="s">
        <v>74</v>
      </c>
    </row>
    <row r="98" spans="1:1" x14ac:dyDescent="0.2">
      <c r="A98" t="s">
        <v>75</v>
      </c>
    </row>
    <row r="100" spans="1:1" x14ac:dyDescent="0.2">
      <c r="A100" t="s">
        <v>76</v>
      </c>
    </row>
    <row r="101" spans="1:1" x14ac:dyDescent="0.2">
      <c r="A101" t="s">
        <v>77</v>
      </c>
    </row>
    <row r="103" spans="1:1" x14ac:dyDescent="0.2">
      <c r="A103" t="s">
        <v>78</v>
      </c>
    </row>
    <row r="104" spans="1:1" x14ac:dyDescent="0.2">
      <c r="A104" t="s">
        <v>79</v>
      </c>
    </row>
    <row r="106" spans="1:1" x14ac:dyDescent="0.2">
      <c r="A106" t="s">
        <v>80</v>
      </c>
    </row>
    <row r="107" spans="1:1" x14ac:dyDescent="0.2">
      <c r="A107" t="s">
        <v>81</v>
      </c>
    </row>
    <row r="109" spans="1:1" x14ac:dyDescent="0.2">
      <c r="A109" t="s">
        <v>82</v>
      </c>
    </row>
    <row r="110" spans="1:1" x14ac:dyDescent="0.2">
      <c r="A110" t="s">
        <v>83</v>
      </c>
    </row>
    <row r="111" spans="1:1" x14ac:dyDescent="0.2">
      <c r="A111" t="s">
        <v>84</v>
      </c>
    </row>
    <row r="112" spans="1:1" x14ac:dyDescent="0.2">
      <c r="A112" t="s">
        <v>85</v>
      </c>
    </row>
    <row r="114" spans="1:1" x14ac:dyDescent="0.2">
      <c r="A114" t="s">
        <v>86</v>
      </c>
    </row>
    <row r="115" spans="1:1" x14ac:dyDescent="0.2">
      <c r="A115" t="s">
        <v>87</v>
      </c>
    </row>
    <row r="117" spans="1:1" x14ac:dyDescent="0.2">
      <c r="A117" t="s">
        <v>88</v>
      </c>
    </row>
    <row r="118" spans="1:1" x14ac:dyDescent="0.2">
      <c r="A118" t="s">
        <v>89</v>
      </c>
    </row>
    <row r="119" spans="1:1" x14ac:dyDescent="0.2">
      <c r="A119" t="s">
        <v>90</v>
      </c>
    </row>
    <row r="121" spans="1:1" x14ac:dyDescent="0.2">
      <c r="A121" t="s">
        <v>91</v>
      </c>
    </row>
    <row r="122" spans="1:1" x14ac:dyDescent="0.2">
      <c r="A122" t="s">
        <v>92</v>
      </c>
    </row>
    <row r="123" spans="1:1" x14ac:dyDescent="0.2">
      <c r="A123" t="s">
        <v>93</v>
      </c>
    </row>
    <row r="124" spans="1:1" x14ac:dyDescent="0.2">
      <c r="A124" t="s">
        <v>94</v>
      </c>
    </row>
    <row r="125" spans="1:1" x14ac:dyDescent="0.2">
      <c r="A125" t="s">
        <v>95</v>
      </c>
    </row>
    <row r="126" spans="1:1" x14ac:dyDescent="0.2">
      <c r="A126" t="s">
        <v>85</v>
      </c>
    </row>
    <row r="128" spans="1:1" x14ac:dyDescent="0.2">
      <c r="A128" t="s">
        <v>96</v>
      </c>
    </row>
    <row r="130" spans="1:1" x14ac:dyDescent="0.2">
      <c r="A130" t="s">
        <v>97</v>
      </c>
    </row>
    <row r="131" spans="1:1" x14ac:dyDescent="0.2">
      <c r="A131" t="s">
        <v>98</v>
      </c>
    </row>
    <row r="132" spans="1:1" x14ac:dyDescent="0.2">
      <c r="A132" t="s">
        <v>99</v>
      </c>
    </row>
    <row r="133" spans="1:1" x14ac:dyDescent="0.2">
      <c r="A133" t="s">
        <v>100</v>
      </c>
    </row>
    <row r="135" spans="1:1" x14ac:dyDescent="0.2">
      <c r="A135" t="s">
        <v>101</v>
      </c>
    </row>
    <row r="136" spans="1:1" x14ac:dyDescent="0.2">
      <c r="A136" t="s">
        <v>102</v>
      </c>
    </row>
    <row r="137" spans="1:1" x14ac:dyDescent="0.2">
      <c r="A137" t="s">
        <v>103</v>
      </c>
    </row>
    <row r="139" spans="1:1" x14ac:dyDescent="0.2">
      <c r="A139" t="s">
        <v>104</v>
      </c>
    </row>
    <row r="140" spans="1:1" x14ac:dyDescent="0.2">
      <c r="A140" t="s">
        <v>105</v>
      </c>
    </row>
    <row r="141" spans="1:1" x14ac:dyDescent="0.2">
      <c r="A141" t="s">
        <v>106</v>
      </c>
    </row>
    <row r="143" spans="1:1" x14ac:dyDescent="0.2">
      <c r="A143" t="s">
        <v>107</v>
      </c>
    </row>
    <row r="144" spans="1:1" x14ac:dyDescent="0.2">
      <c r="A144" t="s">
        <v>108</v>
      </c>
    </row>
    <row r="145" spans="1:1" x14ac:dyDescent="0.2">
      <c r="A145" t="s">
        <v>109</v>
      </c>
    </row>
    <row r="146" spans="1:1" x14ac:dyDescent="0.2">
      <c r="A146" t="s">
        <v>110</v>
      </c>
    </row>
    <row r="147" spans="1:1" x14ac:dyDescent="0.2">
      <c r="A147" t="s">
        <v>111</v>
      </c>
    </row>
    <row r="148" spans="1:1" x14ac:dyDescent="0.2">
      <c r="A148" t="s">
        <v>112</v>
      </c>
    </row>
    <row r="149" spans="1:1" x14ac:dyDescent="0.2">
      <c r="A149" t="s">
        <v>113</v>
      </c>
    </row>
    <row r="150" spans="1:1" x14ac:dyDescent="0.2">
      <c r="A150" t="s">
        <v>114</v>
      </c>
    </row>
    <row r="151" spans="1:1" x14ac:dyDescent="0.2">
      <c r="A151" t="s">
        <v>115</v>
      </c>
    </row>
    <row r="152" spans="1:1" x14ac:dyDescent="0.2">
      <c r="A152" t="s">
        <v>116</v>
      </c>
    </row>
    <row r="154" spans="1:1" x14ac:dyDescent="0.2">
      <c r="A154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F799D-2CE2-4200-9567-6E5CBF21EF99}">
  <sheetPr codeName="List2"/>
  <dimension ref="B5:D30"/>
  <sheetViews>
    <sheetView topLeftCell="A5" workbookViewId="0">
      <selection activeCell="F26" sqref="F26"/>
    </sheetView>
  </sheetViews>
  <sheetFormatPr defaultRowHeight="14.25" x14ac:dyDescent="0.2"/>
  <sheetData>
    <row r="5" spans="2:4" x14ac:dyDescent="0.2">
      <c r="B5" t="s">
        <v>1</v>
      </c>
      <c r="C5" t="s">
        <v>2</v>
      </c>
      <c r="D5" t="s">
        <v>4</v>
      </c>
    </row>
    <row r="6" spans="2:4" x14ac:dyDescent="0.2">
      <c r="B6">
        <v>33.299999999999997</v>
      </c>
      <c r="C6" s="18">
        <v>21.2</v>
      </c>
      <c r="D6">
        <v>1</v>
      </c>
    </row>
    <row r="7" spans="2:4" x14ac:dyDescent="0.2">
      <c r="B7">
        <v>34.799999999999997</v>
      </c>
      <c r="C7" s="18">
        <v>23.3</v>
      </c>
      <c r="D7">
        <v>2</v>
      </c>
    </row>
    <row r="8" spans="2:4" x14ac:dyDescent="0.2">
      <c r="B8">
        <v>44.8</v>
      </c>
      <c r="C8" s="18">
        <v>24.8</v>
      </c>
      <c r="D8">
        <v>3</v>
      </c>
    </row>
    <row r="9" spans="2:4" x14ac:dyDescent="0.2">
      <c r="B9" s="18">
        <v>48</v>
      </c>
      <c r="C9" s="18">
        <v>31.8</v>
      </c>
      <c r="D9">
        <v>4</v>
      </c>
    </row>
    <row r="10" spans="2:4" x14ac:dyDescent="0.2">
      <c r="B10">
        <v>49.8</v>
      </c>
      <c r="C10" s="18">
        <v>32</v>
      </c>
      <c r="D10">
        <v>5</v>
      </c>
    </row>
    <row r="11" spans="2:4" x14ac:dyDescent="0.2">
      <c r="B11">
        <v>63.8</v>
      </c>
      <c r="C11" s="18">
        <v>33.200000000000003</v>
      </c>
      <c r="D11">
        <v>6</v>
      </c>
    </row>
    <row r="12" spans="2:4" x14ac:dyDescent="0.2">
      <c r="B12">
        <v>69.8</v>
      </c>
      <c r="C12" s="18">
        <v>34.799999999999997</v>
      </c>
      <c r="D12">
        <v>7</v>
      </c>
    </row>
    <row r="13" spans="2:4" x14ac:dyDescent="0.2">
      <c r="B13" s="18">
        <v>70</v>
      </c>
      <c r="C13" s="18">
        <v>41.8</v>
      </c>
      <c r="D13">
        <v>8</v>
      </c>
    </row>
    <row r="14" spans="2:4" x14ac:dyDescent="0.2">
      <c r="B14">
        <v>71.8</v>
      </c>
      <c r="C14" s="18">
        <v>43.8</v>
      </c>
      <c r="D14">
        <v>9</v>
      </c>
    </row>
    <row r="15" spans="2:4" x14ac:dyDescent="0.2">
      <c r="C15" s="18">
        <v>44.8</v>
      </c>
      <c r="D15">
        <v>10</v>
      </c>
    </row>
    <row r="16" spans="2:4" x14ac:dyDescent="0.2">
      <c r="C16" s="18">
        <v>49.8</v>
      </c>
      <c r="D16">
        <v>11</v>
      </c>
    </row>
    <row r="17" spans="3:4" x14ac:dyDescent="0.2">
      <c r="C17" s="18">
        <v>50.8</v>
      </c>
      <c r="D17">
        <v>12</v>
      </c>
    </row>
    <row r="18" spans="3:4" x14ac:dyDescent="0.2">
      <c r="C18" s="18">
        <v>53</v>
      </c>
      <c r="D18">
        <v>13</v>
      </c>
    </row>
    <row r="19" spans="3:4" x14ac:dyDescent="0.2">
      <c r="C19" s="18"/>
      <c r="D19">
        <v>14</v>
      </c>
    </row>
    <row r="20" spans="3:4" x14ac:dyDescent="0.2">
      <c r="D20">
        <v>15</v>
      </c>
    </row>
    <row r="21" spans="3:4" x14ac:dyDescent="0.2">
      <c r="D21">
        <v>16</v>
      </c>
    </row>
    <row r="22" spans="3:4" x14ac:dyDescent="0.2">
      <c r="D22">
        <v>17</v>
      </c>
    </row>
    <row r="23" spans="3:4" x14ac:dyDescent="0.2">
      <c r="D23">
        <v>18</v>
      </c>
    </row>
    <row r="24" spans="3:4" x14ac:dyDescent="0.2">
      <c r="D24">
        <v>19</v>
      </c>
    </row>
    <row r="25" spans="3:4" x14ac:dyDescent="0.2">
      <c r="D25">
        <v>20</v>
      </c>
    </row>
    <row r="26" spans="3:4" x14ac:dyDescent="0.2">
      <c r="D26">
        <v>21</v>
      </c>
    </row>
    <row r="27" spans="3:4" x14ac:dyDescent="0.2">
      <c r="D27">
        <v>22</v>
      </c>
    </row>
    <row r="28" spans="3:4" x14ac:dyDescent="0.2">
      <c r="D28">
        <v>23</v>
      </c>
    </row>
    <row r="29" spans="3:4" x14ac:dyDescent="0.2">
      <c r="D29">
        <v>24</v>
      </c>
    </row>
    <row r="30" spans="3:4" x14ac:dyDescent="0.2">
      <c r="D30">
        <v>25</v>
      </c>
    </row>
  </sheetData>
  <sortState xmlns:xlrd2="http://schemas.microsoft.com/office/spreadsheetml/2017/richdata2" ref="C6:C20">
    <sortCondition ref="C6:C2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594D2-4573-454A-B63B-8D276AD8B211}">
  <sheetPr codeName="List3"/>
  <dimension ref="A1:N7"/>
  <sheetViews>
    <sheetView workbookViewId="0">
      <selection activeCell="G8" sqref="G8"/>
    </sheetView>
  </sheetViews>
  <sheetFormatPr defaultRowHeight="15" x14ac:dyDescent="0.25"/>
  <cols>
    <col min="1" max="1" width="9" style="20"/>
    <col min="2" max="2" width="2.5" style="20" customWidth="1"/>
    <col min="3" max="3" width="9" style="20"/>
    <col min="4" max="4" width="2.75" style="20" customWidth="1"/>
    <col min="5" max="5" width="11.25" style="20" bestFit="1" customWidth="1"/>
    <col min="6" max="6" width="9.5" style="20" bestFit="1" customWidth="1"/>
    <col min="7" max="7" width="14.25" style="20" bestFit="1" customWidth="1"/>
    <col min="8" max="8" width="14.5" style="20" bestFit="1" customWidth="1"/>
    <col min="9" max="9" width="17.5" style="20" bestFit="1" customWidth="1"/>
    <col min="10" max="10" width="27" style="20" customWidth="1"/>
    <col min="11" max="12" width="20.5" style="20" bestFit="1" customWidth="1"/>
    <col min="13" max="16384" width="9" style="20"/>
  </cols>
  <sheetData>
    <row r="1" spans="1:14" ht="18.75" x14ac:dyDescent="0.3">
      <c r="A1" s="22"/>
      <c r="B1" s="22"/>
      <c r="C1" s="22"/>
      <c r="D1" s="22"/>
      <c r="E1" s="44" t="s">
        <v>22</v>
      </c>
      <c r="F1" s="44"/>
      <c r="G1" s="44"/>
      <c r="H1" s="44"/>
      <c r="I1" s="44"/>
      <c r="J1" s="22"/>
      <c r="K1" s="22"/>
      <c r="L1" s="22"/>
      <c r="M1" s="22"/>
      <c r="N1" s="22"/>
    </row>
    <row r="2" spans="1:14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14" ht="18.75" x14ac:dyDescent="0.3">
      <c r="A3" s="44" t="s">
        <v>21</v>
      </c>
      <c r="B3" s="45"/>
      <c r="C3" s="45"/>
      <c r="D3" s="22"/>
      <c r="E3" s="33" t="s">
        <v>20</v>
      </c>
      <c r="F3" s="33" t="s">
        <v>19</v>
      </c>
      <c r="G3" s="33" t="s">
        <v>18</v>
      </c>
      <c r="H3" s="33" t="s">
        <v>17</v>
      </c>
      <c r="I3" s="33" t="s">
        <v>16</v>
      </c>
      <c r="J3" s="33" t="s">
        <v>15</v>
      </c>
      <c r="K3" s="33" t="s">
        <v>14</v>
      </c>
      <c r="L3" s="33" t="s">
        <v>13</v>
      </c>
      <c r="M3" s="22"/>
      <c r="N3" s="22"/>
    </row>
    <row r="4" spans="1:14" ht="18.75" x14ac:dyDescent="0.3">
      <c r="A4" s="32">
        <v>1020</v>
      </c>
      <c r="B4" s="28" t="s">
        <v>12</v>
      </c>
      <c r="C4" s="31">
        <v>720</v>
      </c>
      <c r="D4" s="30"/>
      <c r="E4" s="29">
        <v>945</v>
      </c>
      <c r="F4" s="28">
        <f>IF(A4="","",(A4*C4)/1000000)</f>
        <v>0.73440000000000005</v>
      </c>
      <c r="G4" s="25">
        <v>920</v>
      </c>
      <c r="H4" s="27">
        <f>IF(E4="","", ((E4*F4*G4)/1000000))</f>
        <v>0.63848735999999995</v>
      </c>
      <c r="I4" s="26">
        <f>IF(E4="","",1000000/(E4*F4))</f>
        <v>1440.9055803391313</v>
      </c>
      <c r="J4" s="25">
        <v>4100</v>
      </c>
      <c r="K4" s="24">
        <f>IF(H4="","",H4*J4)</f>
        <v>2617.7981759999998</v>
      </c>
      <c r="L4" s="23">
        <f>IF(J4="","",J4/I4)*1000</f>
        <v>2845.4328</v>
      </c>
      <c r="M4" s="22"/>
      <c r="N4" s="22"/>
    </row>
    <row r="5" spans="1:14" ht="18.75" x14ac:dyDescent="0.3">
      <c r="A5" s="32">
        <v>700</v>
      </c>
      <c r="B5" s="28" t="s">
        <v>12</v>
      </c>
      <c r="C5" s="31">
        <v>1000</v>
      </c>
      <c r="D5" s="30"/>
      <c r="E5" s="29">
        <v>90</v>
      </c>
      <c r="F5" s="28">
        <f>IF(A5="","",(A5*C5)/1000000)</f>
        <v>0.7</v>
      </c>
      <c r="G5" s="25"/>
      <c r="H5" s="27">
        <v>0.2</v>
      </c>
      <c r="I5" s="26">
        <f>IF(E5="","",1000000/(E5*F5))</f>
        <v>15873.015873015875</v>
      </c>
      <c r="J5" s="25">
        <v>125</v>
      </c>
      <c r="K5" s="24">
        <f>IF(H5="","",H5*J5)</f>
        <v>25</v>
      </c>
      <c r="L5" s="23">
        <f>IF(J5="","",J5/I5)*1000</f>
        <v>7.875</v>
      </c>
      <c r="M5" s="22"/>
      <c r="N5" s="22"/>
    </row>
    <row r="7" spans="1:14" ht="18.75" x14ac:dyDescent="0.3">
      <c r="K7" s="20" t="s">
        <v>23</v>
      </c>
      <c r="L7" s="21">
        <f>SUM(L4:L5)</f>
        <v>2853.3078</v>
      </c>
    </row>
  </sheetData>
  <mergeCells count="2">
    <mergeCell ref="E1:I1"/>
    <mergeCell ref="A3:C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Delovni listi</vt:lpstr>
      </vt:variant>
      <vt:variant>
        <vt:i4>4</vt:i4>
      </vt:variant>
    </vt:vector>
  </HeadingPairs>
  <TitlesOfParts>
    <vt:vector size="4" baseType="lpstr">
      <vt:lpstr>IZRAČUN STAVKOV NA POLI</vt:lpstr>
      <vt:lpstr>MAKRO</vt:lpstr>
      <vt:lpstr>List1</vt:lpstr>
      <vt:lpstr>CENA MATERIALA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Prodaja</dc:creator>
  <cp:lastModifiedBy>Prodaja</cp:lastModifiedBy>
  <dcterms:created xsi:type="dcterms:W3CDTF">2025-05-09T05:50:11Z</dcterms:created>
  <dcterms:modified xsi:type="dcterms:W3CDTF">2026-03-23T10:35:43Z</dcterms:modified>
</cp:coreProperties>
</file>