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a_delovni_zvezek" defaultThemeVersion="166925"/>
  <mc:AlternateContent xmlns:mc="http://schemas.openxmlformats.org/markup-compatibility/2006">
    <mc:Choice Requires="x15">
      <x15ac:absPath xmlns:x15ac="http://schemas.microsoft.com/office/spreadsheetml/2010/11/ac" url="C:\Users\Prodaja\Desktop\TiskApp\"/>
    </mc:Choice>
  </mc:AlternateContent>
  <xr:revisionPtr revIDLastSave="0" documentId="13_ncr:1_{6C84410B-939E-4B97-9352-28ACB2D1A036}" xr6:coauthVersionLast="47" xr6:coauthVersionMax="47" xr10:uidLastSave="{00000000-0000-0000-0000-000000000000}"/>
  <bookViews>
    <workbookView xWindow="1170" yWindow="1170" windowWidth="22725" windowHeight="12990" xr2:uid="{E62AA60D-2B72-47A2-853A-1FA4A8E64CAA}"/>
  </bookViews>
  <sheets>
    <sheet name="S4 POL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85" i="1" l="1"/>
  <c r="T86" i="1"/>
  <c r="T87" i="1"/>
  <c r="T88" i="1"/>
  <c r="T89" i="1"/>
  <c r="T90" i="1"/>
  <c r="T91" i="1"/>
  <c r="T84" i="1"/>
  <c r="T61" i="1"/>
  <c r="T62" i="1"/>
  <c r="T63" i="1"/>
  <c r="T64" i="1"/>
  <c r="T65" i="1"/>
  <c r="T66" i="1"/>
  <c r="T67" i="1"/>
  <c r="T60" i="1"/>
  <c r="S61" i="1"/>
  <c r="S62" i="1"/>
  <c r="S63" i="1"/>
  <c r="S64" i="1"/>
  <c r="S65" i="1"/>
  <c r="S66" i="1"/>
  <c r="S67" i="1"/>
  <c r="S60" i="1"/>
  <c r="R61" i="1"/>
  <c r="R62" i="1"/>
  <c r="R63" i="1"/>
  <c r="R64" i="1"/>
  <c r="R65" i="1"/>
  <c r="R66" i="1"/>
  <c r="R67" i="1"/>
  <c r="R60" i="1"/>
  <c r="R50" i="1"/>
  <c r="R51" i="1"/>
  <c r="R52" i="1"/>
  <c r="R53" i="1"/>
  <c r="R54" i="1"/>
  <c r="R55" i="1"/>
  <c r="R56" i="1"/>
  <c r="R49" i="1"/>
  <c r="R72" i="1"/>
  <c r="R73" i="1"/>
  <c r="R74" i="1"/>
  <c r="R75" i="1"/>
  <c r="R76" i="1"/>
  <c r="R77" i="1"/>
  <c r="R78" i="1"/>
  <c r="R71" i="1"/>
  <c r="S72" i="1"/>
  <c r="S73" i="1"/>
  <c r="S74" i="1"/>
  <c r="S75" i="1"/>
  <c r="S76" i="1"/>
  <c r="S77" i="1"/>
  <c r="S78" i="1"/>
  <c r="S71" i="1"/>
  <c r="T72" i="1"/>
  <c r="T73" i="1"/>
  <c r="T74" i="1"/>
  <c r="T75" i="1"/>
  <c r="T76" i="1"/>
  <c r="T77" i="1"/>
  <c r="T78" i="1"/>
  <c r="T71" i="1"/>
  <c r="T50" i="1"/>
  <c r="T51" i="1"/>
  <c r="T52" i="1"/>
  <c r="T53" i="1"/>
  <c r="T54" i="1"/>
  <c r="T55" i="1"/>
  <c r="T56" i="1"/>
  <c r="T49" i="1"/>
  <c r="S50" i="1"/>
  <c r="S51" i="1"/>
  <c r="S52" i="1"/>
  <c r="S53" i="1"/>
  <c r="S54" i="1"/>
  <c r="S55" i="1"/>
  <c r="S56" i="1"/>
  <c r="S49" i="1"/>
  <c r="T6" i="1"/>
  <c r="T7" i="1"/>
  <c r="T8" i="1"/>
  <c r="T9" i="1"/>
  <c r="T10" i="1"/>
  <c r="T11" i="1"/>
  <c r="T12" i="1"/>
  <c r="T13" i="1"/>
  <c r="S6" i="1"/>
  <c r="S7" i="1"/>
  <c r="S8" i="1"/>
  <c r="S9" i="1"/>
  <c r="S10" i="1"/>
  <c r="S11" i="1"/>
  <c r="S12" i="1"/>
  <c r="S13" i="1"/>
  <c r="R6" i="1"/>
  <c r="R7" i="1"/>
  <c r="R8" i="1"/>
  <c r="R9" i="1"/>
  <c r="R10" i="1"/>
  <c r="R11" i="1"/>
  <c r="R12" i="1"/>
  <c r="R13" i="1"/>
  <c r="R24" i="1"/>
  <c r="S24" i="1"/>
  <c r="T24" i="1"/>
  <c r="R35" i="1"/>
  <c r="S35" i="1"/>
  <c r="T35" i="1"/>
  <c r="R46" i="1"/>
  <c r="S46" i="1"/>
  <c r="T46" i="1"/>
  <c r="T39" i="1"/>
  <c r="T40" i="1"/>
  <c r="T41" i="1"/>
  <c r="T42" i="1"/>
  <c r="T43" i="1"/>
  <c r="T44" i="1"/>
  <c r="T45" i="1"/>
  <c r="T38" i="1"/>
  <c r="S39" i="1"/>
  <c r="S40" i="1"/>
  <c r="S41" i="1"/>
  <c r="S42" i="1"/>
  <c r="S43" i="1"/>
  <c r="S44" i="1"/>
  <c r="S45" i="1"/>
  <c r="S38" i="1"/>
  <c r="R39" i="1"/>
  <c r="R40" i="1"/>
  <c r="R41" i="1"/>
  <c r="R42" i="1"/>
  <c r="R43" i="1"/>
  <c r="R44" i="1"/>
  <c r="R45" i="1"/>
  <c r="R38" i="1"/>
  <c r="T28" i="1"/>
  <c r="T29" i="1"/>
  <c r="T30" i="1"/>
  <c r="T31" i="1"/>
  <c r="T32" i="1"/>
  <c r="T33" i="1"/>
  <c r="T34" i="1"/>
  <c r="T27" i="1"/>
  <c r="S28" i="1"/>
  <c r="S29" i="1"/>
  <c r="S30" i="1"/>
  <c r="S31" i="1"/>
  <c r="S32" i="1"/>
  <c r="S33" i="1"/>
  <c r="S34" i="1"/>
  <c r="S27" i="1"/>
  <c r="R28" i="1"/>
  <c r="R29" i="1"/>
  <c r="R30" i="1"/>
  <c r="R31" i="1"/>
  <c r="R32" i="1"/>
  <c r="R33" i="1"/>
  <c r="R34" i="1"/>
  <c r="R27" i="1"/>
  <c r="T17" i="1"/>
  <c r="T18" i="1"/>
  <c r="T19" i="1"/>
  <c r="T20" i="1"/>
  <c r="T21" i="1"/>
  <c r="T22" i="1"/>
  <c r="T23" i="1"/>
  <c r="T16" i="1"/>
  <c r="S17" i="1"/>
  <c r="S18" i="1"/>
  <c r="S19" i="1"/>
  <c r="S20" i="1"/>
  <c r="S21" i="1"/>
  <c r="S22" i="1"/>
  <c r="S23" i="1"/>
  <c r="S16" i="1"/>
  <c r="R17" i="1"/>
  <c r="R18" i="1"/>
  <c r="R19" i="1"/>
  <c r="R20" i="1"/>
  <c r="R21" i="1"/>
  <c r="R22" i="1"/>
  <c r="R23" i="1"/>
  <c r="R16" i="1"/>
  <c r="T5" i="1" l="1"/>
  <c r="S5" i="1"/>
  <c r="R5" i="1" l="1"/>
  <c r="Q13" i="1" l="1"/>
  <c r="H106" i="1"/>
  <c r="Q106" i="1"/>
  <c r="N106" i="1"/>
  <c r="K106" i="1"/>
  <c r="Q127" i="1"/>
  <c r="Q126" i="1"/>
  <c r="Q125" i="1"/>
  <c r="Q124" i="1"/>
  <c r="Q123" i="1"/>
  <c r="Q122" i="1"/>
  <c r="Q121" i="1"/>
  <c r="Q120" i="1"/>
  <c r="N127" i="1"/>
  <c r="N126" i="1"/>
  <c r="N125" i="1"/>
  <c r="N124" i="1"/>
  <c r="N123" i="1"/>
  <c r="N122" i="1"/>
  <c r="N121" i="1"/>
  <c r="N120" i="1"/>
  <c r="K127" i="1"/>
  <c r="K126" i="1"/>
  <c r="K125" i="1"/>
  <c r="K124" i="1"/>
  <c r="K123" i="1"/>
  <c r="K122" i="1"/>
  <c r="K121" i="1"/>
  <c r="K120" i="1"/>
  <c r="H127" i="1"/>
  <c r="H126" i="1"/>
  <c r="H125" i="1"/>
  <c r="H124" i="1"/>
  <c r="H123" i="1"/>
  <c r="H122" i="1"/>
  <c r="H121" i="1"/>
  <c r="H120" i="1"/>
  <c r="H116" i="1"/>
  <c r="H115" i="1"/>
  <c r="H114" i="1"/>
  <c r="H113" i="1"/>
  <c r="H112" i="1"/>
  <c r="H111" i="1"/>
  <c r="H110" i="1"/>
  <c r="H109" i="1"/>
  <c r="K116" i="1"/>
  <c r="K115" i="1"/>
  <c r="K114" i="1"/>
  <c r="K113" i="1"/>
  <c r="K112" i="1"/>
  <c r="K111" i="1"/>
  <c r="K110" i="1"/>
  <c r="K109" i="1"/>
  <c r="N116" i="1"/>
  <c r="N115" i="1"/>
  <c r="N114" i="1"/>
  <c r="N113" i="1"/>
  <c r="N112" i="1"/>
  <c r="N111" i="1"/>
  <c r="N110" i="1"/>
  <c r="N109" i="1"/>
  <c r="Q110" i="1"/>
  <c r="Q111" i="1"/>
  <c r="Q112" i="1"/>
  <c r="Q113" i="1"/>
  <c r="Q114" i="1"/>
  <c r="Q115" i="1"/>
  <c r="Q116" i="1"/>
  <c r="Q109" i="1"/>
  <c r="Q16" i="1"/>
  <c r="Q17" i="1"/>
  <c r="Q18" i="1"/>
  <c r="Q19" i="1"/>
  <c r="Q20" i="1"/>
  <c r="Q21" i="1"/>
  <c r="Q22" i="1"/>
  <c r="Q23" i="1"/>
  <c r="Q27" i="1"/>
  <c r="Q28" i="1"/>
  <c r="Q29" i="1"/>
  <c r="Q30" i="1"/>
  <c r="Q31" i="1"/>
  <c r="Q32" i="1"/>
  <c r="Q33" i="1"/>
  <c r="Q34" i="1"/>
  <c r="Q38" i="1"/>
  <c r="Q39" i="1"/>
  <c r="Q40" i="1"/>
  <c r="Q41" i="1"/>
  <c r="Q42" i="1"/>
  <c r="Q43" i="1"/>
  <c r="Q44" i="1"/>
  <c r="Q45" i="1"/>
  <c r="Q49" i="1"/>
  <c r="Q50" i="1"/>
  <c r="Q51" i="1"/>
  <c r="Q52" i="1"/>
  <c r="Q53" i="1"/>
  <c r="Q54" i="1"/>
  <c r="Q55" i="1"/>
  <c r="Q56" i="1"/>
  <c r="Q60" i="1"/>
  <c r="Q61" i="1"/>
  <c r="Q62" i="1"/>
  <c r="Q63" i="1"/>
  <c r="Q64" i="1"/>
  <c r="Q65" i="1"/>
  <c r="Q66" i="1"/>
  <c r="Q67" i="1"/>
  <c r="Q71" i="1"/>
  <c r="Q72" i="1"/>
  <c r="Q73" i="1"/>
  <c r="Q74" i="1"/>
  <c r="Q75" i="1"/>
  <c r="Q76" i="1"/>
  <c r="Q77" i="1"/>
  <c r="Q78" i="1"/>
  <c r="Q84" i="1"/>
  <c r="Q85" i="1"/>
  <c r="Q86" i="1"/>
  <c r="Q87" i="1"/>
  <c r="Q88" i="1"/>
  <c r="Q89" i="1"/>
  <c r="Q90" i="1"/>
  <c r="Q91" i="1"/>
  <c r="Q98" i="1"/>
  <c r="Q99" i="1"/>
  <c r="Q100" i="1"/>
  <c r="Q101" i="1"/>
  <c r="Q102" i="1"/>
  <c r="Q103" i="1"/>
  <c r="Q104" i="1"/>
  <c r="Q105" i="1"/>
  <c r="Q6" i="1"/>
  <c r="Q7" i="1"/>
  <c r="Q8" i="1"/>
  <c r="Q9" i="1"/>
  <c r="Q10" i="1"/>
  <c r="Q11" i="1"/>
  <c r="Q12" i="1"/>
  <c r="Q5" i="1"/>
  <c r="N16" i="1"/>
  <c r="N17" i="1"/>
  <c r="N18" i="1"/>
  <c r="N19" i="1"/>
  <c r="N20" i="1"/>
  <c r="N21" i="1"/>
  <c r="N22" i="1"/>
  <c r="N23" i="1"/>
  <c r="N27" i="1"/>
  <c r="N28" i="1"/>
  <c r="N29" i="1"/>
  <c r="N30" i="1"/>
  <c r="N31" i="1"/>
  <c r="N32" i="1"/>
  <c r="N33" i="1"/>
  <c r="N34" i="1"/>
  <c r="N38" i="1"/>
  <c r="N39" i="1"/>
  <c r="N40" i="1"/>
  <c r="N41" i="1"/>
  <c r="N42" i="1"/>
  <c r="N43" i="1"/>
  <c r="N44" i="1"/>
  <c r="N45" i="1"/>
  <c r="N49" i="1"/>
  <c r="N50" i="1"/>
  <c r="N51" i="1"/>
  <c r="N52" i="1"/>
  <c r="N53" i="1"/>
  <c r="N54" i="1"/>
  <c r="N55" i="1"/>
  <c r="N56" i="1"/>
  <c r="N60" i="1"/>
  <c r="N61" i="1"/>
  <c r="N62" i="1"/>
  <c r="N63" i="1"/>
  <c r="N64" i="1"/>
  <c r="N65" i="1"/>
  <c r="N66" i="1"/>
  <c r="N67" i="1"/>
  <c r="N71" i="1"/>
  <c r="N72" i="1"/>
  <c r="N73" i="1"/>
  <c r="N74" i="1"/>
  <c r="N75" i="1"/>
  <c r="N76" i="1"/>
  <c r="N77" i="1"/>
  <c r="N78" i="1"/>
  <c r="N84" i="1"/>
  <c r="N85" i="1"/>
  <c r="N86" i="1"/>
  <c r="N87" i="1"/>
  <c r="N88" i="1"/>
  <c r="N89" i="1"/>
  <c r="N90" i="1"/>
  <c r="N91" i="1"/>
  <c r="N98" i="1"/>
  <c r="N99" i="1"/>
  <c r="N100" i="1"/>
  <c r="N101" i="1"/>
  <c r="N102" i="1"/>
  <c r="N103" i="1"/>
  <c r="N104" i="1"/>
  <c r="N105" i="1"/>
  <c r="N6" i="1"/>
  <c r="N7" i="1"/>
  <c r="N8" i="1"/>
  <c r="N9" i="1"/>
  <c r="N10" i="1"/>
  <c r="N11" i="1"/>
  <c r="N12" i="1"/>
  <c r="N5" i="1"/>
  <c r="K27" i="1"/>
  <c r="K28" i="1"/>
  <c r="K29" i="1"/>
  <c r="K30" i="1"/>
  <c r="K31" i="1"/>
  <c r="K32" i="1"/>
  <c r="K33" i="1"/>
  <c r="K34" i="1"/>
  <c r="K38" i="1"/>
  <c r="K39" i="1"/>
  <c r="K40" i="1"/>
  <c r="K41" i="1"/>
  <c r="K42" i="1"/>
  <c r="K43" i="1"/>
  <c r="K44" i="1"/>
  <c r="K45" i="1"/>
  <c r="K49" i="1"/>
  <c r="K50" i="1"/>
  <c r="K51" i="1"/>
  <c r="K52" i="1"/>
  <c r="K53" i="1"/>
  <c r="K54" i="1"/>
  <c r="K55" i="1"/>
  <c r="K56" i="1"/>
  <c r="K60" i="1"/>
  <c r="K61" i="1"/>
  <c r="K62" i="1"/>
  <c r="K63" i="1"/>
  <c r="K64" i="1"/>
  <c r="K65" i="1"/>
  <c r="K66" i="1"/>
  <c r="K67" i="1"/>
  <c r="K71" i="1"/>
  <c r="K72" i="1"/>
  <c r="K73" i="1"/>
  <c r="K74" i="1"/>
  <c r="K75" i="1"/>
  <c r="K76" i="1"/>
  <c r="K77" i="1"/>
  <c r="K78" i="1"/>
  <c r="K84" i="1"/>
  <c r="K85" i="1"/>
  <c r="K86" i="1"/>
  <c r="K87" i="1"/>
  <c r="K88" i="1"/>
  <c r="K89" i="1"/>
  <c r="K90" i="1"/>
  <c r="K91" i="1"/>
  <c r="K98" i="1"/>
  <c r="K99" i="1"/>
  <c r="K100" i="1"/>
  <c r="K101" i="1"/>
  <c r="K102" i="1"/>
  <c r="K103" i="1"/>
  <c r="K104" i="1"/>
  <c r="K105" i="1"/>
  <c r="K16" i="1"/>
  <c r="K17" i="1"/>
  <c r="K18" i="1"/>
  <c r="K19" i="1"/>
  <c r="K20" i="1"/>
  <c r="K21" i="1"/>
  <c r="K22" i="1"/>
  <c r="K23" i="1"/>
  <c r="K6" i="1"/>
  <c r="K7" i="1"/>
  <c r="K8" i="1"/>
  <c r="K9" i="1"/>
  <c r="K10" i="1"/>
  <c r="K11" i="1"/>
  <c r="K12" i="1"/>
  <c r="K5" i="1"/>
  <c r="H5" i="1"/>
  <c r="H60" i="1"/>
  <c r="H61" i="1"/>
  <c r="H62" i="1"/>
  <c r="H63" i="1"/>
  <c r="H64" i="1"/>
  <c r="H65" i="1"/>
  <c r="H66" i="1"/>
  <c r="H67" i="1"/>
  <c r="H71" i="1"/>
  <c r="H72" i="1"/>
  <c r="H73" i="1"/>
  <c r="H74" i="1"/>
  <c r="H75" i="1"/>
  <c r="H76" i="1"/>
  <c r="H77" i="1"/>
  <c r="H78" i="1"/>
  <c r="H84" i="1"/>
  <c r="H85" i="1"/>
  <c r="H86" i="1"/>
  <c r="H87" i="1"/>
  <c r="H88" i="1"/>
  <c r="H89" i="1"/>
  <c r="H90" i="1"/>
  <c r="H91" i="1"/>
  <c r="H98" i="1"/>
  <c r="H99" i="1"/>
  <c r="H100" i="1"/>
  <c r="H101" i="1"/>
  <c r="H102" i="1"/>
  <c r="H103" i="1"/>
  <c r="H104" i="1"/>
  <c r="H105" i="1"/>
  <c r="H49" i="1"/>
  <c r="H50" i="1"/>
  <c r="H51" i="1"/>
  <c r="H52" i="1"/>
  <c r="H53" i="1"/>
  <c r="H54" i="1"/>
  <c r="H55" i="1"/>
  <c r="H56" i="1"/>
  <c r="H38" i="1"/>
  <c r="H39" i="1"/>
  <c r="H40" i="1"/>
  <c r="H41" i="1"/>
  <c r="H42" i="1"/>
  <c r="H43" i="1"/>
  <c r="H44" i="1"/>
  <c r="H45" i="1"/>
  <c r="H27" i="1"/>
  <c r="H28" i="1"/>
  <c r="H29" i="1"/>
  <c r="H30" i="1"/>
  <c r="H31" i="1"/>
  <c r="H32" i="1"/>
  <c r="H33" i="1"/>
  <c r="H34" i="1"/>
  <c r="H16" i="1"/>
  <c r="H17" i="1"/>
  <c r="H18" i="1"/>
  <c r="H19" i="1"/>
  <c r="H20" i="1"/>
  <c r="H21" i="1"/>
  <c r="H22" i="1"/>
  <c r="H23" i="1"/>
  <c r="H6" i="1"/>
  <c r="H7" i="1"/>
  <c r="H8" i="1"/>
  <c r="H9" i="1"/>
  <c r="H10" i="1"/>
  <c r="H11" i="1"/>
  <c r="H12" i="1"/>
</calcChain>
</file>

<file path=xl/sharedStrings.xml><?xml version="1.0" encoding="utf-8"?>
<sst xmlns="http://schemas.openxmlformats.org/spreadsheetml/2006/main" count="115" uniqueCount="26">
  <si>
    <t>S4</t>
  </si>
  <si>
    <t>4/0</t>
  </si>
  <si>
    <t>50x35</t>
  </si>
  <si>
    <t>90g</t>
  </si>
  <si>
    <t>160g</t>
  </si>
  <si>
    <t>260g</t>
  </si>
  <si>
    <t>360g</t>
  </si>
  <si>
    <t>1/0</t>
  </si>
  <si>
    <t>dodatek</t>
  </si>
  <si>
    <t>čas</t>
  </si>
  <si>
    <t>cena</t>
  </si>
  <si>
    <t>2/0</t>
  </si>
  <si>
    <t>3/0</t>
  </si>
  <si>
    <t>5/0</t>
  </si>
  <si>
    <t>6/0</t>
  </si>
  <si>
    <t>7/0</t>
  </si>
  <si>
    <t xml:space="preserve"> </t>
  </si>
  <si>
    <t>4/1</t>
  </si>
  <si>
    <t>tisk x2</t>
  </si>
  <si>
    <t>1/OB</t>
  </si>
  <si>
    <t>2/1</t>
  </si>
  <si>
    <t>3/1</t>
  </si>
  <si>
    <t>/h/</t>
  </si>
  <si>
    <t>Hitrost tiska /h/</t>
  </si>
  <si>
    <t>2 stavka A4 na formi</t>
  </si>
  <si>
    <t xml:space="preserve">360g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</si>
</sst>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Aptos"/>
      <family val="2"/>
      <charset val="238"/>
    </font>
    <font>
      <sz val="12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/>
    <xf numFmtId="3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3" fontId="0" fillId="4" borderId="1" xfId="0" applyNumberFormat="1" applyFill="1" applyBorder="1" applyAlignment="1">
      <alignment horizontal="center"/>
    </xf>
    <xf numFmtId="3" fontId="0" fillId="5" borderId="1" xfId="0" applyNumberFormat="1" applyFill="1" applyBorder="1" applyAlignment="1">
      <alignment horizontal="center"/>
    </xf>
    <xf numFmtId="4" fontId="0" fillId="2" borderId="1" xfId="0" applyNumberFormat="1" applyFill="1" applyBorder="1"/>
    <xf numFmtId="4" fontId="0" fillId="3" borderId="1" xfId="0" applyNumberFormat="1" applyFill="1" applyBorder="1"/>
    <xf numFmtId="4" fontId="0" fillId="4" borderId="1" xfId="0" applyNumberFormat="1" applyFill="1" applyBorder="1"/>
    <xf numFmtId="4" fontId="0" fillId="5" borderId="1" xfId="0" applyNumberFormat="1" applyFill="1" applyBorder="1"/>
    <xf numFmtId="4" fontId="0" fillId="2" borderId="1" xfId="0" applyNumberFormat="1" applyFill="1" applyBorder="1" applyAlignment="1">
      <alignment horizontal="center"/>
    </xf>
    <xf numFmtId="4" fontId="0" fillId="3" borderId="1" xfId="0" applyNumberFormat="1" applyFill="1" applyBorder="1" applyAlignment="1">
      <alignment horizontal="center"/>
    </xf>
    <xf numFmtId="4" fontId="0" fillId="4" borderId="1" xfId="0" applyNumberFormat="1" applyFill="1" applyBorder="1" applyAlignment="1">
      <alignment horizontal="center"/>
    </xf>
    <xf numFmtId="4" fontId="0" fillId="5" borderId="1" xfId="0" applyNumberFormat="1" applyFill="1" applyBorder="1" applyAlignment="1">
      <alignment horizontal="center"/>
    </xf>
    <xf numFmtId="3" fontId="0" fillId="2" borderId="1" xfId="0" applyNumberFormat="1" applyFill="1" applyBorder="1"/>
    <xf numFmtId="3" fontId="0" fillId="3" borderId="1" xfId="0" applyNumberFormat="1" applyFill="1" applyBorder="1"/>
    <xf numFmtId="3" fontId="0" fillId="4" borderId="1" xfId="0" applyNumberFormat="1" applyFill="1" applyBorder="1"/>
    <xf numFmtId="3" fontId="0" fillId="5" borderId="1" xfId="0" applyNumberFormat="1" applyFill="1" applyBorder="1"/>
    <xf numFmtId="4" fontId="0" fillId="0" borderId="1" xfId="0" applyNumberFormat="1" applyBorder="1"/>
    <xf numFmtId="164" fontId="0" fillId="0" borderId="1" xfId="0" applyNumberFormat="1" applyBorder="1"/>
    <xf numFmtId="0" fontId="1" fillId="0" borderId="0" xfId="0" applyFont="1" applyAlignment="1">
      <alignment horizontal="right" readingOrder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90g+160g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8051618547681537"/>
                  <c:y val="6.000210341444472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'S4 POLA'!$A$60:$A$67</c:f>
              <c:numCache>
                <c:formatCode>#,##0</c:formatCode>
                <c:ptCount val="8"/>
                <c:pt idx="0">
                  <c:v>10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  <c:pt idx="6">
                  <c:v>15000</c:v>
                </c:pt>
                <c:pt idx="7">
                  <c:v>20000</c:v>
                </c:pt>
              </c:numCache>
            </c:numRef>
          </c:xVal>
          <c:yVal>
            <c:numRef>
              <c:f>'S4 POLA'!$J$60:$J$67</c:f>
              <c:numCache>
                <c:formatCode>#,##0.00</c:formatCode>
                <c:ptCount val="8"/>
                <c:pt idx="0">
                  <c:v>50.8</c:v>
                </c:pt>
                <c:pt idx="1">
                  <c:v>52.39</c:v>
                </c:pt>
                <c:pt idx="2">
                  <c:v>56</c:v>
                </c:pt>
                <c:pt idx="3">
                  <c:v>68.61</c:v>
                </c:pt>
                <c:pt idx="4">
                  <c:v>108.6</c:v>
                </c:pt>
                <c:pt idx="5">
                  <c:v>189.78</c:v>
                </c:pt>
                <c:pt idx="6">
                  <c:v>275.73</c:v>
                </c:pt>
                <c:pt idx="7">
                  <c:v>361.89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1E2-4B0C-BCB5-BFB714F8B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1284384"/>
        <c:axId val="1681303104"/>
      </c:scatterChart>
      <c:valAx>
        <c:axId val="168128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81303104"/>
        <c:crosses val="autoZero"/>
        <c:crossBetween val="midCat"/>
      </c:valAx>
      <c:valAx>
        <c:axId val="168130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81284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260g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777384076990376"/>
                  <c:y val="3.629513491592196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'S4 POLA'!$A$60:$A$67</c:f>
              <c:numCache>
                <c:formatCode>#,##0</c:formatCode>
                <c:ptCount val="8"/>
                <c:pt idx="0">
                  <c:v>10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  <c:pt idx="6">
                  <c:v>15000</c:v>
                </c:pt>
                <c:pt idx="7">
                  <c:v>20000</c:v>
                </c:pt>
              </c:numCache>
            </c:numRef>
          </c:xVal>
          <c:yVal>
            <c:numRef>
              <c:f>'S4 POLA'!$M$60:$M$67</c:f>
              <c:numCache>
                <c:formatCode>#,##0.00</c:formatCode>
                <c:ptCount val="8"/>
                <c:pt idx="0">
                  <c:v>55</c:v>
                </c:pt>
                <c:pt idx="1">
                  <c:v>57</c:v>
                </c:pt>
                <c:pt idx="2">
                  <c:v>61.4</c:v>
                </c:pt>
                <c:pt idx="3">
                  <c:v>76.81</c:v>
                </c:pt>
                <c:pt idx="4">
                  <c:v>132.82</c:v>
                </c:pt>
                <c:pt idx="5">
                  <c:v>231.84</c:v>
                </c:pt>
                <c:pt idx="6">
                  <c:v>336.84</c:v>
                </c:pt>
                <c:pt idx="7">
                  <c:v>441.84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9C9-4289-A4AB-BF99D5D0A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1321824"/>
        <c:axId val="1681336704"/>
      </c:scatterChart>
      <c:valAx>
        <c:axId val="1681321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81336704"/>
        <c:crosses val="autoZero"/>
        <c:crossBetween val="midCat"/>
      </c:valAx>
      <c:valAx>
        <c:axId val="168133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81321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360</a:t>
            </a:r>
            <a:r>
              <a:rPr lang="sl-SI"/>
              <a:t>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7651618547681542"/>
                  <c:y val="4.684613440454904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'S4 POLA'!$A$84:$A$91</c:f>
              <c:numCache>
                <c:formatCode>#,##0</c:formatCode>
                <c:ptCount val="8"/>
                <c:pt idx="0">
                  <c:v>10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  <c:pt idx="6">
                  <c:v>15000</c:v>
                </c:pt>
                <c:pt idx="7">
                  <c:v>20000</c:v>
                </c:pt>
              </c:numCache>
            </c:numRef>
          </c:xVal>
          <c:yVal>
            <c:numRef>
              <c:f>'S4 POLA'!$P$84:$P$91</c:f>
              <c:numCache>
                <c:formatCode>#,##0.00</c:formatCode>
                <c:ptCount val="8"/>
                <c:pt idx="0">
                  <c:v>49.8</c:v>
                </c:pt>
                <c:pt idx="1">
                  <c:v>52.2</c:v>
                </c:pt>
                <c:pt idx="2">
                  <c:v>62.6</c:v>
                </c:pt>
                <c:pt idx="3">
                  <c:v>75.599999999999994</c:v>
                </c:pt>
                <c:pt idx="4">
                  <c:v>147.62</c:v>
                </c:pt>
                <c:pt idx="5">
                  <c:v>264.76</c:v>
                </c:pt>
                <c:pt idx="6">
                  <c:v>388.86</c:v>
                </c:pt>
                <c:pt idx="7">
                  <c:v>515.84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41B3-4D8E-ACB4-4E6237D3B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3814543"/>
        <c:axId val="1213835183"/>
      </c:scatterChart>
      <c:valAx>
        <c:axId val="1213814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13835183"/>
        <c:crosses val="autoZero"/>
        <c:crossBetween val="midCat"/>
      </c:valAx>
      <c:valAx>
        <c:axId val="121383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13814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313908</xdr:colOff>
      <xdr:row>49</xdr:row>
      <xdr:rowOff>193034</xdr:rowOff>
    </xdr:from>
    <xdr:to>
      <xdr:col>26</xdr:col>
      <xdr:colOff>313908</xdr:colOff>
      <xdr:row>63</xdr:row>
      <xdr:rowOff>78734</xdr:rowOff>
    </xdr:to>
    <xdr:graphicFrame macro="">
      <xdr:nvGraphicFramePr>
        <xdr:cNvPr id="2" name="Grafikon 1">
          <a:extLst>
            <a:ext uri="{FF2B5EF4-FFF2-40B4-BE49-F238E27FC236}">
              <a16:creationId xmlns:a16="http://schemas.microsoft.com/office/drawing/2014/main" id="{51DAF16C-F45A-875B-AF8C-D6F182BB61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301624</xdr:colOff>
      <xdr:row>64</xdr:row>
      <xdr:rowOff>67733</xdr:rowOff>
    </xdr:from>
    <xdr:to>
      <xdr:col>26</xdr:col>
      <xdr:colOff>301624</xdr:colOff>
      <xdr:row>77</xdr:row>
      <xdr:rowOff>198172</xdr:rowOff>
    </xdr:to>
    <xdr:graphicFrame macro="">
      <xdr:nvGraphicFramePr>
        <xdr:cNvPr id="3" name="Grafikon 2">
          <a:extLst>
            <a:ext uri="{FF2B5EF4-FFF2-40B4-BE49-F238E27FC236}">
              <a16:creationId xmlns:a16="http://schemas.microsoft.com/office/drawing/2014/main" id="{DF25E21F-6241-378D-D33F-91C52938D4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297656</xdr:colOff>
      <xdr:row>78</xdr:row>
      <xdr:rowOff>119326</xdr:rowOff>
    </xdr:from>
    <xdr:to>
      <xdr:col>26</xdr:col>
      <xdr:colOff>297656</xdr:colOff>
      <xdr:row>92</xdr:row>
      <xdr:rowOff>47361</xdr:rowOff>
    </xdr:to>
    <xdr:graphicFrame macro="">
      <xdr:nvGraphicFramePr>
        <xdr:cNvPr id="8" name="Grafikon 7">
          <a:extLst>
            <a:ext uri="{FF2B5EF4-FFF2-40B4-BE49-F238E27FC236}">
              <a16:creationId xmlns:a16="http://schemas.microsoft.com/office/drawing/2014/main" id="{37CE0637-8EAC-1B6D-A8A1-7AB34E7555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C361B-3766-438E-847F-0B4C14DB65A3}">
  <sheetPr codeName="List1"/>
  <dimension ref="A1:T128"/>
  <sheetViews>
    <sheetView tabSelected="1" topLeftCell="A103" zoomScale="80" zoomScaleNormal="80" workbookViewId="0">
      <selection activeCell="A3" sqref="A3:T127"/>
    </sheetView>
  </sheetViews>
  <sheetFormatPr defaultRowHeight="15.75" x14ac:dyDescent="0.25"/>
  <cols>
    <col min="1" max="2" width="8.88671875" style="1"/>
    <col min="3" max="3" width="10.6640625" style="1" bestFit="1" customWidth="1"/>
    <col min="4" max="4" width="4.77734375" style="1" customWidth="1"/>
    <col min="5" max="5" width="4.6640625" style="1" customWidth="1"/>
    <col min="6" max="6" width="4.5546875" style="10" bestFit="1" customWidth="1"/>
    <col min="7" max="7" width="6.5546875" style="10" bestFit="1" customWidth="1"/>
    <col min="8" max="8" width="12.77734375" style="18" bestFit="1" customWidth="1"/>
    <col min="9" max="9" width="4.88671875" style="11" bestFit="1" customWidth="1"/>
    <col min="10" max="10" width="6.5546875" style="11" bestFit="1" customWidth="1"/>
    <col min="11" max="11" width="8.88671875" style="19"/>
    <col min="12" max="13" width="8.88671875" style="12"/>
    <col min="14" max="14" width="8.88671875" style="20"/>
    <col min="15" max="15" width="8.88671875" style="13"/>
    <col min="16" max="16" width="8.88671875" style="17"/>
    <col min="17" max="17" width="8.88671875" style="21"/>
    <col min="18" max="19" width="8.88671875" style="1"/>
    <col min="20" max="20" width="10" style="1" bestFit="1" customWidth="1"/>
    <col min="21" max="16384" width="8.88671875" style="1"/>
  </cols>
  <sheetData>
    <row r="1" spans="1:20" x14ac:dyDescent="0.25">
      <c r="A1" s="1">
        <v>11646</v>
      </c>
      <c r="B1" s="1">
        <v>49059</v>
      </c>
      <c r="D1" s="25" t="s">
        <v>24</v>
      </c>
      <c r="E1" s="26"/>
    </row>
    <row r="2" spans="1:20" x14ac:dyDescent="0.25">
      <c r="D2" s="1" t="s">
        <v>16</v>
      </c>
    </row>
    <row r="3" spans="1:20" x14ac:dyDescent="0.25">
      <c r="A3" s="2" t="s">
        <v>0</v>
      </c>
      <c r="B3" s="2" t="s">
        <v>1</v>
      </c>
      <c r="C3" s="2" t="s">
        <v>2</v>
      </c>
      <c r="D3" s="2"/>
      <c r="E3" s="2"/>
      <c r="F3" s="14" t="s">
        <v>3</v>
      </c>
      <c r="H3" s="18" t="s">
        <v>23</v>
      </c>
      <c r="I3" s="15" t="s">
        <v>4</v>
      </c>
      <c r="K3" s="7" t="s">
        <v>22</v>
      </c>
      <c r="L3" s="16" t="s">
        <v>5</v>
      </c>
      <c r="N3" s="8" t="s">
        <v>22</v>
      </c>
      <c r="O3" s="17" t="s">
        <v>6</v>
      </c>
      <c r="Q3" s="9" t="s">
        <v>22</v>
      </c>
    </row>
    <row r="4" spans="1:20" x14ac:dyDescent="0.25">
      <c r="B4" s="2" t="s">
        <v>7</v>
      </c>
      <c r="C4" s="2" t="s">
        <v>8</v>
      </c>
      <c r="F4" s="14" t="s">
        <v>9</v>
      </c>
      <c r="G4" s="14" t="s">
        <v>10</v>
      </c>
      <c r="H4" s="6"/>
      <c r="R4" s="2" t="s">
        <v>3</v>
      </c>
      <c r="S4" s="2" t="s">
        <v>5</v>
      </c>
      <c r="T4" s="2" t="s">
        <v>25</v>
      </c>
    </row>
    <row r="5" spans="1:20" x14ac:dyDescent="0.25">
      <c r="A5" s="3">
        <v>10</v>
      </c>
      <c r="B5" s="4">
        <v>5</v>
      </c>
      <c r="C5" s="4">
        <v>175</v>
      </c>
      <c r="D5" s="4"/>
      <c r="E5" s="4"/>
      <c r="F5" s="14">
        <v>0.16</v>
      </c>
      <c r="G5" s="14">
        <v>19</v>
      </c>
      <c r="H5" s="6">
        <f>C5/F5</f>
        <v>1093.75</v>
      </c>
      <c r="I5" s="15">
        <v>0.16</v>
      </c>
      <c r="J5" s="15">
        <v>19</v>
      </c>
      <c r="K5" s="7">
        <f>C5/I5</f>
        <v>1093.75</v>
      </c>
      <c r="L5" s="16">
        <v>0.17</v>
      </c>
      <c r="M5" s="16">
        <v>19.8</v>
      </c>
      <c r="N5" s="8">
        <f>C5/L5</f>
        <v>1029.4117647058822</v>
      </c>
      <c r="O5" s="17">
        <v>0.17</v>
      </c>
      <c r="P5" s="17">
        <v>20.399999999999999</v>
      </c>
      <c r="Q5" s="9">
        <f>C5/O5</f>
        <v>1029.4117647058822</v>
      </c>
      <c r="R5" s="1">
        <f>(7*10^(-5)*A5+0.1486)*120</f>
        <v>17.916</v>
      </c>
      <c r="S5" s="22">
        <f>(8*10^(-5)*A5+0.155)*120</f>
        <v>18.695999999999998</v>
      </c>
      <c r="T5" s="22">
        <f>(10^(-4)*A5+0.1602)*120</f>
        <v>19.344000000000001</v>
      </c>
    </row>
    <row r="6" spans="1:20" x14ac:dyDescent="0.25">
      <c r="A6" s="3">
        <v>100</v>
      </c>
      <c r="B6" s="4">
        <v>50</v>
      </c>
      <c r="C6" s="4">
        <v>220</v>
      </c>
      <c r="D6" s="4"/>
      <c r="E6" s="4"/>
      <c r="F6" s="14">
        <v>0.17</v>
      </c>
      <c r="G6" s="14">
        <v>19.8</v>
      </c>
      <c r="H6" s="6">
        <f t="shared" ref="H6:H67" si="0">C6/F6</f>
        <v>1294.1176470588234</v>
      </c>
      <c r="I6" s="15">
        <v>0.17</v>
      </c>
      <c r="J6" s="15">
        <v>19.8</v>
      </c>
      <c r="K6" s="7">
        <f t="shared" ref="K6:K67" si="1">C6/I6</f>
        <v>1294.1176470588234</v>
      </c>
      <c r="L6" s="16">
        <v>0.17</v>
      </c>
      <c r="M6" s="16">
        <v>20.8</v>
      </c>
      <c r="N6" s="8">
        <f t="shared" ref="N6:N67" si="2">C6/L6</f>
        <v>1294.1176470588234</v>
      </c>
      <c r="O6" s="17">
        <v>0.18</v>
      </c>
      <c r="P6" s="17">
        <v>21.6</v>
      </c>
      <c r="Q6" s="9">
        <f t="shared" ref="Q6:Q67" si="3">C6/O6</f>
        <v>1222.2222222222222</v>
      </c>
      <c r="R6" s="1">
        <f t="shared" ref="R6:R13" si="4">(7*10^(-5)*A6+0.1486)*120</f>
        <v>18.672000000000001</v>
      </c>
      <c r="S6" s="22">
        <f t="shared" ref="S6:S13" si="5">(8*10^(-5)*A6+0.155)*120</f>
        <v>19.560000000000002</v>
      </c>
      <c r="T6" s="22">
        <f t="shared" ref="T6:T13" si="6">(10^(-4)*A6+0.1602)*120</f>
        <v>20.424000000000003</v>
      </c>
    </row>
    <row r="7" spans="1:20" x14ac:dyDescent="0.25">
      <c r="A7" s="3">
        <v>500</v>
      </c>
      <c r="B7" s="4">
        <v>250</v>
      </c>
      <c r="C7" s="4">
        <v>420</v>
      </c>
      <c r="D7" s="4"/>
      <c r="E7" s="4"/>
      <c r="F7" s="14">
        <v>0.2</v>
      </c>
      <c r="G7" s="14">
        <v>23.4</v>
      </c>
      <c r="H7" s="6">
        <f t="shared" si="0"/>
        <v>2100</v>
      </c>
      <c r="I7" s="15">
        <v>0.2</v>
      </c>
      <c r="J7" s="15">
        <v>23.4</v>
      </c>
      <c r="K7" s="7">
        <f t="shared" si="1"/>
        <v>2100</v>
      </c>
      <c r="L7" s="16">
        <v>0.21</v>
      </c>
      <c r="M7" s="16">
        <v>25.2</v>
      </c>
      <c r="N7" s="8">
        <f t="shared" si="2"/>
        <v>2000</v>
      </c>
      <c r="O7" s="17">
        <v>0.22</v>
      </c>
      <c r="P7" s="17">
        <v>26.8</v>
      </c>
      <c r="Q7" s="9">
        <f t="shared" si="3"/>
        <v>1909.090909090909</v>
      </c>
      <c r="R7" s="1">
        <f t="shared" si="4"/>
        <v>22.032</v>
      </c>
      <c r="S7" s="22">
        <f t="shared" si="5"/>
        <v>23.400000000000002</v>
      </c>
      <c r="T7" s="22">
        <f t="shared" si="6"/>
        <v>25.224</v>
      </c>
    </row>
    <row r="8" spans="1:20" x14ac:dyDescent="0.25">
      <c r="A8" s="3">
        <v>1000</v>
      </c>
      <c r="B8" s="4">
        <v>500</v>
      </c>
      <c r="C8" s="4">
        <v>670</v>
      </c>
      <c r="D8" s="4"/>
      <c r="E8" s="4"/>
      <c r="F8" s="14">
        <v>0.23</v>
      </c>
      <c r="G8" s="14">
        <v>28</v>
      </c>
      <c r="H8" s="6">
        <f t="shared" si="0"/>
        <v>2913.0434782608695</v>
      </c>
      <c r="I8" s="15">
        <v>0.23</v>
      </c>
      <c r="J8" s="15">
        <v>28</v>
      </c>
      <c r="K8" s="7">
        <f t="shared" si="1"/>
        <v>2913.0434782608695</v>
      </c>
      <c r="L8" s="16">
        <v>0.26</v>
      </c>
      <c r="M8" s="16">
        <v>30.6</v>
      </c>
      <c r="N8" s="8">
        <f t="shared" si="2"/>
        <v>2576.9230769230767</v>
      </c>
      <c r="O8" s="17">
        <v>0.28000000000000003</v>
      </c>
      <c r="P8" s="17">
        <v>33.4</v>
      </c>
      <c r="Q8" s="9">
        <f t="shared" si="3"/>
        <v>2392.8571428571427</v>
      </c>
      <c r="R8" s="1">
        <f t="shared" si="4"/>
        <v>26.232000000000003</v>
      </c>
      <c r="S8" s="22">
        <f t="shared" si="5"/>
        <v>28.2</v>
      </c>
      <c r="T8" s="22">
        <f t="shared" si="6"/>
        <v>31.223999999999997</v>
      </c>
    </row>
    <row r="9" spans="1:20" x14ac:dyDescent="0.25">
      <c r="A9" s="3">
        <v>5000</v>
      </c>
      <c r="B9" s="4">
        <v>2500</v>
      </c>
      <c r="C9" s="4">
        <v>2670</v>
      </c>
      <c r="D9" s="4"/>
      <c r="E9" s="4"/>
      <c r="F9" s="14">
        <v>0.4</v>
      </c>
      <c r="G9" s="14">
        <v>48.01</v>
      </c>
      <c r="H9" s="6">
        <f t="shared" si="0"/>
        <v>6675</v>
      </c>
      <c r="I9" s="15">
        <v>0.4</v>
      </c>
      <c r="J9" s="15">
        <v>48.01</v>
      </c>
      <c r="K9" s="7">
        <f t="shared" si="1"/>
        <v>6675</v>
      </c>
      <c r="L9" s="16">
        <v>0.49</v>
      </c>
      <c r="M9" s="16">
        <v>58.61</v>
      </c>
      <c r="N9" s="8">
        <f t="shared" si="2"/>
        <v>5448.9795918367345</v>
      </c>
      <c r="O9" s="17">
        <v>0.57999999999999996</v>
      </c>
      <c r="P9" s="17">
        <v>69.39</v>
      </c>
      <c r="Q9" s="9">
        <f t="shared" si="3"/>
        <v>4603.4482758620688</v>
      </c>
      <c r="R9" s="1">
        <f t="shared" si="4"/>
        <v>59.832000000000008</v>
      </c>
      <c r="S9" s="22">
        <f t="shared" si="5"/>
        <v>66.600000000000009</v>
      </c>
      <c r="T9" s="22">
        <f t="shared" si="6"/>
        <v>79.224000000000004</v>
      </c>
    </row>
    <row r="10" spans="1:20" x14ac:dyDescent="0.25">
      <c r="A10" s="3">
        <v>10000</v>
      </c>
      <c r="B10" s="4">
        <v>5000</v>
      </c>
      <c r="C10" s="4">
        <v>5170</v>
      </c>
      <c r="D10" s="4"/>
      <c r="E10" s="4"/>
      <c r="F10" s="14">
        <v>0.78</v>
      </c>
      <c r="G10" s="14">
        <v>93.01</v>
      </c>
      <c r="H10" s="6">
        <f t="shared" si="0"/>
        <v>6628.2051282051279</v>
      </c>
      <c r="I10" s="15">
        <v>0.78</v>
      </c>
      <c r="J10" s="15">
        <v>93.01</v>
      </c>
      <c r="K10" s="7">
        <f t="shared" si="1"/>
        <v>6628.2051282051279</v>
      </c>
      <c r="L10" s="16">
        <v>0.95</v>
      </c>
      <c r="M10" s="16">
        <v>113.58</v>
      </c>
      <c r="N10" s="8">
        <f t="shared" si="2"/>
        <v>5442.105263157895</v>
      </c>
      <c r="O10" s="17">
        <v>1.1200000000000001</v>
      </c>
      <c r="P10" s="17">
        <v>134.41999999999999</v>
      </c>
      <c r="Q10" s="9">
        <f t="shared" si="3"/>
        <v>4616.0714285714284</v>
      </c>
      <c r="R10" s="1">
        <f t="shared" si="4"/>
        <v>101.83200000000001</v>
      </c>
      <c r="S10" s="22">
        <f t="shared" si="5"/>
        <v>114.60000000000001</v>
      </c>
      <c r="T10" s="22">
        <f t="shared" si="6"/>
        <v>139.22400000000002</v>
      </c>
    </row>
    <row r="11" spans="1:20" x14ac:dyDescent="0.25">
      <c r="A11" s="3">
        <v>15000</v>
      </c>
      <c r="B11" s="4">
        <v>7500</v>
      </c>
      <c r="C11" s="4">
        <v>7670</v>
      </c>
      <c r="D11" s="4"/>
      <c r="E11" s="4"/>
      <c r="F11" s="14">
        <v>1.1499999999999999</v>
      </c>
      <c r="G11" s="14">
        <v>137.97999999999999</v>
      </c>
      <c r="H11" s="6">
        <f t="shared" si="0"/>
        <v>6669.5652173913049</v>
      </c>
      <c r="I11" s="15">
        <v>1.1499999999999999</v>
      </c>
      <c r="J11" s="15">
        <v>137.97999999999999</v>
      </c>
      <c r="K11" s="7">
        <f t="shared" si="1"/>
        <v>6669.5652173913049</v>
      </c>
      <c r="L11" s="16">
        <v>1.41</v>
      </c>
      <c r="M11" s="16">
        <v>168.59</v>
      </c>
      <c r="N11" s="8">
        <f t="shared" si="2"/>
        <v>5439.7163120567375</v>
      </c>
      <c r="O11" s="17">
        <v>1.66</v>
      </c>
      <c r="P11" s="17">
        <v>199.42</v>
      </c>
      <c r="Q11" s="9">
        <f t="shared" si="3"/>
        <v>4620.4819277108436</v>
      </c>
      <c r="R11" s="1">
        <f t="shared" si="4"/>
        <v>143.83200000000002</v>
      </c>
      <c r="S11" s="22">
        <f t="shared" si="5"/>
        <v>162.60000000000002</v>
      </c>
      <c r="T11" s="22">
        <f t="shared" si="6"/>
        <v>199.22400000000002</v>
      </c>
    </row>
    <row r="12" spans="1:20" x14ac:dyDescent="0.25">
      <c r="A12" s="3">
        <v>20000</v>
      </c>
      <c r="B12" s="4">
        <v>10000</v>
      </c>
      <c r="C12" s="4">
        <v>10200</v>
      </c>
      <c r="D12" s="4"/>
      <c r="E12" s="4"/>
      <c r="F12" s="14">
        <v>1.46</v>
      </c>
      <c r="G12" s="14">
        <v>175.44</v>
      </c>
      <c r="H12" s="6">
        <f t="shared" si="0"/>
        <v>6986.3013698630139</v>
      </c>
      <c r="I12" s="15">
        <v>1.46</v>
      </c>
      <c r="J12" s="15">
        <v>175.44</v>
      </c>
      <c r="K12" s="7">
        <f t="shared" si="1"/>
        <v>6986.3013698630139</v>
      </c>
      <c r="L12" s="16">
        <v>1.79</v>
      </c>
      <c r="M12" s="16">
        <v>214.2</v>
      </c>
      <c r="N12" s="8">
        <f t="shared" si="2"/>
        <v>5698.324022346369</v>
      </c>
      <c r="O12" s="17">
        <v>2.11</v>
      </c>
      <c r="P12" s="17">
        <v>252.76</v>
      </c>
      <c r="Q12" s="9">
        <f t="shared" si="3"/>
        <v>4834.1232227488154</v>
      </c>
      <c r="R12" s="1">
        <f t="shared" si="4"/>
        <v>185.83200000000002</v>
      </c>
      <c r="S12" s="22">
        <f t="shared" si="5"/>
        <v>210.60000000000002</v>
      </c>
      <c r="T12" s="22">
        <f t="shared" si="6"/>
        <v>259.22399999999999</v>
      </c>
    </row>
    <row r="13" spans="1:20" x14ac:dyDescent="0.25">
      <c r="A13" s="3">
        <v>30000</v>
      </c>
      <c r="B13" s="4">
        <v>15000</v>
      </c>
      <c r="C13" s="4">
        <v>15170</v>
      </c>
      <c r="H13" s="6"/>
      <c r="K13" s="7"/>
      <c r="N13" s="8"/>
      <c r="O13" s="17">
        <v>3.14</v>
      </c>
      <c r="P13" s="17">
        <v>376.22</v>
      </c>
      <c r="Q13" s="9">
        <f t="shared" si="3"/>
        <v>4831.2101910828023</v>
      </c>
      <c r="R13" s="1">
        <f t="shared" si="4"/>
        <v>269.83199999999999</v>
      </c>
      <c r="S13" s="22">
        <f t="shared" si="5"/>
        <v>306.60000000000002</v>
      </c>
      <c r="T13" s="22">
        <f t="shared" si="6"/>
        <v>379.22399999999999</v>
      </c>
    </row>
    <row r="14" spans="1:20" x14ac:dyDescent="0.25">
      <c r="H14" s="6"/>
      <c r="K14" s="7"/>
      <c r="N14" s="8"/>
      <c r="Q14" s="9"/>
    </row>
    <row r="15" spans="1:20" x14ac:dyDescent="0.25">
      <c r="B15" s="2" t="s">
        <v>11</v>
      </c>
      <c r="C15" s="2" t="s">
        <v>8</v>
      </c>
      <c r="F15" s="14" t="s">
        <v>9</v>
      </c>
      <c r="G15" s="14" t="s">
        <v>10</v>
      </c>
      <c r="H15" s="6"/>
      <c r="K15" s="7"/>
      <c r="N15" s="8"/>
      <c r="Q15" s="9"/>
      <c r="R15" s="1" t="s">
        <v>3</v>
      </c>
      <c r="S15" s="1" t="s">
        <v>5</v>
      </c>
      <c r="T15" s="1" t="s">
        <v>6</v>
      </c>
    </row>
    <row r="16" spans="1:20" x14ac:dyDescent="0.25">
      <c r="A16" s="3">
        <v>10</v>
      </c>
      <c r="B16" s="4">
        <v>5</v>
      </c>
      <c r="C16" s="4">
        <v>200</v>
      </c>
      <c r="D16" s="4"/>
      <c r="E16" s="4"/>
      <c r="F16" s="14">
        <v>0.16</v>
      </c>
      <c r="G16" s="14">
        <v>19.600000000000001</v>
      </c>
      <c r="H16" s="6">
        <f t="shared" si="0"/>
        <v>1250</v>
      </c>
      <c r="I16" s="15">
        <v>0.16</v>
      </c>
      <c r="J16" s="15">
        <v>19.600000000000001</v>
      </c>
      <c r="K16" s="7">
        <f t="shared" si="1"/>
        <v>1250</v>
      </c>
      <c r="L16" s="16">
        <v>0.17</v>
      </c>
      <c r="M16" s="16">
        <v>20.399999999999999</v>
      </c>
      <c r="N16" s="8">
        <f t="shared" si="2"/>
        <v>1176.4705882352941</v>
      </c>
      <c r="O16" s="17">
        <v>0.18</v>
      </c>
      <c r="P16" s="17">
        <v>21.2</v>
      </c>
      <c r="Q16" s="9">
        <f t="shared" si="3"/>
        <v>1111.1111111111111</v>
      </c>
      <c r="R16" s="1">
        <f>(7*10^(-5)*A16+0.1521)*120</f>
        <v>18.336000000000002</v>
      </c>
      <c r="S16" s="23">
        <f>(8*10^(-5)*A16+0.1825)*120</f>
        <v>21.995999999999999</v>
      </c>
      <c r="T16" s="1">
        <f>(10^(-4)*A16+0.171)*120</f>
        <v>20.64</v>
      </c>
    </row>
    <row r="17" spans="1:20" x14ac:dyDescent="0.25">
      <c r="A17" s="3">
        <v>100</v>
      </c>
      <c r="B17" s="4">
        <v>50</v>
      </c>
      <c r="C17" s="4">
        <v>250</v>
      </c>
      <c r="D17" s="4"/>
      <c r="E17" s="4"/>
      <c r="F17" s="14">
        <v>0.17</v>
      </c>
      <c r="G17" s="14">
        <v>20.399999999999999</v>
      </c>
      <c r="H17" s="6">
        <f t="shared" si="0"/>
        <v>1470.5882352941176</v>
      </c>
      <c r="I17" s="15">
        <v>0.17</v>
      </c>
      <c r="J17" s="15">
        <v>20.399999999999999</v>
      </c>
      <c r="K17" s="7">
        <f t="shared" si="1"/>
        <v>1470.5882352941176</v>
      </c>
      <c r="L17" s="16">
        <v>0.18</v>
      </c>
      <c r="M17" s="16">
        <v>21.4</v>
      </c>
      <c r="N17" s="8">
        <f t="shared" si="2"/>
        <v>1388.8888888888889</v>
      </c>
      <c r="O17" s="17">
        <v>0.19</v>
      </c>
      <c r="P17" s="17">
        <v>22.4</v>
      </c>
      <c r="Q17" s="9">
        <f t="shared" si="3"/>
        <v>1315.7894736842104</v>
      </c>
      <c r="R17" s="1">
        <f t="shared" ref="R17:R24" si="7">(7*10^(-5)*A17+0.1521)*120</f>
        <v>19.092000000000002</v>
      </c>
      <c r="S17" s="23">
        <f t="shared" ref="S17:S24" si="8">(8*10^(-5)*A17+0.1825)*120</f>
        <v>22.86</v>
      </c>
      <c r="T17" s="1">
        <f t="shared" ref="T17:T24" si="9">(10^(-4)*A17+0.171)*120</f>
        <v>21.720000000000002</v>
      </c>
    </row>
    <row r="18" spans="1:20" x14ac:dyDescent="0.25">
      <c r="A18" s="3">
        <v>500</v>
      </c>
      <c r="B18" s="4">
        <v>250</v>
      </c>
      <c r="C18" s="4">
        <v>450</v>
      </c>
      <c r="D18" s="4"/>
      <c r="E18" s="4"/>
      <c r="F18" s="14">
        <v>0.2</v>
      </c>
      <c r="G18" s="14">
        <v>24</v>
      </c>
      <c r="H18" s="6">
        <f t="shared" si="0"/>
        <v>2250</v>
      </c>
      <c r="I18" s="15">
        <v>0.2</v>
      </c>
      <c r="J18" s="15">
        <v>24</v>
      </c>
      <c r="K18" s="7">
        <f t="shared" si="1"/>
        <v>2250</v>
      </c>
      <c r="L18" s="16">
        <v>0.22</v>
      </c>
      <c r="M18" s="16">
        <v>25.8</v>
      </c>
      <c r="N18" s="8">
        <f t="shared" si="2"/>
        <v>2045.4545454545455</v>
      </c>
      <c r="O18" s="17">
        <v>0.23</v>
      </c>
      <c r="P18" s="17">
        <v>27.6</v>
      </c>
      <c r="Q18" s="9">
        <f t="shared" si="3"/>
        <v>1956.5217391304348</v>
      </c>
      <c r="R18" s="1">
        <f t="shared" si="7"/>
        <v>22.452000000000002</v>
      </c>
      <c r="S18" s="23">
        <f t="shared" si="8"/>
        <v>26.7</v>
      </c>
      <c r="T18" s="1">
        <f t="shared" si="9"/>
        <v>26.520000000000003</v>
      </c>
    </row>
    <row r="19" spans="1:20" x14ac:dyDescent="0.25">
      <c r="A19" s="3">
        <v>1000</v>
      </c>
      <c r="B19" s="4">
        <v>500</v>
      </c>
      <c r="C19" s="4">
        <v>700</v>
      </c>
      <c r="D19" s="4"/>
      <c r="E19" s="4"/>
      <c r="F19" s="14">
        <v>0.24</v>
      </c>
      <c r="G19" s="14">
        <v>28.6</v>
      </c>
      <c r="H19" s="6">
        <f t="shared" si="0"/>
        <v>2916.666666666667</v>
      </c>
      <c r="I19" s="15">
        <v>0.24</v>
      </c>
      <c r="J19" s="15">
        <v>28.6</v>
      </c>
      <c r="K19" s="7">
        <f t="shared" si="1"/>
        <v>2916.666666666667</v>
      </c>
      <c r="L19" s="16">
        <v>0.26</v>
      </c>
      <c r="M19" s="16">
        <v>31.4</v>
      </c>
      <c r="N19" s="8">
        <f t="shared" si="2"/>
        <v>2692.3076923076924</v>
      </c>
      <c r="O19" s="17">
        <v>0.28999999999999998</v>
      </c>
      <c r="P19" s="17">
        <v>34.200000000000003</v>
      </c>
      <c r="Q19" s="9">
        <f t="shared" si="3"/>
        <v>2413.7931034482758</v>
      </c>
      <c r="R19" s="1">
        <f t="shared" si="7"/>
        <v>26.652000000000001</v>
      </c>
      <c r="S19" s="23">
        <f t="shared" si="8"/>
        <v>31.5</v>
      </c>
      <c r="T19" s="1">
        <f t="shared" si="9"/>
        <v>32.520000000000003</v>
      </c>
    </row>
    <row r="20" spans="1:20" x14ac:dyDescent="0.25">
      <c r="A20" s="3">
        <v>5000</v>
      </c>
      <c r="B20" s="4">
        <v>2500</v>
      </c>
      <c r="C20" s="4">
        <v>2700</v>
      </c>
      <c r="D20" s="4"/>
      <c r="E20" s="4"/>
      <c r="F20" s="14">
        <v>0.41</v>
      </c>
      <c r="G20" s="14">
        <v>48.6</v>
      </c>
      <c r="H20" s="6">
        <f t="shared" si="0"/>
        <v>6585.3658536585372</v>
      </c>
      <c r="I20" s="15">
        <v>0.41</v>
      </c>
      <c r="J20" s="15">
        <v>48.6</v>
      </c>
      <c r="K20" s="7">
        <f t="shared" si="1"/>
        <v>6585.3658536585372</v>
      </c>
      <c r="L20" s="16">
        <v>0.5</v>
      </c>
      <c r="M20" s="16">
        <v>59.4</v>
      </c>
      <c r="N20" s="8">
        <f t="shared" si="2"/>
        <v>5400</v>
      </c>
      <c r="O20" s="17">
        <v>0.59</v>
      </c>
      <c r="P20" s="17">
        <v>70.2</v>
      </c>
      <c r="Q20" s="9">
        <f t="shared" si="3"/>
        <v>4576.2711864406783</v>
      </c>
      <c r="R20" s="1">
        <f t="shared" si="7"/>
        <v>60.251999999999995</v>
      </c>
      <c r="S20" s="23">
        <f t="shared" si="8"/>
        <v>69.900000000000006</v>
      </c>
      <c r="T20" s="1">
        <f t="shared" si="9"/>
        <v>80.52000000000001</v>
      </c>
    </row>
    <row r="21" spans="1:20" x14ac:dyDescent="0.25">
      <c r="A21" s="3">
        <v>10000</v>
      </c>
      <c r="B21" s="4">
        <v>5000</v>
      </c>
      <c r="C21" s="4">
        <v>5200</v>
      </c>
      <c r="D21" s="4"/>
      <c r="E21" s="4"/>
      <c r="F21" s="14">
        <v>0.78</v>
      </c>
      <c r="G21" s="14">
        <v>93.6</v>
      </c>
      <c r="H21" s="6">
        <f t="shared" si="0"/>
        <v>6666.6666666666661</v>
      </c>
      <c r="I21" s="15">
        <v>0.78</v>
      </c>
      <c r="J21" s="15">
        <v>93.6</v>
      </c>
      <c r="K21" s="7">
        <f t="shared" si="1"/>
        <v>6666.6666666666661</v>
      </c>
      <c r="L21" s="16">
        <v>0.95</v>
      </c>
      <c r="M21" s="16">
        <v>114.4</v>
      </c>
      <c r="N21" s="8">
        <f t="shared" si="2"/>
        <v>5473.6842105263158</v>
      </c>
      <c r="O21" s="17">
        <v>1.1299999999999999</v>
      </c>
      <c r="P21" s="17">
        <v>135.19999999999999</v>
      </c>
      <c r="Q21" s="9">
        <f t="shared" si="3"/>
        <v>4601.7699115044252</v>
      </c>
      <c r="R21" s="1">
        <f t="shared" si="7"/>
        <v>102.25200000000001</v>
      </c>
      <c r="S21" s="23">
        <f t="shared" si="8"/>
        <v>117.9</v>
      </c>
      <c r="T21" s="1">
        <f t="shared" si="9"/>
        <v>140.52000000000001</v>
      </c>
    </row>
    <row r="22" spans="1:20" x14ac:dyDescent="0.25">
      <c r="A22" s="3">
        <v>15000</v>
      </c>
      <c r="B22" s="4">
        <v>7500</v>
      </c>
      <c r="C22" s="4">
        <v>7700</v>
      </c>
      <c r="D22" s="4"/>
      <c r="E22" s="4"/>
      <c r="F22" s="14">
        <v>1.1599999999999999</v>
      </c>
      <c r="G22" s="14">
        <v>138.6</v>
      </c>
      <c r="H22" s="6">
        <f t="shared" si="0"/>
        <v>6637.9310344827591</v>
      </c>
      <c r="I22" s="15">
        <v>1.1599999999999999</v>
      </c>
      <c r="J22" s="15">
        <v>138.6</v>
      </c>
      <c r="K22" s="7">
        <f t="shared" si="1"/>
        <v>6637.9310344827591</v>
      </c>
      <c r="L22" s="16">
        <v>1.41</v>
      </c>
      <c r="M22" s="16">
        <v>169.4</v>
      </c>
      <c r="N22" s="8">
        <f t="shared" si="2"/>
        <v>5460.9929078014184</v>
      </c>
      <c r="O22" s="17">
        <v>1.67</v>
      </c>
      <c r="P22" s="17">
        <v>200.2</v>
      </c>
      <c r="Q22" s="9">
        <f t="shared" si="3"/>
        <v>4610.7784431137725</v>
      </c>
      <c r="R22" s="1">
        <f t="shared" si="7"/>
        <v>144.25200000000001</v>
      </c>
      <c r="S22" s="23">
        <f t="shared" si="8"/>
        <v>165.90000000000003</v>
      </c>
      <c r="T22" s="1">
        <f t="shared" si="9"/>
        <v>200.52</v>
      </c>
    </row>
    <row r="23" spans="1:20" x14ac:dyDescent="0.25">
      <c r="A23" s="3">
        <v>20000</v>
      </c>
      <c r="B23" s="4">
        <v>10000</v>
      </c>
      <c r="C23" s="4">
        <v>10200</v>
      </c>
      <c r="D23" s="4"/>
      <c r="E23" s="4"/>
      <c r="F23" s="14">
        <v>1.46</v>
      </c>
      <c r="G23" s="14">
        <v>175.44</v>
      </c>
      <c r="H23" s="6">
        <f t="shared" si="0"/>
        <v>6986.3013698630139</v>
      </c>
      <c r="I23" s="15">
        <v>1.46</v>
      </c>
      <c r="J23" s="15">
        <v>175.44</v>
      </c>
      <c r="K23" s="7">
        <f t="shared" si="1"/>
        <v>6986.3013698630139</v>
      </c>
      <c r="L23" s="16">
        <v>1.79</v>
      </c>
      <c r="M23" s="16">
        <v>214.2</v>
      </c>
      <c r="N23" s="8">
        <f t="shared" si="2"/>
        <v>5698.324022346369</v>
      </c>
      <c r="O23" s="17">
        <v>2.11</v>
      </c>
      <c r="P23" s="17">
        <v>252.76</v>
      </c>
      <c r="Q23" s="9">
        <f t="shared" si="3"/>
        <v>4834.1232227488154</v>
      </c>
      <c r="R23" s="1">
        <f t="shared" si="7"/>
        <v>186.25200000000004</v>
      </c>
      <c r="S23" s="23">
        <f t="shared" si="8"/>
        <v>213.90000000000003</v>
      </c>
      <c r="T23" s="1">
        <f t="shared" si="9"/>
        <v>260.52</v>
      </c>
    </row>
    <row r="24" spans="1:20" x14ac:dyDescent="0.25">
      <c r="A24" s="3">
        <v>30000</v>
      </c>
      <c r="H24" s="6"/>
      <c r="K24" s="7"/>
      <c r="N24" s="8"/>
      <c r="Q24" s="9"/>
      <c r="R24" s="1">
        <f t="shared" si="7"/>
        <v>270.25200000000001</v>
      </c>
      <c r="S24" s="1">
        <f t="shared" si="8"/>
        <v>309.90000000000003</v>
      </c>
      <c r="T24" s="1">
        <f t="shared" si="9"/>
        <v>380.52</v>
      </c>
    </row>
    <row r="25" spans="1:20" x14ac:dyDescent="0.25">
      <c r="H25" s="6"/>
      <c r="K25" s="7"/>
      <c r="N25" s="8"/>
      <c r="Q25" s="9"/>
    </row>
    <row r="26" spans="1:20" x14ac:dyDescent="0.25">
      <c r="B26" s="2" t="s">
        <v>12</v>
      </c>
      <c r="C26" s="2" t="s">
        <v>8</v>
      </c>
      <c r="F26" s="14" t="s">
        <v>9</v>
      </c>
      <c r="G26" s="14" t="s">
        <v>10</v>
      </c>
      <c r="H26" s="6"/>
      <c r="K26" s="7"/>
      <c r="N26" s="8"/>
      <c r="Q26" s="9"/>
      <c r="R26" s="1" t="s">
        <v>3</v>
      </c>
      <c r="S26" s="1" t="s">
        <v>5</v>
      </c>
      <c r="T26" s="1" t="s">
        <v>6</v>
      </c>
    </row>
    <row r="27" spans="1:20" x14ac:dyDescent="0.25">
      <c r="A27" s="3">
        <v>10</v>
      </c>
      <c r="B27" s="4">
        <v>5</v>
      </c>
      <c r="C27" s="4">
        <v>250</v>
      </c>
      <c r="D27" s="4"/>
      <c r="E27" s="4"/>
      <c r="F27" s="14">
        <v>0.17</v>
      </c>
      <c r="G27" s="14">
        <v>20.399999999999999</v>
      </c>
      <c r="H27" s="6">
        <f t="shared" si="0"/>
        <v>1470.5882352941176</v>
      </c>
      <c r="I27" s="15">
        <v>0.17</v>
      </c>
      <c r="J27" s="15">
        <v>20.399999999999999</v>
      </c>
      <c r="K27" s="7">
        <f t="shared" si="1"/>
        <v>1470.5882352941176</v>
      </c>
      <c r="L27" s="16">
        <v>0.18</v>
      </c>
      <c r="M27" s="16">
        <v>21.6</v>
      </c>
      <c r="N27" s="8">
        <f t="shared" si="2"/>
        <v>1388.8888888888889</v>
      </c>
      <c r="O27" s="17">
        <v>0.19</v>
      </c>
      <c r="P27" s="17">
        <v>22.6</v>
      </c>
      <c r="Q27" s="9">
        <f t="shared" si="3"/>
        <v>1315.7894736842104</v>
      </c>
      <c r="R27" s="1">
        <f>(7*10^(-5)*A27+0.1607)*120</f>
        <v>19.368000000000002</v>
      </c>
      <c r="S27" s="1">
        <f>(8*10^(-5)*A27+0.1976)*120</f>
        <v>23.808</v>
      </c>
      <c r="T27" s="1">
        <f>(10^(-4)*A27+0.181)*120</f>
        <v>21.84</v>
      </c>
    </row>
    <row r="28" spans="1:20" x14ac:dyDescent="0.25">
      <c r="A28" s="3">
        <v>100</v>
      </c>
      <c r="B28" s="4">
        <v>50</v>
      </c>
      <c r="C28" s="4">
        <v>320</v>
      </c>
      <c r="D28" s="4"/>
      <c r="E28" s="4"/>
      <c r="F28" s="14">
        <v>0.18</v>
      </c>
      <c r="G28" s="14">
        <v>21.4</v>
      </c>
      <c r="H28" s="6">
        <f t="shared" si="0"/>
        <v>1777.7777777777778</v>
      </c>
      <c r="I28" s="15">
        <v>0.18</v>
      </c>
      <c r="J28" s="15">
        <v>21.4</v>
      </c>
      <c r="K28" s="7">
        <f t="shared" si="1"/>
        <v>1777.7777777777778</v>
      </c>
      <c r="L28" s="16">
        <v>0.19</v>
      </c>
      <c r="M28" s="16">
        <v>22.6</v>
      </c>
      <c r="N28" s="8">
        <f t="shared" si="2"/>
        <v>1684.2105263157894</v>
      </c>
      <c r="O28" s="17">
        <v>0.2</v>
      </c>
      <c r="P28" s="17">
        <v>23.8</v>
      </c>
      <c r="Q28" s="9">
        <f t="shared" si="3"/>
        <v>1600</v>
      </c>
      <c r="R28" s="1">
        <f t="shared" ref="R28:R35" si="10">(7*10^(-5)*A28+0.1607)*120</f>
        <v>20.124000000000002</v>
      </c>
      <c r="S28" s="1">
        <f t="shared" ref="S28:S35" si="11">(8*10^(-5)*A28+0.1976)*120</f>
        <v>24.672000000000001</v>
      </c>
      <c r="T28" s="1">
        <f t="shared" ref="T28:T35" si="12">(10^(-4)*A28+0.181)*120</f>
        <v>22.92</v>
      </c>
    </row>
    <row r="29" spans="1:20" x14ac:dyDescent="0.25">
      <c r="A29" s="3">
        <v>500</v>
      </c>
      <c r="B29" s="4">
        <v>250</v>
      </c>
      <c r="C29" s="4">
        <v>500</v>
      </c>
      <c r="D29" s="4"/>
      <c r="E29" s="4"/>
      <c r="F29" s="14">
        <v>0.21</v>
      </c>
      <c r="G29" s="14">
        <v>25</v>
      </c>
      <c r="H29" s="6">
        <f t="shared" si="0"/>
        <v>2380.9523809523812</v>
      </c>
      <c r="I29" s="15">
        <v>0.21</v>
      </c>
      <c r="J29" s="15">
        <v>25</v>
      </c>
      <c r="K29" s="7">
        <f t="shared" si="1"/>
        <v>2380.9523809523812</v>
      </c>
      <c r="L29" s="16">
        <v>0.23</v>
      </c>
      <c r="M29" s="16">
        <v>27</v>
      </c>
      <c r="N29" s="8">
        <f t="shared" si="2"/>
        <v>2173.913043478261</v>
      </c>
      <c r="O29" s="17">
        <v>0.24</v>
      </c>
      <c r="P29" s="17">
        <v>29</v>
      </c>
      <c r="Q29" s="9">
        <f t="shared" si="3"/>
        <v>2083.3333333333335</v>
      </c>
      <c r="R29" s="1">
        <f t="shared" si="10"/>
        <v>23.484000000000002</v>
      </c>
      <c r="S29" s="1">
        <f t="shared" si="11"/>
        <v>28.512</v>
      </c>
      <c r="T29" s="1">
        <f t="shared" si="12"/>
        <v>27.72</v>
      </c>
    </row>
    <row r="30" spans="1:20" x14ac:dyDescent="0.25">
      <c r="A30" s="3">
        <v>1000</v>
      </c>
      <c r="B30" s="4">
        <v>500</v>
      </c>
      <c r="C30" s="4">
        <v>750</v>
      </c>
      <c r="D30" s="4"/>
      <c r="E30" s="4"/>
      <c r="F30" s="14">
        <v>0.25</v>
      </c>
      <c r="G30" s="14">
        <v>29.4</v>
      </c>
      <c r="H30" s="6">
        <f t="shared" si="0"/>
        <v>3000</v>
      </c>
      <c r="I30" s="15">
        <v>0.25</v>
      </c>
      <c r="J30" s="15">
        <v>29.4</v>
      </c>
      <c r="K30" s="7">
        <f t="shared" si="1"/>
        <v>3000</v>
      </c>
      <c r="L30" s="16">
        <v>0.27</v>
      </c>
      <c r="M30" s="16">
        <v>32.4</v>
      </c>
      <c r="N30" s="8">
        <f t="shared" si="2"/>
        <v>2777.7777777777774</v>
      </c>
      <c r="O30" s="17">
        <v>0.3</v>
      </c>
      <c r="P30" s="17">
        <v>35.4</v>
      </c>
      <c r="Q30" s="9">
        <f t="shared" si="3"/>
        <v>2500</v>
      </c>
      <c r="R30" s="1">
        <f t="shared" si="10"/>
        <v>27.684000000000001</v>
      </c>
      <c r="S30" s="1">
        <f t="shared" si="11"/>
        <v>33.312000000000005</v>
      </c>
      <c r="T30" s="1">
        <f t="shared" si="12"/>
        <v>33.720000000000006</v>
      </c>
    </row>
    <row r="31" spans="1:20" x14ac:dyDescent="0.25">
      <c r="A31" s="3">
        <v>5000</v>
      </c>
      <c r="B31" s="4">
        <v>2500</v>
      </c>
      <c r="C31" s="4">
        <v>2750</v>
      </c>
      <c r="D31" s="4"/>
      <c r="E31" s="4"/>
      <c r="F31" s="14">
        <v>0.41</v>
      </c>
      <c r="G31" s="14">
        <v>49.39</v>
      </c>
      <c r="H31" s="6">
        <f t="shared" si="0"/>
        <v>6707.3170731707323</v>
      </c>
      <c r="I31" s="15">
        <v>0.41</v>
      </c>
      <c r="J31" s="15">
        <v>49.39</v>
      </c>
      <c r="K31" s="7">
        <f t="shared" si="1"/>
        <v>6707.3170731707323</v>
      </c>
      <c r="L31" s="16">
        <v>0.5</v>
      </c>
      <c r="M31" s="16">
        <v>60.39</v>
      </c>
      <c r="N31" s="8">
        <f t="shared" si="2"/>
        <v>5500</v>
      </c>
      <c r="O31" s="17">
        <v>0.6</v>
      </c>
      <c r="P31" s="17">
        <v>71.39</v>
      </c>
      <c r="Q31" s="9">
        <f t="shared" si="3"/>
        <v>4583.3333333333339</v>
      </c>
      <c r="R31" s="1">
        <f t="shared" si="10"/>
        <v>61.284000000000006</v>
      </c>
      <c r="S31" s="1">
        <f t="shared" si="11"/>
        <v>71.712000000000003</v>
      </c>
      <c r="T31" s="1">
        <f t="shared" si="12"/>
        <v>81.72</v>
      </c>
    </row>
    <row r="32" spans="1:20" x14ac:dyDescent="0.25">
      <c r="A32" s="3">
        <v>10000</v>
      </c>
      <c r="B32" s="4">
        <v>5000</v>
      </c>
      <c r="C32" s="4">
        <v>5250</v>
      </c>
      <c r="D32" s="4"/>
      <c r="E32" s="4"/>
      <c r="F32" s="14">
        <v>0.79</v>
      </c>
      <c r="G32" s="14">
        <v>94.4</v>
      </c>
      <c r="H32" s="6">
        <f t="shared" si="0"/>
        <v>6645.5696202531644</v>
      </c>
      <c r="I32" s="15">
        <v>0.79</v>
      </c>
      <c r="J32" s="15">
        <v>94.4</v>
      </c>
      <c r="K32" s="7">
        <f t="shared" si="1"/>
        <v>6645.5696202531644</v>
      </c>
      <c r="L32" s="16">
        <v>0.96</v>
      </c>
      <c r="M32" s="16">
        <v>115.4</v>
      </c>
      <c r="N32" s="8">
        <f t="shared" si="2"/>
        <v>5468.75</v>
      </c>
      <c r="O32" s="17">
        <v>1.1399999999999999</v>
      </c>
      <c r="P32" s="17">
        <v>136.4</v>
      </c>
      <c r="Q32" s="9">
        <f t="shared" si="3"/>
        <v>4605.2631578947376</v>
      </c>
      <c r="R32" s="1">
        <f t="shared" si="10"/>
        <v>103.28400000000001</v>
      </c>
      <c r="S32" s="1">
        <f t="shared" si="11"/>
        <v>119.712</v>
      </c>
      <c r="T32" s="1">
        <f t="shared" si="12"/>
        <v>141.72</v>
      </c>
    </row>
    <row r="33" spans="1:20" x14ac:dyDescent="0.25">
      <c r="A33" s="3">
        <v>15000</v>
      </c>
      <c r="B33" s="4">
        <v>7500</v>
      </c>
      <c r="C33" s="4">
        <v>7750</v>
      </c>
      <c r="D33" s="4"/>
      <c r="E33" s="4"/>
      <c r="F33" s="14">
        <v>1.1599999999999999</v>
      </c>
      <c r="G33" s="14">
        <v>139.41999999999999</v>
      </c>
      <c r="H33" s="6">
        <f t="shared" si="0"/>
        <v>6681.0344827586214</v>
      </c>
      <c r="I33" s="15">
        <v>1.1599999999999999</v>
      </c>
      <c r="J33" s="15">
        <v>139.41999999999999</v>
      </c>
      <c r="K33" s="7">
        <f t="shared" si="1"/>
        <v>6681.0344827586214</v>
      </c>
      <c r="L33" s="16">
        <v>1.42</v>
      </c>
      <c r="M33" s="16">
        <v>170.42</v>
      </c>
      <c r="N33" s="8">
        <f t="shared" si="2"/>
        <v>5457.7464788732395</v>
      </c>
      <c r="O33" s="17">
        <v>1.68</v>
      </c>
      <c r="P33" s="17">
        <v>201.42</v>
      </c>
      <c r="Q33" s="9">
        <f t="shared" si="3"/>
        <v>4613.0952380952385</v>
      </c>
      <c r="R33" s="1">
        <f t="shared" si="10"/>
        <v>145.28400000000002</v>
      </c>
      <c r="S33" s="1">
        <f t="shared" si="11"/>
        <v>167.71200000000002</v>
      </c>
      <c r="T33" s="1">
        <f t="shared" si="12"/>
        <v>201.72</v>
      </c>
    </row>
    <row r="34" spans="1:20" x14ac:dyDescent="0.25">
      <c r="A34" s="3">
        <v>20000</v>
      </c>
      <c r="B34" s="4">
        <v>10000</v>
      </c>
      <c r="C34" s="4">
        <v>10250</v>
      </c>
      <c r="D34" s="4"/>
      <c r="E34" s="4"/>
      <c r="F34" s="14">
        <v>1.47</v>
      </c>
      <c r="G34" s="14">
        <v>176.2</v>
      </c>
      <c r="H34" s="6">
        <f t="shared" si="0"/>
        <v>6972.7891156462583</v>
      </c>
      <c r="I34" s="15">
        <v>1.47</v>
      </c>
      <c r="J34" s="15">
        <v>176.2</v>
      </c>
      <c r="K34" s="7">
        <f t="shared" si="1"/>
        <v>6972.7891156462583</v>
      </c>
      <c r="L34" s="16">
        <v>1.79</v>
      </c>
      <c r="M34" s="16">
        <v>215.25</v>
      </c>
      <c r="N34" s="8">
        <f t="shared" si="2"/>
        <v>5726.2569832402232</v>
      </c>
      <c r="O34" s="17">
        <v>2.12</v>
      </c>
      <c r="P34" s="17">
        <v>254.2</v>
      </c>
      <c r="Q34" s="9">
        <f t="shared" si="3"/>
        <v>4834.9056603773579</v>
      </c>
      <c r="R34" s="1">
        <f t="shared" si="10"/>
        <v>187.28400000000002</v>
      </c>
      <c r="S34" s="1">
        <f t="shared" si="11"/>
        <v>215.71200000000002</v>
      </c>
      <c r="T34" s="1">
        <f t="shared" si="12"/>
        <v>261.72000000000003</v>
      </c>
    </row>
    <row r="35" spans="1:20" x14ac:dyDescent="0.25">
      <c r="A35" s="3">
        <v>30000</v>
      </c>
      <c r="H35" s="6"/>
      <c r="K35" s="7"/>
      <c r="N35" s="8"/>
      <c r="Q35" s="9"/>
      <c r="R35" s="1">
        <f t="shared" si="10"/>
        <v>271.28399999999999</v>
      </c>
      <c r="S35" s="1">
        <f t="shared" si="11"/>
        <v>311.71200000000005</v>
      </c>
      <c r="T35" s="1">
        <f t="shared" si="12"/>
        <v>381.72</v>
      </c>
    </row>
    <row r="36" spans="1:20" x14ac:dyDescent="0.25">
      <c r="H36" s="6"/>
      <c r="K36" s="7"/>
      <c r="N36" s="8"/>
      <c r="Q36" s="9"/>
    </row>
    <row r="37" spans="1:20" x14ac:dyDescent="0.25">
      <c r="B37" s="2" t="s">
        <v>1</v>
      </c>
      <c r="C37" s="2" t="s">
        <v>8</v>
      </c>
      <c r="F37" s="14" t="s">
        <v>9</v>
      </c>
      <c r="G37" s="14" t="s">
        <v>10</v>
      </c>
      <c r="H37" s="6"/>
      <c r="K37" s="7"/>
      <c r="N37" s="8"/>
      <c r="Q37" s="9"/>
      <c r="R37" s="1" t="s">
        <v>3</v>
      </c>
      <c r="S37" s="1" t="s">
        <v>5</v>
      </c>
      <c r="T37" s="1" t="s">
        <v>6</v>
      </c>
    </row>
    <row r="38" spans="1:20" x14ac:dyDescent="0.25">
      <c r="A38" s="3">
        <v>10</v>
      </c>
      <c r="B38" s="4">
        <v>5</v>
      </c>
      <c r="C38" s="4">
        <v>320</v>
      </c>
      <c r="D38" s="4"/>
      <c r="E38" s="4"/>
      <c r="F38" s="14">
        <v>0.18</v>
      </c>
      <c r="G38" s="14">
        <v>21.8</v>
      </c>
      <c r="H38" s="6">
        <f t="shared" si="0"/>
        <v>1777.7777777777778</v>
      </c>
      <c r="I38" s="15">
        <v>0.18</v>
      </c>
      <c r="J38" s="15">
        <v>21.8</v>
      </c>
      <c r="K38" s="7">
        <f t="shared" si="1"/>
        <v>1777.7777777777778</v>
      </c>
      <c r="L38" s="16">
        <v>0.19</v>
      </c>
      <c r="M38" s="16">
        <v>23</v>
      </c>
      <c r="N38" s="8">
        <f t="shared" si="2"/>
        <v>1684.2105263157894</v>
      </c>
      <c r="O38" s="17">
        <v>0.2</v>
      </c>
      <c r="P38" s="17">
        <v>24.4</v>
      </c>
      <c r="Q38" s="9">
        <f t="shared" si="3"/>
        <v>1600</v>
      </c>
      <c r="R38" s="1">
        <f>0.0078*A38+21.687</f>
        <v>21.765000000000001</v>
      </c>
      <c r="S38" s="1">
        <f>0.0097*A38+22.987</f>
        <v>23.084</v>
      </c>
      <c r="T38" s="1">
        <f>0.0117*A38+24.321</f>
        <v>24.438000000000002</v>
      </c>
    </row>
    <row r="39" spans="1:20" x14ac:dyDescent="0.25">
      <c r="A39" s="3">
        <v>100</v>
      </c>
      <c r="B39" s="4">
        <v>50</v>
      </c>
      <c r="C39" s="4">
        <v>370</v>
      </c>
      <c r="D39" s="4"/>
      <c r="E39" s="4"/>
      <c r="F39" s="14">
        <v>0.19</v>
      </c>
      <c r="G39" s="14">
        <v>22.6</v>
      </c>
      <c r="H39" s="6">
        <f t="shared" si="0"/>
        <v>1947.3684210526314</v>
      </c>
      <c r="I39" s="15">
        <v>0.19</v>
      </c>
      <c r="J39" s="15">
        <v>22.6</v>
      </c>
      <c r="K39" s="7">
        <f t="shared" si="1"/>
        <v>1947.3684210526314</v>
      </c>
      <c r="L39" s="16">
        <v>0.2</v>
      </c>
      <c r="M39" s="16">
        <v>24</v>
      </c>
      <c r="N39" s="8">
        <f t="shared" si="2"/>
        <v>1850</v>
      </c>
      <c r="O39" s="17">
        <v>0.21</v>
      </c>
      <c r="P39" s="17">
        <v>25.6</v>
      </c>
      <c r="Q39" s="9">
        <f t="shared" si="3"/>
        <v>1761.9047619047619</v>
      </c>
      <c r="R39" s="1">
        <f t="shared" ref="R39:R46" si="13">0.0078*A39+21.687</f>
        <v>22.467000000000002</v>
      </c>
      <c r="S39" s="1">
        <f t="shared" ref="S39:S46" si="14">0.0097*A39+22.987</f>
        <v>23.956999999999997</v>
      </c>
      <c r="T39" s="1">
        <f t="shared" ref="T39:T46" si="15">0.0117*A39+24.321</f>
        <v>25.491</v>
      </c>
    </row>
    <row r="40" spans="1:20" x14ac:dyDescent="0.25">
      <c r="A40" s="3">
        <v>500</v>
      </c>
      <c r="B40" s="4">
        <v>250</v>
      </c>
      <c r="C40" s="4">
        <v>570</v>
      </c>
      <c r="D40" s="4"/>
      <c r="E40" s="4"/>
      <c r="F40" s="14">
        <v>0.22</v>
      </c>
      <c r="G40" s="14">
        <v>26.2</v>
      </c>
      <c r="H40" s="6">
        <f t="shared" si="0"/>
        <v>2590.909090909091</v>
      </c>
      <c r="I40" s="15">
        <v>0.22</v>
      </c>
      <c r="J40" s="15">
        <v>26.2</v>
      </c>
      <c r="K40" s="7">
        <f t="shared" si="1"/>
        <v>2590.909090909091</v>
      </c>
      <c r="L40" s="16">
        <v>0.24</v>
      </c>
      <c r="M40" s="16">
        <v>28.4</v>
      </c>
      <c r="N40" s="8">
        <f t="shared" si="2"/>
        <v>2375</v>
      </c>
      <c r="O40" s="17">
        <v>0.26</v>
      </c>
      <c r="P40" s="17">
        <v>30.8</v>
      </c>
      <c r="Q40" s="9">
        <f t="shared" si="3"/>
        <v>2192.3076923076924</v>
      </c>
      <c r="R40" s="1">
        <f t="shared" si="13"/>
        <v>25.587</v>
      </c>
      <c r="S40" s="1">
        <f t="shared" si="14"/>
        <v>27.837</v>
      </c>
      <c r="T40" s="1">
        <f t="shared" si="15"/>
        <v>30.171000000000003</v>
      </c>
    </row>
    <row r="41" spans="1:20" x14ac:dyDescent="0.25">
      <c r="A41" s="3">
        <v>1000</v>
      </c>
      <c r="B41" s="4">
        <v>500</v>
      </c>
      <c r="C41" s="4">
        <v>820</v>
      </c>
      <c r="D41" s="4"/>
      <c r="E41" s="4"/>
      <c r="F41" s="14">
        <v>0.26</v>
      </c>
      <c r="G41" s="14">
        <v>30.6</v>
      </c>
      <c r="H41" s="6">
        <f t="shared" si="0"/>
        <v>3153.8461538461538</v>
      </c>
      <c r="I41" s="15">
        <v>0.26</v>
      </c>
      <c r="J41" s="15">
        <v>30.6</v>
      </c>
      <c r="K41" s="7">
        <f t="shared" si="1"/>
        <v>3153.8461538461538</v>
      </c>
      <c r="L41" s="16">
        <v>0.28000000000000003</v>
      </c>
      <c r="M41" s="16">
        <v>34</v>
      </c>
      <c r="N41" s="8">
        <f t="shared" si="2"/>
        <v>2928.5714285714284</v>
      </c>
      <c r="O41" s="17">
        <v>0.31</v>
      </c>
      <c r="P41" s="17">
        <v>37.200000000000003</v>
      </c>
      <c r="Q41" s="9">
        <f t="shared" si="3"/>
        <v>2645.1612903225805</v>
      </c>
      <c r="R41" s="1">
        <f t="shared" si="13"/>
        <v>29.487000000000002</v>
      </c>
      <c r="S41" s="1">
        <f t="shared" si="14"/>
        <v>32.686999999999998</v>
      </c>
      <c r="T41" s="1">
        <f t="shared" si="15"/>
        <v>36.021000000000001</v>
      </c>
    </row>
    <row r="42" spans="1:20" x14ac:dyDescent="0.25">
      <c r="A42" s="3">
        <v>5000</v>
      </c>
      <c r="B42" s="4">
        <v>2500</v>
      </c>
      <c r="C42" s="4">
        <v>2820</v>
      </c>
      <c r="D42" s="4"/>
      <c r="E42" s="4"/>
      <c r="F42" s="14">
        <v>0.42</v>
      </c>
      <c r="G42" s="14">
        <v>50.59</v>
      </c>
      <c r="H42" s="6">
        <f t="shared" si="0"/>
        <v>6714.2857142857147</v>
      </c>
      <c r="I42" s="15">
        <v>0.42</v>
      </c>
      <c r="J42" s="15">
        <v>50.59</v>
      </c>
      <c r="K42" s="7">
        <f t="shared" si="1"/>
        <v>6714.2857142857147</v>
      </c>
      <c r="L42" s="16">
        <v>0.52</v>
      </c>
      <c r="M42" s="16">
        <v>62.01</v>
      </c>
      <c r="N42" s="8">
        <f t="shared" si="2"/>
        <v>5423.0769230769229</v>
      </c>
      <c r="O42" s="17">
        <v>0.61</v>
      </c>
      <c r="P42" s="17">
        <v>73.209999999999994</v>
      </c>
      <c r="Q42" s="9">
        <f t="shared" si="3"/>
        <v>4622.9508196721308</v>
      </c>
      <c r="R42" s="1">
        <f t="shared" si="13"/>
        <v>60.686999999999998</v>
      </c>
      <c r="S42" s="1">
        <f t="shared" si="14"/>
        <v>71.486999999999995</v>
      </c>
      <c r="T42" s="1">
        <f t="shared" si="15"/>
        <v>82.820999999999998</v>
      </c>
    </row>
    <row r="43" spans="1:20" x14ac:dyDescent="0.25">
      <c r="A43" s="3">
        <v>10000</v>
      </c>
      <c r="B43" s="4">
        <v>5000</v>
      </c>
      <c r="C43" s="4">
        <v>5320</v>
      </c>
      <c r="D43" s="4"/>
      <c r="E43" s="4"/>
      <c r="F43" s="14">
        <v>0.8</v>
      </c>
      <c r="G43" s="14">
        <v>95.6</v>
      </c>
      <c r="H43" s="6">
        <f t="shared" si="0"/>
        <v>6650</v>
      </c>
      <c r="I43" s="15">
        <v>0.8</v>
      </c>
      <c r="J43" s="15">
        <v>95.6</v>
      </c>
      <c r="K43" s="7">
        <f t="shared" si="1"/>
        <v>6650</v>
      </c>
      <c r="L43" s="16">
        <v>0.98</v>
      </c>
      <c r="M43" s="16">
        <v>116.99</v>
      </c>
      <c r="N43" s="8">
        <f t="shared" si="2"/>
        <v>5428.5714285714284</v>
      </c>
      <c r="O43" s="17">
        <v>1.1499999999999999</v>
      </c>
      <c r="P43" s="17">
        <v>138.21</v>
      </c>
      <c r="Q43" s="9">
        <f t="shared" si="3"/>
        <v>4626.0869565217399</v>
      </c>
      <c r="R43" s="1">
        <f t="shared" si="13"/>
        <v>99.686999999999998</v>
      </c>
      <c r="S43" s="1">
        <f t="shared" si="14"/>
        <v>119.98699999999999</v>
      </c>
      <c r="T43" s="1">
        <f t="shared" si="15"/>
        <v>141.321</v>
      </c>
    </row>
    <row r="44" spans="1:20" x14ac:dyDescent="0.25">
      <c r="A44" s="3">
        <v>15000</v>
      </c>
      <c r="B44" s="4">
        <v>7500</v>
      </c>
      <c r="C44" s="4">
        <v>7820</v>
      </c>
      <c r="D44" s="4"/>
      <c r="E44" s="4"/>
      <c r="F44" s="14">
        <v>1.17</v>
      </c>
      <c r="G44" s="14">
        <v>140.6</v>
      </c>
      <c r="H44" s="6">
        <f t="shared" si="0"/>
        <v>6683.7606837606845</v>
      </c>
      <c r="I44" s="15">
        <v>1.17</v>
      </c>
      <c r="J44" s="15">
        <v>140.6</v>
      </c>
      <c r="K44" s="7">
        <f t="shared" si="1"/>
        <v>6683.7606837606845</v>
      </c>
      <c r="L44" s="16">
        <v>1.43</v>
      </c>
      <c r="M44" s="16">
        <v>171.96</v>
      </c>
      <c r="N44" s="8">
        <f t="shared" si="2"/>
        <v>5468.5314685314688</v>
      </c>
      <c r="O44" s="17">
        <v>1.69</v>
      </c>
      <c r="P44" s="17">
        <v>203.16</v>
      </c>
      <c r="Q44" s="9">
        <f t="shared" si="3"/>
        <v>4627.2189349112432</v>
      </c>
      <c r="R44" s="1">
        <f t="shared" si="13"/>
        <v>138.68700000000001</v>
      </c>
      <c r="S44" s="1">
        <f t="shared" si="14"/>
        <v>168.48699999999999</v>
      </c>
      <c r="T44" s="1">
        <f t="shared" si="15"/>
        <v>199.821</v>
      </c>
    </row>
    <row r="45" spans="1:20" x14ac:dyDescent="0.25">
      <c r="A45" s="3">
        <v>20000</v>
      </c>
      <c r="B45" s="4">
        <v>10000</v>
      </c>
      <c r="C45" s="4">
        <v>10320</v>
      </c>
      <c r="D45" s="4"/>
      <c r="E45" s="4"/>
      <c r="F45" s="14">
        <v>1.48</v>
      </c>
      <c r="G45" s="14">
        <v>177.4</v>
      </c>
      <c r="H45" s="6">
        <f t="shared" si="0"/>
        <v>6972.9729729729734</v>
      </c>
      <c r="I45" s="15">
        <v>1.48</v>
      </c>
      <c r="J45" s="15">
        <v>177.4</v>
      </c>
      <c r="K45" s="7">
        <f t="shared" si="1"/>
        <v>6972.9729729729734</v>
      </c>
      <c r="L45" s="16">
        <v>1.81</v>
      </c>
      <c r="M45" s="16">
        <v>216.62</v>
      </c>
      <c r="N45" s="8">
        <f t="shared" si="2"/>
        <v>5701.6574585635353</v>
      </c>
      <c r="O45" s="17">
        <v>2.13</v>
      </c>
      <c r="P45" s="17">
        <v>255.83</v>
      </c>
      <c r="Q45" s="9">
        <f t="shared" si="3"/>
        <v>4845.0704225352119</v>
      </c>
      <c r="R45" s="1">
        <f t="shared" si="13"/>
        <v>177.68700000000001</v>
      </c>
      <c r="S45" s="1">
        <f t="shared" si="14"/>
        <v>216.98699999999999</v>
      </c>
      <c r="T45" s="1">
        <f t="shared" si="15"/>
        <v>258.32100000000003</v>
      </c>
    </row>
    <row r="46" spans="1:20" x14ac:dyDescent="0.25">
      <c r="A46" s="3">
        <v>30000</v>
      </c>
      <c r="H46" s="6"/>
      <c r="K46" s="7"/>
      <c r="N46" s="8"/>
      <c r="Q46" s="9"/>
      <c r="R46" s="1">
        <f t="shared" si="13"/>
        <v>255.68700000000001</v>
      </c>
      <c r="S46" s="1">
        <f t="shared" si="14"/>
        <v>313.98700000000002</v>
      </c>
      <c r="T46" s="1">
        <f t="shared" si="15"/>
        <v>375.32100000000003</v>
      </c>
    </row>
    <row r="47" spans="1:20" x14ac:dyDescent="0.25">
      <c r="B47" s="1" t="s">
        <v>18</v>
      </c>
      <c r="H47" s="6"/>
      <c r="K47" s="7"/>
      <c r="N47" s="8"/>
      <c r="Q47" s="9"/>
    </row>
    <row r="48" spans="1:20" x14ac:dyDescent="0.25">
      <c r="B48" s="2" t="s">
        <v>13</v>
      </c>
      <c r="C48" s="2" t="s">
        <v>8</v>
      </c>
      <c r="F48" s="14" t="s">
        <v>9</v>
      </c>
      <c r="G48" s="14" t="s">
        <v>10</v>
      </c>
      <c r="H48" s="6"/>
      <c r="K48" s="7"/>
      <c r="N48" s="8"/>
      <c r="Q48" s="9"/>
      <c r="R48" s="1" t="s">
        <v>3</v>
      </c>
      <c r="S48" s="1" t="s">
        <v>5</v>
      </c>
      <c r="T48" s="1" t="s">
        <v>6</v>
      </c>
    </row>
    <row r="49" spans="1:20" x14ac:dyDescent="0.25">
      <c r="A49" s="3">
        <v>10</v>
      </c>
      <c r="B49" s="4">
        <v>5</v>
      </c>
      <c r="C49" s="4">
        <v>850</v>
      </c>
      <c r="D49" s="4"/>
      <c r="E49" s="4"/>
      <c r="F49" s="14">
        <v>0.39</v>
      </c>
      <c r="G49" s="14">
        <v>47.2</v>
      </c>
      <c r="H49" s="6">
        <f t="shared" si="0"/>
        <v>2179.4871794871792</v>
      </c>
      <c r="I49" s="15">
        <v>0.39</v>
      </c>
      <c r="J49" s="15">
        <v>47.2</v>
      </c>
      <c r="K49" s="7">
        <f t="shared" si="1"/>
        <v>2179.4871794871792</v>
      </c>
      <c r="L49" s="16">
        <v>0.42</v>
      </c>
      <c r="M49" s="16">
        <v>50.6</v>
      </c>
      <c r="N49" s="8">
        <f t="shared" si="2"/>
        <v>2023.8095238095239</v>
      </c>
      <c r="O49" s="17">
        <v>0.45</v>
      </c>
      <c r="P49" s="17">
        <v>54</v>
      </c>
      <c r="Q49" s="9">
        <f t="shared" si="3"/>
        <v>1888.8888888888889</v>
      </c>
      <c r="R49" s="1">
        <f xml:space="preserve"> 0.0153*A49+ 47.231</f>
        <v>47.384</v>
      </c>
      <c r="S49" s="1">
        <f xml:space="preserve"> 0.0191*A49 + 50.433</f>
        <v>50.624000000000002</v>
      </c>
      <c r="T49" s="1">
        <f>0.0228*A49+55.456</f>
        <v>55.684000000000005</v>
      </c>
    </row>
    <row r="50" spans="1:20" x14ac:dyDescent="0.25">
      <c r="A50" s="3">
        <v>100</v>
      </c>
      <c r="B50" s="4">
        <v>50</v>
      </c>
      <c r="C50" s="4">
        <v>940</v>
      </c>
      <c r="D50" s="4"/>
      <c r="E50" s="4"/>
      <c r="F50" s="14">
        <v>0.41</v>
      </c>
      <c r="G50" s="14">
        <v>48.8</v>
      </c>
      <c r="H50" s="6">
        <f t="shared" si="0"/>
        <v>2292.6829268292686</v>
      </c>
      <c r="I50" s="15">
        <v>0.41</v>
      </c>
      <c r="J50" s="15">
        <v>48.8</v>
      </c>
      <c r="K50" s="7">
        <f t="shared" si="1"/>
        <v>2292.6829268292686</v>
      </c>
      <c r="L50" s="16">
        <v>0.44</v>
      </c>
      <c r="M50" s="16">
        <v>52.6</v>
      </c>
      <c r="N50" s="8">
        <f t="shared" si="2"/>
        <v>2136.3636363636365</v>
      </c>
      <c r="O50" s="17">
        <v>0.47</v>
      </c>
      <c r="P50" s="17">
        <v>56.4</v>
      </c>
      <c r="Q50" s="9">
        <f t="shared" si="3"/>
        <v>2000</v>
      </c>
      <c r="R50" s="1">
        <f t="shared" ref="R50:R56" si="16" xml:space="preserve"> 0.0153*A50+ 47.231</f>
        <v>48.761000000000003</v>
      </c>
      <c r="S50" s="1">
        <f t="shared" ref="S50:S56" si="17" xml:space="preserve"> 0.0191*A50 + 50.433</f>
        <v>52.342999999999996</v>
      </c>
      <c r="T50" s="1">
        <f t="shared" ref="T50:T56" si="18">0.0228*A50+55.456</f>
        <v>57.736000000000004</v>
      </c>
    </row>
    <row r="51" spans="1:20" x14ac:dyDescent="0.25">
      <c r="A51" s="3">
        <v>500</v>
      </c>
      <c r="B51" s="4">
        <v>250</v>
      </c>
      <c r="C51" s="4">
        <v>1340</v>
      </c>
      <c r="D51" s="4"/>
      <c r="E51" s="4"/>
      <c r="F51" s="14">
        <v>0.47</v>
      </c>
      <c r="G51" s="14">
        <v>56</v>
      </c>
      <c r="H51" s="6">
        <f t="shared" si="0"/>
        <v>2851.0638297872342</v>
      </c>
      <c r="I51" s="15">
        <v>0.47</v>
      </c>
      <c r="J51" s="15">
        <v>56</v>
      </c>
      <c r="K51" s="7">
        <f t="shared" si="1"/>
        <v>2851.0638297872342</v>
      </c>
      <c r="L51" s="16">
        <v>0.51</v>
      </c>
      <c r="M51" s="16">
        <v>61.4</v>
      </c>
      <c r="N51" s="8">
        <f t="shared" si="2"/>
        <v>2627.4509803921569</v>
      </c>
      <c r="O51" s="17">
        <v>0.56000000000000005</v>
      </c>
      <c r="P51" s="17">
        <v>66.8</v>
      </c>
      <c r="Q51" s="9">
        <f t="shared" si="3"/>
        <v>2392.8571428571427</v>
      </c>
      <c r="R51" s="1">
        <f t="shared" si="16"/>
        <v>54.881</v>
      </c>
      <c r="S51" s="1">
        <f t="shared" si="17"/>
        <v>59.982999999999997</v>
      </c>
      <c r="T51" s="1">
        <f t="shared" si="18"/>
        <v>66.856000000000009</v>
      </c>
    </row>
    <row r="52" spans="1:20" x14ac:dyDescent="0.25">
      <c r="A52" s="3">
        <v>1000</v>
      </c>
      <c r="B52" s="4">
        <v>500</v>
      </c>
      <c r="C52" s="4">
        <v>1840</v>
      </c>
      <c r="D52" s="4"/>
      <c r="E52" s="4"/>
      <c r="F52" s="14">
        <v>0.54</v>
      </c>
      <c r="G52" s="14">
        <v>65.010000000000005</v>
      </c>
      <c r="H52" s="6">
        <f t="shared" si="0"/>
        <v>3407.4074074074074</v>
      </c>
      <c r="I52" s="15">
        <v>0.54</v>
      </c>
      <c r="J52" s="15">
        <v>65.010000000000005</v>
      </c>
      <c r="K52" s="7">
        <f t="shared" si="1"/>
        <v>3407.4074074074074</v>
      </c>
      <c r="L52" s="16">
        <v>0.6</v>
      </c>
      <c r="M52" s="16">
        <v>72.400000000000006</v>
      </c>
      <c r="N52" s="8">
        <f t="shared" si="2"/>
        <v>3066.666666666667</v>
      </c>
      <c r="O52" s="17">
        <v>0.67</v>
      </c>
      <c r="P52" s="17">
        <v>79.8</v>
      </c>
      <c r="Q52" s="9">
        <f t="shared" si="3"/>
        <v>2746.2686567164178</v>
      </c>
      <c r="R52" s="1">
        <f t="shared" si="16"/>
        <v>62.530999999999999</v>
      </c>
      <c r="S52" s="1">
        <f t="shared" si="17"/>
        <v>69.533000000000001</v>
      </c>
      <c r="T52" s="1">
        <f t="shared" si="18"/>
        <v>78.256</v>
      </c>
    </row>
    <row r="53" spans="1:20" x14ac:dyDescent="0.25">
      <c r="A53" s="3">
        <v>5000</v>
      </c>
      <c r="B53" s="4">
        <v>2500</v>
      </c>
      <c r="C53" s="4">
        <v>5840</v>
      </c>
      <c r="D53" s="4"/>
      <c r="E53" s="4"/>
      <c r="F53" s="14">
        <v>0.88</v>
      </c>
      <c r="G53" s="14">
        <v>105</v>
      </c>
      <c r="H53" s="6">
        <f t="shared" si="0"/>
        <v>6636.363636363636</v>
      </c>
      <c r="I53" s="15">
        <v>0.88</v>
      </c>
      <c r="J53" s="15">
        <v>105</v>
      </c>
      <c r="K53" s="7">
        <f t="shared" si="1"/>
        <v>6636.363636363636</v>
      </c>
      <c r="L53" s="16">
        <v>1.07</v>
      </c>
      <c r="M53" s="16">
        <v>128.41999999999999</v>
      </c>
      <c r="N53" s="8">
        <f t="shared" si="2"/>
        <v>5457.9439252336442</v>
      </c>
      <c r="O53" s="17">
        <v>1.27</v>
      </c>
      <c r="P53" s="17">
        <v>151.78</v>
      </c>
      <c r="Q53" s="9">
        <f t="shared" si="3"/>
        <v>4598.4251968503941</v>
      </c>
      <c r="R53" s="1">
        <f t="shared" si="16"/>
        <v>123.73099999999999</v>
      </c>
      <c r="S53" s="1">
        <f t="shared" si="17"/>
        <v>145.93299999999999</v>
      </c>
      <c r="T53" s="1">
        <f t="shared" si="18"/>
        <v>169.45600000000002</v>
      </c>
    </row>
    <row r="54" spans="1:20" x14ac:dyDescent="0.25">
      <c r="A54" s="3">
        <v>10000</v>
      </c>
      <c r="B54" s="4">
        <v>5000</v>
      </c>
      <c r="C54" s="4">
        <v>10840</v>
      </c>
      <c r="D54" s="4"/>
      <c r="E54" s="4"/>
      <c r="F54" s="14">
        <v>1.55</v>
      </c>
      <c r="G54" s="14">
        <v>186.45</v>
      </c>
      <c r="H54" s="6">
        <f t="shared" si="0"/>
        <v>6993.5483870967737</v>
      </c>
      <c r="I54" s="15">
        <v>1.55</v>
      </c>
      <c r="J54" s="15">
        <v>186.45</v>
      </c>
      <c r="K54" s="7">
        <f t="shared" si="1"/>
        <v>6993.5483870967737</v>
      </c>
      <c r="L54" s="16">
        <v>1.9</v>
      </c>
      <c r="M54" s="16">
        <v>227.64</v>
      </c>
      <c r="N54" s="8">
        <f t="shared" si="2"/>
        <v>5705.2631578947376</v>
      </c>
      <c r="O54" s="17">
        <v>2.2400000000000002</v>
      </c>
      <c r="P54" s="17">
        <v>268.83</v>
      </c>
      <c r="Q54" s="9">
        <f t="shared" si="3"/>
        <v>4839.2857142857138</v>
      </c>
      <c r="R54" s="1">
        <f t="shared" si="16"/>
        <v>200.23099999999999</v>
      </c>
      <c r="S54" s="1">
        <f t="shared" si="17"/>
        <v>241.43299999999999</v>
      </c>
      <c r="T54" s="1">
        <f t="shared" si="18"/>
        <v>283.45600000000002</v>
      </c>
    </row>
    <row r="55" spans="1:20" x14ac:dyDescent="0.25">
      <c r="A55" s="3">
        <v>15000</v>
      </c>
      <c r="B55" s="4">
        <v>7500</v>
      </c>
      <c r="C55" s="4">
        <v>15840</v>
      </c>
      <c r="D55" s="4"/>
      <c r="E55" s="4"/>
      <c r="F55" s="14">
        <v>2.27</v>
      </c>
      <c r="G55" s="14">
        <v>272.45</v>
      </c>
      <c r="H55" s="6">
        <f t="shared" si="0"/>
        <v>6977.9735682819382</v>
      </c>
      <c r="I55" s="15">
        <v>2.27</v>
      </c>
      <c r="J55" s="15">
        <v>272.45</v>
      </c>
      <c r="K55" s="7">
        <f t="shared" si="1"/>
        <v>6977.9735682819382</v>
      </c>
      <c r="L55" s="16">
        <v>2.77</v>
      </c>
      <c r="M55" s="16">
        <v>332.64</v>
      </c>
      <c r="N55" s="8">
        <f t="shared" si="2"/>
        <v>5718.4115523465707</v>
      </c>
      <c r="O55" s="17">
        <v>3.27</v>
      </c>
      <c r="P55" s="17">
        <v>392.83</v>
      </c>
      <c r="Q55" s="9">
        <f t="shared" si="3"/>
        <v>4844.0366972477068</v>
      </c>
      <c r="R55" s="1">
        <f t="shared" si="16"/>
        <v>276.73099999999999</v>
      </c>
      <c r="S55" s="1">
        <f t="shared" si="17"/>
        <v>336.93299999999999</v>
      </c>
      <c r="T55" s="1">
        <f t="shared" si="18"/>
        <v>397.45600000000002</v>
      </c>
    </row>
    <row r="56" spans="1:20" x14ac:dyDescent="0.25">
      <c r="A56" s="3">
        <v>20000</v>
      </c>
      <c r="B56" s="4">
        <v>10000</v>
      </c>
      <c r="C56" s="4">
        <v>20840</v>
      </c>
      <c r="D56" s="4"/>
      <c r="E56" s="4"/>
      <c r="F56" s="14">
        <v>2.99</v>
      </c>
      <c r="G56" s="14">
        <v>358.45</v>
      </c>
      <c r="H56" s="6">
        <f t="shared" si="0"/>
        <v>6969.8996655518386</v>
      </c>
      <c r="I56" s="15">
        <v>2.99</v>
      </c>
      <c r="J56" s="15">
        <v>358.45</v>
      </c>
      <c r="K56" s="7">
        <f t="shared" si="1"/>
        <v>6969.8996655518386</v>
      </c>
      <c r="L56" s="16">
        <v>3.65</v>
      </c>
      <c r="M56" s="16">
        <v>437.64</v>
      </c>
      <c r="N56" s="8">
        <f t="shared" si="2"/>
        <v>5709.5890410958909</v>
      </c>
      <c r="O56" s="17">
        <v>4.3099999999999996</v>
      </c>
      <c r="P56" s="17">
        <v>516.83000000000004</v>
      </c>
      <c r="Q56" s="9">
        <f t="shared" si="3"/>
        <v>4835.2668213457082</v>
      </c>
      <c r="R56" s="1">
        <f t="shared" si="16"/>
        <v>353.23099999999999</v>
      </c>
      <c r="S56" s="1">
        <f t="shared" si="17"/>
        <v>432.43299999999999</v>
      </c>
      <c r="T56" s="1">
        <f t="shared" si="18"/>
        <v>511.45600000000002</v>
      </c>
    </row>
    <row r="57" spans="1:20" x14ac:dyDescent="0.25">
      <c r="A57" s="3">
        <v>30000</v>
      </c>
      <c r="H57" s="6"/>
      <c r="K57" s="7"/>
      <c r="N57" s="8"/>
      <c r="Q57" s="9"/>
    </row>
    <row r="58" spans="1:20" x14ac:dyDescent="0.25">
      <c r="B58" s="1" t="s">
        <v>18</v>
      </c>
      <c r="H58" s="6"/>
      <c r="K58" s="7"/>
      <c r="N58" s="8"/>
      <c r="Q58" s="9"/>
    </row>
    <row r="59" spans="1:20" x14ac:dyDescent="0.25">
      <c r="B59" s="2" t="s">
        <v>14</v>
      </c>
      <c r="C59" s="2" t="s">
        <v>8</v>
      </c>
      <c r="F59" s="14" t="s">
        <v>9</v>
      </c>
      <c r="G59" s="14" t="s">
        <v>10</v>
      </c>
      <c r="H59" s="6"/>
      <c r="K59" s="7"/>
      <c r="N59" s="8"/>
      <c r="Q59" s="9"/>
      <c r="R59" s="1" t="s">
        <v>3</v>
      </c>
      <c r="S59" s="1" t="s">
        <v>5</v>
      </c>
      <c r="T59" s="1" t="s">
        <v>6</v>
      </c>
    </row>
    <row r="60" spans="1:20" x14ac:dyDescent="0.25">
      <c r="A60" s="3">
        <v>10</v>
      </c>
      <c r="B60" s="4">
        <v>5</v>
      </c>
      <c r="C60" s="4">
        <v>1050</v>
      </c>
      <c r="D60" s="4"/>
      <c r="E60" s="4"/>
      <c r="F60" s="14">
        <v>0.42</v>
      </c>
      <c r="G60" s="14">
        <v>50.8</v>
      </c>
      <c r="H60" s="6">
        <f t="shared" si="0"/>
        <v>2500</v>
      </c>
      <c r="I60" s="15">
        <v>0.42</v>
      </c>
      <c r="J60" s="15">
        <v>50.8</v>
      </c>
      <c r="K60" s="7">
        <f t="shared" si="1"/>
        <v>2500</v>
      </c>
      <c r="L60" s="16">
        <v>0.46</v>
      </c>
      <c r="M60" s="16">
        <v>55</v>
      </c>
      <c r="N60" s="8">
        <f t="shared" si="2"/>
        <v>2282.608695652174</v>
      </c>
      <c r="O60" s="17">
        <v>0.49</v>
      </c>
      <c r="P60" s="17">
        <v>59.2</v>
      </c>
      <c r="Q60" s="9">
        <f t="shared" si="3"/>
        <v>2142.8571428571431</v>
      </c>
      <c r="R60" s="1">
        <f xml:space="preserve"> 0.0153*A60 + 50.635</f>
        <v>50.787999999999997</v>
      </c>
      <c r="S60" s="1">
        <f xml:space="preserve"> 0.0191*A60 + 54.886</f>
        <v>55.077000000000005</v>
      </c>
      <c r="T60" s="24">
        <f xml:space="preserve"> 0.0229*A60 + 59.124</f>
        <v>59.353000000000002</v>
      </c>
    </row>
    <row r="61" spans="1:20" x14ac:dyDescent="0.25">
      <c r="A61" s="3">
        <v>100</v>
      </c>
      <c r="B61" s="4">
        <v>50</v>
      </c>
      <c r="C61" s="4">
        <v>1140</v>
      </c>
      <c r="D61" s="4"/>
      <c r="E61" s="4"/>
      <c r="F61" s="14">
        <v>0.44</v>
      </c>
      <c r="G61" s="14">
        <v>52.39</v>
      </c>
      <c r="H61" s="6">
        <f t="shared" si="0"/>
        <v>2590.909090909091</v>
      </c>
      <c r="I61" s="15">
        <v>0.44</v>
      </c>
      <c r="J61" s="15">
        <v>52.39</v>
      </c>
      <c r="K61" s="7">
        <f t="shared" si="1"/>
        <v>2590.909090909091</v>
      </c>
      <c r="L61" s="16">
        <v>0.48</v>
      </c>
      <c r="M61" s="16">
        <v>57</v>
      </c>
      <c r="N61" s="8">
        <f t="shared" si="2"/>
        <v>2375</v>
      </c>
      <c r="O61" s="17">
        <v>0.51</v>
      </c>
      <c r="P61" s="17">
        <v>61.61</v>
      </c>
      <c r="Q61" s="9">
        <f t="shared" si="3"/>
        <v>2235.294117647059</v>
      </c>
      <c r="R61" s="1">
        <f t="shared" ref="R61:R67" si="19" xml:space="preserve"> 0.0153*A61 + 50.635</f>
        <v>52.164999999999999</v>
      </c>
      <c r="S61" s="1">
        <f t="shared" ref="S61:S67" si="20" xml:space="preserve"> 0.0191*A61 + 54.886</f>
        <v>56.795999999999999</v>
      </c>
      <c r="T61" s="24">
        <f t="shared" ref="T61:T67" si="21" xml:space="preserve"> 0.0229*A61 + 59.124</f>
        <v>61.414000000000001</v>
      </c>
    </row>
    <row r="62" spans="1:20" x14ac:dyDescent="0.25">
      <c r="A62" s="3">
        <v>500</v>
      </c>
      <c r="B62" s="4">
        <v>250</v>
      </c>
      <c r="C62" s="4">
        <v>1540</v>
      </c>
      <c r="D62" s="4"/>
      <c r="E62" s="4"/>
      <c r="F62" s="14">
        <v>0.47</v>
      </c>
      <c r="G62" s="14">
        <v>56</v>
      </c>
      <c r="H62" s="6">
        <f t="shared" si="0"/>
        <v>3276.5957446808511</v>
      </c>
      <c r="I62" s="15">
        <v>0.47</v>
      </c>
      <c r="J62" s="15">
        <v>56</v>
      </c>
      <c r="K62" s="7">
        <f t="shared" si="1"/>
        <v>3276.5957446808511</v>
      </c>
      <c r="L62" s="16">
        <v>0.51</v>
      </c>
      <c r="M62" s="16">
        <v>61.4</v>
      </c>
      <c r="N62" s="8">
        <f t="shared" si="2"/>
        <v>3019.6078431372548</v>
      </c>
      <c r="O62" s="17">
        <v>0.56000000000000005</v>
      </c>
      <c r="P62" s="17">
        <v>66.8</v>
      </c>
      <c r="Q62" s="9">
        <f t="shared" si="3"/>
        <v>2749.9999999999995</v>
      </c>
      <c r="R62" s="1">
        <f t="shared" si="19"/>
        <v>58.284999999999997</v>
      </c>
      <c r="S62" s="1">
        <f t="shared" si="20"/>
        <v>64.436000000000007</v>
      </c>
      <c r="T62" s="24">
        <f t="shared" si="21"/>
        <v>70.573999999999998</v>
      </c>
    </row>
    <row r="63" spans="1:20" x14ac:dyDescent="0.25">
      <c r="A63" s="3">
        <v>1000</v>
      </c>
      <c r="B63" s="4">
        <v>500</v>
      </c>
      <c r="C63" s="4">
        <v>2040</v>
      </c>
      <c r="D63" s="4"/>
      <c r="E63" s="4"/>
      <c r="F63" s="14">
        <v>0.56999999999999995</v>
      </c>
      <c r="G63" s="14">
        <v>68.61</v>
      </c>
      <c r="H63" s="6">
        <f t="shared" si="0"/>
        <v>3578.9473684210529</v>
      </c>
      <c r="I63" s="15">
        <v>0.56999999999999995</v>
      </c>
      <c r="J63" s="15">
        <v>68.61</v>
      </c>
      <c r="K63" s="7">
        <f t="shared" si="1"/>
        <v>3578.9473684210529</v>
      </c>
      <c r="L63" s="16">
        <v>0.64</v>
      </c>
      <c r="M63" s="16">
        <v>76.81</v>
      </c>
      <c r="N63" s="8">
        <f t="shared" si="2"/>
        <v>3187.5</v>
      </c>
      <c r="O63" s="17">
        <v>0.71</v>
      </c>
      <c r="P63" s="17">
        <v>85.01</v>
      </c>
      <c r="Q63" s="9">
        <f t="shared" si="3"/>
        <v>2873.2394366197186</v>
      </c>
      <c r="R63" s="1">
        <f t="shared" si="19"/>
        <v>65.935000000000002</v>
      </c>
      <c r="S63" s="1">
        <f t="shared" si="20"/>
        <v>73.986000000000004</v>
      </c>
      <c r="T63" s="24">
        <f t="shared" si="21"/>
        <v>82.024000000000001</v>
      </c>
    </row>
    <row r="64" spans="1:20" x14ac:dyDescent="0.25">
      <c r="A64" s="3">
        <v>5000</v>
      </c>
      <c r="B64" s="4">
        <v>2500</v>
      </c>
      <c r="C64" s="4">
        <v>6040</v>
      </c>
      <c r="D64" s="4"/>
      <c r="E64" s="4"/>
      <c r="F64" s="14">
        <v>0.91</v>
      </c>
      <c r="G64" s="14">
        <v>108.6</v>
      </c>
      <c r="H64" s="6">
        <f t="shared" si="0"/>
        <v>6637.3626373626375</v>
      </c>
      <c r="I64" s="15">
        <v>0.91</v>
      </c>
      <c r="J64" s="15">
        <v>108.6</v>
      </c>
      <c r="K64" s="7">
        <f t="shared" si="1"/>
        <v>6637.3626373626375</v>
      </c>
      <c r="L64" s="16">
        <v>1.1100000000000001</v>
      </c>
      <c r="M64" s="16">
        <v>132.82</v>
      </c>
      <c r="N64" s="8">
        <f t="shared" si="2"/>
        <v>5441.4414414414414</v>
      </c>
      <c r="O64" s="17">
        <v>1.31</v>
      </c>
      <c r="P64" s="17">
        <v>156.97999999999999</v>
      </c>
      <c r="Q64" s="9">
        <f t="shared" si="3"/>
        <v>4610.6870229007636</v>
      </c>
      <c r="R64" s="1">
        <f t="shared" si="19"/>
        <v>127.13499999999999</v>
      </c>
      <c r="S64" s="1">
        <f t="shared" si="20"/>
        <v>150.386</v>
      </c>
      <c r="T64" s="24">
        <f t="shared" si="21"/>
        <v>173.624</v>
      </c>
    </row>
    <row r="65" spans="1:20" x14ac:dyDescent="0.25">
      <c r="A65" s="3">
        <v>10000</v>
      </c>
      <c r="B65" s="4">
        <v>5000</v>
      </c>
      <c r="C65" s="4">
        <v>11040</v>
      </c>
      <c r="D65" s="4"/>
      <c r="E65" s="4"/>
      <c r="F65" s="14">
        <v>1.58</v>
      </c>
      <c r="G65" s="14">
        <v>189.78</v>
      </c>
      <c r="H65" s="6">
        <f t="shared" si="0"/>
        <v>6987.3417721518981</v>
      </c>
      <c r="I65" s="15">
        <v>1.58</v>
      </c>
      <c r="J65" s="15">
        <v>189.78</v>
      </c>
      <c r="K65" s="7">
        <f t="shared" si="1"/>
        <v>6987.3417721518981</v>
      </c>
      <c r="L65" s="16">
        <v>1.93</v>
      </c>
      <c r="M65" s="16">
        <v>231.84</v>
      </c>
      <c r="N65" s="8">
        <f t="shared" si="2"/>
        <v>5720.2072538860102</v>
      </c>
      <c r="O65" s="17">
        <v>2.2799999999999998</v>
      </c>
      <c r="P65" s="17">
        <v>273.57</v>
      </c>
      <c r="Q65" s="9">
        <f t="shared" si="3"/>
        <v>4842.105263157895</v>
      </c>
      <c r="R65" s="1">
        <f t="shared" si="19"/>
        <v>203.63499999999999</v>
      </c>
      <c r="S65" s="1">
        <f t="shared" si="20"/>
        <v>245.886</v>
      </c>
      <c r="T65" s="24">
        <f t="shared" si="21"/>
        <v>288.12400000000002</v>
      </c>
    </row>
    <row r="66" spans="1:20" x14ac:dyDescent="0.25">
      <c r="A66" s="3">
        <v>15000</v>
      </c>
      <c r="B66" s="4">
        <v>7500</v>
      </c>
      <c r="C66" s="4">
        <v>16040</v>
      </c>
      <c r="D66" s="4"/>
      <c r="E66" s="4"/>
      <c r="F66" s="14">
        <v>2.2999999999999998</v>
      </c>
      <c r="G66" s="14">
        <v>275.73</v>
      </c>
      <c r="H66" s="6">
        <f t="shared" si="0"/>
        <v>6973.913043478261</v>
      </c>
      <c r="I66" s="15">
        <v>2.2999999999999998</v>
      </c>
      <c r="J66" s="15">
        <v>275.73</v>
      </c>
      <c r="K66" s="7">
        <f t="shared" si="1"/>
        <v>6973.913043478261</v>
      </c>
      <c r="L66" s="16">
        <v>2.81</v>
      </c>
      <c r="M66" s="16">
        <v>336.84</v>
      </c>
      <c r="N66" s="8">
        <f t="shared" si="2"/>
        <v>5708.1850533807828</v>
      </c>
      <c r="O66" s="17">
        <v>3.31</v>
      </c>
      <c r="P66" s="17">
        <v>397.63</v>
      </c>
      <c r="Q66" s="9">
        <f t="shared" si="3"/>
        <v>4845.9214501510569</v>
      </c>
      <c r="R66" s="1">
        <f t="shared" si="19"/>
        <v>280.13499999999999</v>
      </c>
      <c r="S66" s="1">
        <f t="shared" si="20"/>
        <v>341.38600000000002</v>
      </c>
      <c r="T66" s="24">
        <f t="shared" si="21"/>
        <v>402.62400000000002</v>
      </c>
    </row>
    <row r="67" spans="1:20" x14ac:dyDescent="0.25">
      <c r="A67" s="3">
        <v>20000</v>
      </c>
      <c r="B67" s="4">
        <v>10000</v>
      </c>
      <c r="C67" s="4">
        <v>21040</v>
      </c>
      <c r="D67" s="4"/>
      <c r="E67" s="4"/>
      <c r="F67" s="14">
        <v>3.02</v>
      </c>
      <c r="G67" s="14">
        <v>361.89</v>
      </c>
      <c r="H67" s="6">
        <f t="shared" si="0"/>
        <v>6966.8874172185433</v>
      </c>
      <c r="I67" s="15">
        <v>3.02</v>
      </c>
      <c r="J67" s="15">
        <v>361.89</v>
      </c>
      <c r="K67" s="7">
        <f t="shared" si="1"/>
        <v>6966.8874172185433</v>
      </c>
      <c r="L67" s="16">
        <v>3.68</v>
      </c>
      <c r="M67" s="16">
        <v>441.84</v>
      </c>
      <c r="N67" s="8">
        <f t="shared" si="2"/>
        <v>5717.391304347826</v>
      </c>
      <c r="O67" s="17">
        <v>4.3499999999999996</v>
      </c>
      <c r="P67" s="17">
        <v>521.58000000000004</v>
      </c>
      <c r="Q67" s="9">
        <f t="shared" si="3"/>
        <v>4836.7816091954028</v>
      </c>
      <c r="R67" s="1">
        <f t="shared" si="19"/>
        <v>356.63499999999999</v>
      </c>
      <c r="S67" s="1">
        <f t="shared" si="20"/>
        <v>436.88600000000002</v>
      </c>
      <c r="T67" s="24">
        <f t="shared" si="21"/>
        <v>517.12400000000002</v>
      </c>
    </row>
    <row r="68" spans="1:20" x14ac:dyDescent="0.25">
      <c r="A68" s="3">
        <v>30000</v>
      </c>
      <c r="H68" s="6"/>
      <c r="K68" s="7"/>
      <c r="N68" s="8"/>
      <c r="Q68" s="9"/>
    </row>
    <row r="69" spans="1:20" x14ac:dyDescent="0.25">
      <c r="B69" s="1" t="s">
        <v>18</v>
      </c>
      <c r="H69" s="6"/>
      <c r="K69" s="7"/>
      <c r="N69" s="8"/>
      <c r="Q69" s="9"/>
    </row>
    <row r="70" spans="1:20" x14ac:dyDescent="0.25">
      <c r="B70" s="2" t="s">
        <v>15</v>
      </c>
      <c r="C70" s="2" t="s">
        <v>8</v>
      </c>
      <c r="F70" s="14" t="s">
        <v>9</v>
      </c>
      <c r="G70" s="14" t="s">
        <v>10</v>
      </c>
      <c r="H70" s="6"/>
      <c r="K70" s="7"/>
      <c r="N70" s="8"/>
      <c r="Q70" s="9"/>
      <c r="R70" s="1" t="s">
        <v>3</v>
      </c>
      <c r="S70" s="1" t="s">
        <v>5</v>
      </c>
      <c r="T70" s="1" t="s">
        <v>6</v>
      </c>
    </row>
    <row r="71" spans="1:20" x14ac:dyDescent="0.25">
      <c r="A71" s="3">
        <v>10</v>
      </c>
      <c r="B71" s="4">
        <v>5</v>
      </c>
      <c r="C71" s="4">
        <v>1250</v>
      </c>
      <c r="D71" s="4"/>
      <c r="E71" s="4"/>
      <c r="F71" s="14">
        <v>0.45</v>
      </c>
      <c r="G71" s="14">
        <v>54.4</v>
      </c>
      <c r="H71" s="6">
        <f t="shared" ref="H71:H106" si="22">C71/F71</f>
        <v>2777.7777777777778</v>
      </c>
      <c r="I71" s="15">
        <v>0.45</v>
      </c>
      <c r="J71" s="15">
        <v>54.4</v>
      </c>
      <c r="K71" s="7">
        <f t="shared" ref="K71:K106" si="23">C71/I71</f>
        <v>2777.7777777777778</v>
      </c>
      <c r="L71" s="16">
        <v>0.5</v>
      </c>
      <c r="M71" s="16">
        <v>59.4</v>
      </c>
      <c r="N71" s="8">
        <f t="shared" ref="N71:N106" si="24">C71/L71</f>
        <v>2500</v>
      </c>
      <c r="O71" s="17">
        <v>0.54</v>
      </c>
      <c r="P71" s="17">
        <v>64.400000000000006</v>
      </c>
      <c r="Q71" s="9">
        <f t="shared" ref="Q71:Q106" si="25">C71/O71</f>
        <v>2314.8148148148148</v>
      </c>
      <c r="R71" s="1">
        <f>0.0153*A71+53.993</f>
        <v>54.146000000000001</v>
      </c>
      <c r="S71" s="1">
        <f>0.019*A71+59.239</f>
        <v>59.428999999999995</v>
      </c>
      <c r="T71" s="1">
        <f>0.0229*A71+67.124</f>
        <v>67.352999999999994</v>
      </c>
    </row>
    <row r="72" spans="1:20" x14ac:dyDescent="0.25">
      <c r="A72" s="3">
        <v>100</v>
      </c>
      <c r="B72" s="4">
        <v>50</v>
      </c>
      <c r="C72" s="4">
        <v>1340</v>
      </c>
      <c r="D72" s="4"/>
      <c r="E72" s="4"/>
      <c r="F72" s="14">
        <v>0.47</v>
      </c>
      <c r="G72" s="14">
        <v>56</v>
      </c>
      <c r="H72" s="6">
        <f t="shared" si="22"/>
        <v>2851.0638297872342</v>
      </c>
      <c r="I72" s="15">
        <v>0.47</v>
      </c>
      <c r="J72" s="15">
        <v>56</v>
      </c>
      <c r="K72" s="7">
        <f t="shared" si="23"/>
        <v>2851.0638297872342</v>
      </c>
      <c r="L72" s="16">
        <v>0.51</v>
      </c>
      <c r="M72" s="16">
        <v>61.4</v>
      </c>
      <c r="N72" s="8">
        <f t="shared" si="24"/>
        <v>2627.4509803921569</v>
      </c>
      <c r="O72" s="17">
        <v>0.56000000000000005</v>
      </c>
      <c r="P72" s="17">
        <v>66.8</v>
      </c>
      <c r="Q72" s="9">
        <f t="shared" si="25"/>
        <v>2392.8571428571427</v>
      </c>
      <c r="R72" s="1">
        <f t="shared" ref="R72:R78" si="26">0.0153*A72+53.993</f>
        <v>55.523000000000003</v>
      </c>
      <c r="S72" s="1">
        <f t="shared" ref="S72:S78" si="27">0.019*A72+59.239</f>
        <v>61.138999999999996</v>
      </c>
      <c r="T72" s="1">
        <f t="shared" ref="T72:T78" si="28">0.0229*A72+67.124</f>
        <v>69.414000000000001</v>
      </c>
    </row>
    <row r="73" spans="1:20" x14ac:dyDescent="0.25">
      <c r="A73" s="3">
        <v>500</v>
      </c>
      <c r="B73" s="4">
        <v>250</v>
      </c>
      <c r="C73" s="4">
        <v>1740</v>
      </c>
      <c r="D73" s="4"/>
      <c r="E73" s="4"/>
      <c r="F73" s="14">
        <v>0.53</v>
      </c>
      <c r="G73" s="14">
        <v>63.2</v>
      </c>
      <c r="H73" s="6">
        <f t="shared" si="22"/>
        <v>3283.018867924528</v>
      </c>
      <c r="I73" s="15">
        <v>0.53</v>
      </c>
      <c r="J73" s="15">
        <v>63.2</v>
      </c>
      <c r="K73" s="7">
        <f t="shared" si="23"/>
        <v>3283.018867924528</v>
      </c>
      <c r="L73" s="16">
        <v>0.59</v>
      </c>
      <c r="M73" s="16">
        <v>70.19</v>
      </c>
      <c r="N73" s="8">
        <f t="shared" si="24"/>
        <v>2949.1525423728817</v>
      </c>
      <c r="O73" s="17">
        <v>0.64</v>
      </c>
      <c r="P73" s="17">
        <v>77.2</v>
      </c>
      <c r="Q73" s="9">
        <f t="shared" si="25"/>
        <v>2718.75</v>
      </c>
      <c r="R73" s="1">
        <f t="shared" si="26"/>
        <v>61.643000000000001</v>
      </c>
      <c r="S73" s="1">
        <f t="shared" si="27"/>
        <v>68.739000000000004</v>
      </c>
      <c r="T73" s="1">
        <f t="shared" si="28"/>
        <v>78.573999999999998</v>
      </c>
    </row>
    <row r="74" spans="1:20" x14ac:dyDescent="0.25">
      <c r="A74" s="3">
        <v>1000</v>
      </c>
      <c r="B74" s="4">
        <v>500</v>
      </c>
      <c r="C74" s="4">
        <v>2240</v>
      </c>
      <c r="D74" s="4"/>
      <c r="E74" s="4"/>
      <c r="F74" s="14">
        <v>0.6</v>
      </c>
      <c r="G74" s="14">
        <v>71.989999999999995</v>
      </c>
      <c r="H74" s="6">
        <f t="shared" si="22"/>
        <v>3733.3333333333335</v>
      </c>
      <c r="I74" s="15">
        <v>0.6</v>
      </c>
      <c r="J74" s="15">
        <v>71.989999999999995</v>
      </c>
      <c r="K74" s="7">
        <f t="shared" si="23"/>
        <v>3733.3333333333335</v>
      </c>
      <c r="L74" s="16">
        <v>0.68</v>
      </c>
      <c r="M74" s="16">
        <v>81.2</v>
      </c>
      <c r="N74" s="8">
        <f t="shared" si="24"/>
        <v>3294.1176470588234</v>
      </c>
      <c r="O74" s="17">
        <v>0.75</v>
      </c>
      <c r="P74" s="17">
        <v>90.2</v>
      </c>
      <c r="Q74" s="9">
        <f t="shared" si="25"/>
        <v>2986.6666666666665</v>
      </c>
      <c r="R74" s="1">
        <f t="shared" si="26"/>
        <v>69.293000000000006</v>
      </c>
      <c r="S74" s="1">
        <f t="shared" si="27"/>
        <v>78.239000000000004</v>
      </c>
      <c r="T74" s="1">
        <f t="shared" si="28"/>
        <v>90.024000000000001</v>
      </c>
    </row>
    <row r="75" spans="1:20" x14ac:dyDescent="0.25">
      <c r="A75" s="3">
        <v>5000</v>
      </c>
      <c r="B75" s="4">
        <v>2500</v>
      </c>
      <c r="C75" s="4">
        <v>6240</v>
      </c>
      <c r="D75" s="4"/>
      <c r="E75" s="4"/>
      <c r="F75" s="14">
        <v>0.94</v>
      </c>
      <c r="G75" s="14">
        <v>112.2</v>
      </c>
      <c r="H75" s="6">
        <f t="shared" si="22"/>
        <v>6638.2978723404258</v>
      </c>
      <c r="I75" s="15">
        <v>0.94</v>
      </c>
      <c r="J75" s="15">
        <v>112.2</v>
      </c>
      <c r="K75" s="7">
        <f t="shared" si="23"/>
        <v>6638.2978723404258</v>
      </c>
      <c r="L75" s="16">
        <v>1.1399999999999999</v>
      </c>
      <c r="M75" s="16">
        <v>137.22</v>
      </c>
      <c r="N75" s="8">
        <f t="shared" si="24"/>
        <v>5473.6842105263158</v>
      </c>
      <c r="O75" s="17">
        <v>1.35</v>
      </c>
      <c r="P75" s="17">
        <v>162.18</v>
      </c>
      <c r="Q75" s="9">
        <f t="shared" si="25"/>
        <v>4622.2222222222217</v>
      </c>
      <c r="R75" s="1">
        <f t="shared" si="26"/>
        <v>130.49299999999999</v>
      </c>
      <c r="S75" s="1">
        <f t="shared" si="27"/>
        <v>154.239</v>
      </c>
      <c r="T75" s="1">
        <f t="shared" si="28"/>
        <v>181.624</v>
      </c>
    </row>
    <row r="76" spans="1:20" x14ac:dyDescent="0.25">
      <c r="A76" s="3">
        <v>10000</v>
      </c>
      <c r="B76" s="4">
        <v>5000</v>
      </c>
      <c r="C76" s="4">
        <v>11240</v>
      </c>
      <c r="D76" s="4"/>
      <c r="E76" s="4"/>
      <c r="F76" s="14">
        <v>1.61</v>
      </c>
      <c r="G76" s="14">
        <v>193.22</v>
      </c>
      <c r="H76" s="6">
        <f t="shared" si="22"/>
        <v>6981.3664596273284</v>
      </c>
      <c r="I76" s="15">
        <v>1.61</v>
      </c>
      <c r="J76" s="15">
        <v>193.22</v>
      </c>
      <c r="K76" s="7">
        <f t="shared" si="23"/>
        <v>6981.3664596273284</v>
      </c>
      <c r="L76" s="16">
        <v>1.97</v>
      </c>
      <c r="M76" s="16">
        <v>236.04</v>
      </c>
      <c r="N76" s="8">
        <f t="shared" si="24"/>
        <v>5705.5837563451778</v>
      </c>
      <c r="O76" s="17">
        <v>2.3199999999999998</v>
      </c>
      <c r="P76" s="17">
        <v>278.64</v>
      </c>
      <c r="Q76" s="9">
        <f t="shared" si="25"/>
        <v>4844.8275862068967</v>
      </c>
      <c r="R76" s="1">
        <f t="shared" si="26"/>
        <v>206.99299999999999</v>
      </c>
      <c r="S76" s="1">
        <f t="shared" si="27"/>
        <v>249.239</v>
      </c>
      <c r="T76" s="1">
        <f t="shared" si="28"/>
        <v>296.12400000000002</v>
      </c>
    </row>
    <row r="77" spans="1:20" x14ac:dyDescent="0.25">
      <c r="A77" s="3">
        <v>15000</v>
      </c>
      <c r="B77" s="4">
        <v>7500</v>
      </c>
      <c r="C77" s="4">
        <v>16240</v>
      </c>
      <c r="D77" s="4"/>
      <c r="E77" s="4"/>
      <c r="F77" s="14">
        <v>2.33</v>
      </c>
      <c r="G77" s="14">
        <v>279.17</v>
      </c>
      <c r="H77" s="6">
        <f t="shared" si="22"/>
        <v>6969.9570815450643</v>
      </c>
      <c r="I77" s="15">
        <v>2.33</v>
      </c>
      <c r="J77" s="15">
        <v>279.17</v>
      </c>
      <c r="K77" s="7">
        <f t="shared" si="23"/>
        <v>6969.9570815450643</v>
      </c>
      <c r="L77" s="16">
        <v>2.84</v>
      </c>
      <c r="M77" s="16">
        <v>341.04</v>
      </c>
      <c r="N77" s="8">
        <f t="shared" si="24"/>
        <v>5718.3098591549297</v>
      </c>
      <c r="O77" s="17">
        <v>3.36</v>
      </c>
      <c r="P77" s="17">
        <v>402.59</v>
      </c>
      <c r="Q77" s="9">
        <f t="shared" si="25"/>
        <v>4833.3333333333339</v>
      </c>
      <c r="R77" s="1">
        <f t="shared" si="26"/>
        <v>283.49299999999999</v>
      </c>
      <c r="S77" s="1">
        <f t="shared" si="27"/>
        <v>344.23899999999998</v>
      </c>
      <c r="T77" s="1">
        <f t="shared" si="28"/>
        <v>410.62400000000002</v>
      </c>
    </row>
    <row r="78" spans="1:20" x14ac:dyDescent="0.25">
      <c r="A78" s="3">
        <v>20000</v>
      </c>
      <c r="B78" s="4">
        <v>10000</v>
      </c>
      <c r="C78" s="4">
        <v>21240</v>
      </c>
      <c r="D78" s="4"/>
      <c r="E78" s="4"/>
      <c r="F78" s="14">
        <v>3.04</v>
      </c>
      <c r="G78" s="14">
        <v>365.12</v>
      </c>
      <c r="H78" s="6">
        <f t="shared" si="22"/>
        <v>6986.8421052631575</v>
      </c>
      <c r="I78" s="15">
        <v>3.04</v>
      </c>
      <c r="J78" s="15">
        <v>365.12</v>
      </c>
      <c r="K78" s="7">
        <f t="shared" si="23"/>
        <v>6986.8421052631575</v>
      </c>
      <c r="L78" s="16">
        <v>3.72</v>
      </c>
      <c r="M78" s="16">
        <v>446.04</v>
      </c>
      <c r="N78" s="8">
        <f t="shared" si="24"/>
        <v>5709.6774193548381</v>
      </c>
      <c r="O78" s="17">
        <v>4.3899999999999997</v>
      </c>
      <c r="P78" s="17">
        <v>526.54</v>
      </c>
      <c r="Q78" s="9">
        <f t="shared" si="25"/>
        <v>4838.2687927107063</v>
      </c>
      <c r="R78" s="1">
        <f t="shared" si="26"/>
        <v>359.99299999999999</v>
      </c>
      <c r="S78" s="1">
        <f t="shared" si="27"/>
        <v>439.23899999999998</v>
      </c>
      <c r="T78" s="1">
        <f t="shared" si="28"/>
        <v>525.12400000000002</v>
      </c>
    </row>
    <row r="79" spans="1:20" x14ac:dyDescent="0.25">
      <c r="A79" s="3">
        <v>30000</v>
      </c>
      <c r="H79" s="6"/>
      <c r="J79" s="11" t="s">
        <v>16</v>
      </c>
      <c r="K79" s="7"/>
      <c r="N79" s="8"/>
      <c r="Q79" s="9"/>
    </row>
    <row r="80" spans="1:20" x14ac:dyDescent="0.25">
      <c r="H80" s="6"/>
      <c r="K80" s="7"/>
      <c r="N80" s="8"/>
      <c r="Q80" s="9"/>
    </row>
    <row r="81" spans="1:20" x14ac:dyDescent="0.25">
      <c r="B81" s="1" t="s">
        <v>18</v>
      </c>
      <c r="H81" s="6"/>
      <c r="K81" s="7"/>
      <c r="N81" s="8"/>
      <c r="Q81" s="9"/>
    </row>
    <row r="82" spans="1:20" x14ac:dyDescent="0.25">
      <c r="A82" s="2" t="s">
        <v>0</v>
      </c>
      <c r="B82" s="5" t="s">
        <v>17</v>
      </c>
      <c r="C82" s="2" t="s">
        <v>2</v>
      </c>
      <c r="D82" s="2"/>
      <c r="E82" s="2"/>
      <c r="F82" s="14" t="s">
        <v>3</v>
      </c>
      <c r="H82" s="6"/>
      <c r="I82" s="15" t="s">
        <v>4</v>
      </c>
      <c r="K82" s="7"/>
      <c r="L82" s="16" t="s">
        <v>5</v>
      </c>
      <c r="N82" s="8"/>
      <c r="O82" s="17" t="s">
        <v>6</v>
      </c>
      <c r="Q82" s="9"/>
    </row>
    <row r="83" spans="1:20" x14ac:dyDescent="0.25">
      <c r="B83" s="5"/>
      <c r="C83" s="2" t="s">
        <v>8</v>
      </c>
      <c r="F83" s="14" t="s">
        <v>9</v>
      </c>
      <c r="G83" s="14" t="s">
        <v>10</v>
      </c>
      <c r="H83" s="6"/>
      <c r="K83" s="7"/>
      <c r="N83" s="8"/>
      <c r="Q83" s="9"/>
      <c r="R83" s="1" t="s">
        <v>3</v>
      </c>
      <c r="S83" s="1" t="s">
        <v>5</v>
      </c>
      <c r="T83" s="1" t="s">
        <v>6</v>
      </c>
    </row>
    <row r="84" spans="1:20" x14ac:dyDescent="0.25">
      <c r="A84" s="3">
        <v>10</v>
      </c>
      <c r="B84" s="4">
        <v>5</v>
      </c>
      <c r="C84" s="4">
        <v>690</v>
      </c>
      <c r="D84" s="4"/>
      <c r="E84" s="4"/>
      <c r="F84" s="14">
        <v>0.37</v>
      </c>
      <c r="G84" s="14">
        <v>44.4</v>
      </c>
      <c r="H84" s="6">
        <f t="shared" si="22"/>
        <v>1864.8648648648648</v>
      </c>
      <c r="I84" s="15">
        <v>0.37</v>
      </c>
      <c r="J84" s="15">
        <v>44.4</v>
      </c>
      <c r="K84" s="7">
        <f t="shared" si="23"/>
        <v>1864.8648648648648</v>
      </c>
      <c r="L84" s="16">
        <v>0.39</v>
      </c>
      <c r="M84" s="16">
        <v>47</v>
      </c>
      <c r="N84" s="8">
        <f t="shared" si="24"/>
        <v>1769.2307692307693</v>
      </c>
      <c r="O84" s="17">
        <v>0.42</v>
      </c>
      <c r="P84" s="17">
        <v>49.8</v>
      </c>
      <c r="Q84" s="9">
        <f t="shared" si="25"/>
        <v>1642.8571428571429</v>
      </c>
      <c r="T84" s="1">
        <f xml:space="preserve"> 0.023*A84 + 49.583</f>
        <v>49.812999999999995</v>
      </c>
    </row>
    <row r="85" spans="1:20" x14ac:dyDescent="0.25">
      <c r="A85" s="3">
        <v>100</v>
      </c>
      <c r="B85" s="4">
        <v>50</v>
      </c>
      <c r="C85" s="4">
        <v>780</v>
      </c>
      <c r="D85" s="4"/>
      <c r="E85" s="4"/>
      <c r="F85" s="14">
        <v>0.38</v>
      </c>
      <c r="G85" s="14">
        <v>46</v>
      </c>
      <c r="H85" s="6">
        <f t="shared" si="22"/>
        <v>2052.6315789473683</v>
      </c>
      <c r="I85" s="15">
        <v>0.38</v>
      </c>
      <c r="J85" s="15">
        <v>46</v>
      </c>
      <c r="K85" s="7">
        <f t="shared" si="23"/>
        <v>2052.6315789473683</v>
      </c>
      <c r="L85" s="16">
        <v>0.41</v>
      </c>
      <c r="M85" s="16">
        <v>49</v>
      </c>
      <c r="N85" s="8">
        <f t="shared" si="24"/>
        <v>1902.439024390244</v>
      </c>
      <c r="O85" s="17">
        <v>0.44</v>
      </c>
      <c r="P85" s="17">
        <v>52.2</v>
      </c>
      <c r="Q85" s="9">
        <f t="shared" si="25"/>
        <v>1772.7272727272727</v>
      </c>
      <c r="T85" s="1">
        <f t="shared" ref="T85:T91" si="29" xml:space="preserve"> 0.023*A85 + 49.583</f>
        <v>51.882999999999996</v>
      </c>
    </row>
    <row r="86" spans="1:20" x14ac:dyDescent="0.25">
      <c r="A86" s="3">
        <v>500</v>
      </c>
      <c r="B86" s="4">
        <v>250</v>
      </c>
      <c r="C86" s="4">
        <v>1180</v>
      </c>
      <c r="D86" s="4"/>
      <c r="E86" s="4"/>
      <c r="F86" s="14">
        <v>0.44</v>
      </c>
      <c r="G86" s="14">
        <v>53.19</v>
      </c>
      <c r="H86" s="6">
        <f t="shared" si="22"/>
        <v>2681.818181818182</v>
      </c>
      <c r="I86" s="15">
        <v>0.44</v>
      </c>
      <c r="J86" s="15">
        <v>53.19</v>
      </c>
      <c r="K86" s="7">
        <f t="shared" si="23"/>
        <v>2681.818181818182</v>
      </c>
      <c r="L86" s="16">
        <v>0.48</v>
      </c>
      <c r="M86" s="16">
        <v>57.8</v>
      </c>
      <c r="N86" s="8">
        <f t="shared" si="24"/>
        <v>2458.3333333333335</v>
      </c>
      <c r="O86" s="17">
        <v>0.52</v>
      </c>
      <c r="P86" s="17">
        <v>62.6</v>
      </c>
      <c r="Q86" s="9">
        <f t="shared" si="25"/>
        <v>2269.2307692307691</v>
      </c>
      <c r="T86" s="1">
        <f t="shared" si="29"/>
        <v>61.082999999999998</v>
      </c>
    </row>
    <row r="87" spans="1:20" x14ac:dyDescent="0.25">
      <c r="A87" s="3">
        <v>1000</v>
      </c>
      <c r="B87" s="4">
        <v>500</v>
      </c>
      <c r="C87" s="4">
        <v>1680</v>
      </c>
      <c r="D87" s="4"/>
      <c r="E87" s="4"/>
      <c r="F87" s="14">
        <v>0.52</v>
      </c>
      <c r="G87" s="14">
        <v>62.19</v>
      </c>
      <c r="H87" s="6">
        <f t="shared" si="22"/>
        <v>3230.7692307692305</v>
      </c>
      <c r="I87" s="15">
        <v>0.52</v>
      </c>
      <c r="J87" s="15">
        <v>62.19</v>
      </c>
      <c r="K87" s="7">
        <f t="shared" si="23"/>
        <v>3230.7692307692305</v>
      </c>
      <c r="L87" s="16">
        <v>0.56999999999999995</v>
      </c>
      <c r="M87" s="16">
        <v>68.8</v>
      </c>
      <c r="N87" s="8">
        <f t="shared" si="24"/>
        <v>2947.3684210526317</v>
      </c>
      <c r="O87" s="17">
        <v>0.63</v>
      </c>
      <c r="P87" s="17">
        <v>75.599999999999994</v>
      </c>
      <c r="Q87" s="9">
        <f t="shared" si="25"/>
        <v>2666.6666666666665</v>
      </c>
      <c r="T87" s="1">
        <f t="shared" si="29"/>
        <v>72.582999999999998</v>
      </c>
    </row>
    <row r="88" spans="1:20" x14ac:dyDescent="0.25">
      <c r="A88" s="3">
        <v>5000</v>
      </c>
      <c r="B88" s="4">
        <v>2500</v>
      </c>
      <c r="C88" s="4">
        <v>5680</v>
      </c>
      <c r="D88" s="4"/>
      <c r="E88" s="4"/>
      <c r="F88" s="14">
        <v>0.85</v>
      </c>
      <c r="G88" s="14">
        <v>102.18</v>
      </c>
      <c r="H88" s="6">
        <f t="shared" si="22"/>
        <v>6682.3529411764712</v>
      </c>
      <c r="I88" s="15">
        <v>0.85</v>
      </c>
      <c r="J88" s="15">
        <v>102.18</v>
      </c>
      <c r="K88" s="7">
        <f t="shared" si="23"/>
        <v>6682.3529411764712</v>
      </c>
      <c r="L88" s="16">
        <v>1.04</v>
      </c>
      <c r="M88" s="16">
        <v>124.79</v>
      </c>
      <c r="N88" s="8">
        <f t="shared" si="24"/>
        <v>5461.538461538461</v>
      </c>
      <c r="O88" s="17">
        <v>1.23</v>
      </c>
      <c r="P88" s="17">
        <v>147.62</v>
      </c>
      <c r="Q88" s="9">
        <f t="shared" si="25"/>
        <v>4617.8861788617887</v>
      </c>
      <c r="T88" s="1">
        <f t="shared" si="29"/>
        <v>164.583</v>
      </c>
    </row>
    <row r="89" spans="1:20" x14ac:dyDescent="0.25">
      <c r="A89" s="3">
        <v>10000</v>
      </c>
      <c r="B89" s="4">
        <v>5000</v>
      </c>
      <c r="C89" s="4">
        <v>10680</v>
      </c>
      <c r="D89" s="4"/>
      <c r="E89" s="4"/>
      <c r="F89" s="14">
        <v>1.53</v>
      </c>
      <c r="G89" s="14">
        <v>183.59</v>
      </c>
      <c r="H89" s="6">
        <f t="shared" si="22"/>
        <v>6980.3921568627447</v>
      </c>
      <c r="I89" s="15">
        <v>1.53</v>
      </c>
      <c r="J89" s="15">
        <v>183.59</v>
      </c>
      <c r="K89" s="7">
        <f t="shared" si="23"/>
        <v>6980.3921568627447</v>
      </c>
      <c r="L89" s="16">
        <v>1.87</v>
      </c>
      <c r="M89" s="16">
        <v>224.17</v>
      </c>
      <c r="N89" s="8">
        <f t="shared" si="24"/>
        <v>5711.229946524064</v>
      </c>
      <c r="O89" s="17">
        <v>2.21</v>
      </c>
      <c r="P89" s="17">
        <v>264.76</v>
      </c>
      <c r="Q89" s="9">
        <f t="shared" si="25"/>
        <v>4832.5791855203624</v>
      </c>
      <c r="T89" s="1">
        <f t="shared" si="29"/>
        <v>279.58299999999997</v>
      </c>
    </row>
    <row r="90" spans="1:20" x14ac:dyDescent="0.25">
      <c r="A90" s="3">
        <v>15000</v>
      </c>
      <c r="B90" s="4">
        <v>7500</v>
      </c>
      <c r="C90" s="4">
        <v>15680</v>
      </c>
      <c r="D90" s="4"/>
      <c r="E90" s="4"/>
      <c r="F90" s="14">
        <v>2.25</v>
      </c>
      <c r="G90" s="14">
        <v>269.54000000000002</v>
      </c>
      <c r="H90" s="6">
        <f t="shared" si="22"/>
        <v>6968.8888888888887</v>
      </c>
      <c r="I90" s="15">
        <v>2.25</v>
      </c>
      <c r="J90" s="15">
        <v>269.54000000000002</v>
      </c>
      <c r="K90" s="7">
        <f t="shared" si="23"/>
        <v>6968.8888888888887</v>
      </c>
      <c r="L90" s="16">
        <v>2.74</v>
      </c>
      <c r="M90" s="16">
        <v>329.12</v>
      </c>
      <c r="N90" s="8">
        <f t="shared" si="24"/>
        <v>5722.6277372262766</v>
      </c>
      <c r="O90" s="17">
        <v>3.24</v>
      </c>
      <c r="P90" s="17">
        <v>388.86</v>
      </c>
      <c r="Q90" s="9">
        <f t="shared" si="25"/>
        <v>4839.5061728395058</v>
      </c>
      <c r="T90" s="1">
        <f t="shared" si="29"/>
        <v>394.58299999999997</v>
      </c>
    </row>
    <row r="91" spans="1:20" x14ac:dyDescent="0.25">
      <c r="A91" s="3">
        <v>20000</v>
      </c>
      <c r="B91" s="4">
        <v>10000</v>
      </c>
      <c r="C91" s="4">
        <v>20800</v>
      </c>
      <c r="D91" s="4"/>
      <c r="E91" s="4"/>
      <c r="F91" s="14">
        <v>2.98</v>
      </c>
      <c r="G91" s="14">
        <v>357.55</v>
      </c>
      <c r="H91" s="6">
        <f t="shared" si="22"/>
        <v>6979.8657718120803</v>
      </c>
      <c r="I91" s="15">
        <v>2.98</v>
      </c>
      <c r="J91" s="15">
        <v>357.55</v>
      </c>
      <c r="K91" s="7">
        <f t="shared" si="23"/>
        <v>6979.8657718120803</v>
      </c>
      <c r="L91" s="16">
        <v>3.64</v>
      </c>
      <c r="M91" s="16">
        <v>436.8</v>
      </c>
      <c r="N91" s="8">
        <f t="shared" si="24"/>
        <v>5714.2857142857138</v>
      </c>
      <c r="O91" s="17">
        <v>4.3</v>
      </c>
      <c r="P91" s="17">
        <v>515.84</v>
      </c>
      <c r="Q91" s="9">
        <f t="shared" si="25"/>
        <v>4837.209302325582</v>
      </c>
      <c r="T91" s="1">
        <f t="shared" si="29"/>
        <v>509.58299999999997</v>
      </c>
    </row>
    <row r="92" spans="1:20" x14ac:dyDescent="0.25">
      <c r="A92" s="3">
        <v>30000</v>
      </c>
      <c r="H92" s="6"/>
      <c r="K92" s="7"/>
      <c r="N92" s="8"/>
      <c r="Q92" s="9"/>
    </row>
    <row r="93" spans="1:20" x14ac:dyDescent="0.25">
      <c r="H93" s="6"/>
      <c r="K93" s="7"/>
      <c r="N93" s="8"/>
      <c r="Q93" s="9"/>
    </row>
    <row r="94" spans="1:20" x14ac:dyDescent="0.25">
      <c r="B94" s="1" t="s">
        <v>18</v>
      </c>
      <c r="H94" s="6"/>
      <c r="K94" s="7"/>
      <c r="N94" s="8"/>
      <c r="Q94" s="9"/>
    </row>
    <row r="95" spans="1:20" x14ac:dyDescent="0.25">
      <c r="A95" s="2" t="s">
        <v>0</v>
      </c>
      <c r="B95" s="5" t="s">
        <v>17</v>
      </c>
      <c r="C95" s="2" t="s">
        <v>2</v>
      </c>
      <c r="D95" s="2"/>
      <c r="E95" s="2"/>
      <c r="F95" s="14" t="s">
        <v>3</v>
      </c>
      <c r="H95" s="6"/>
      <c r="I95" s="15" t="s">
        <v>4</v>
      </c>
      <c r="K95" s="7"/>
      <c r="L95" s="16" t="s">
        <v>5</v>
      </c>
      <c r="N95" s="8"/>
      <c r="O95" s="17" t="s">
        <v>6</v>
      </c>
      <c r="Q95" s="9"/>
    </row>
    <row r="96" spans="1:20" x14ac:dyDescent="0.25">
      <c r="B96" s="5" t="s">
        <v>19</v>
      </c>
      <c r="C96" s="2" t="s">
        <v>8</v>
      </c>
      <c r="F96" s="14" t="s">
        <v>9</v>
      </c>
      <c r="G96" s="14" t="s">
        <v>10</v>
      </c>
      <c r="H96" s="6"/>
      <c r="K96" s="7"/>
      <c r="N96" s="8"/>
      <c r="Q96" s="9"/>
      <c r="R96" s="1" t="s">
        <v>3</v>
      </c>
      <c r="S96" s="1" t="s">
        <v>5</v>
      </c>
      <c r="T96" s="1" t="s">
        <v>6</v>
      </c>
    </row>
    <row r="97" spans="1:20" x14ac:dyDescent="0.25">
      <c r="B97" s="5"/>
      <c r="C97" s="5" t="s">
        <v>19</v>
      </c>
      <c r="F97" s="14"/>
      <c r="G97" s="14"/>
      <c r="H97" s="6"/>
      <c r="K97" s="7"/>
      <c r="N97" s="8"/>
      <c r="Q97" s="9"/>
    </row>
    <row r="98" spans="1:20" x14ac:dyDescent="0.25">
      <c r="A98" s="3">
        <v>10</v>
      </c>
      <c r="B98" s="4">
        <v>5</v>
      </c>
      <c r="C98" s="4">
        <v>250</v>
      </c>
      <c r="F98" s="14">
        <v>0.17</v>
      </c>
      <c r="G98" s="14">
        <v>20.399999999999999</v>
      </c>
      <c r="H98" s="6">
        <f t="shared" si="22"/>
        <v>1470.5882352941176</v>
      </c>
      <c r="I98" s="15">
        <v>0.17</v>
      </c>
      <c r="J98" s="15">
        <v>20.399999999999999</v>
      </c>
      <c r="K98" s="7">
        <f t="shared" si="23"/>
        <v>1470.5882352941176</v>
      </c>
      <c r="L98" s="16">
        <v>0.18</v>
      </c>
      <c r="M98" s="16">
        <v>21.4</v>
      </c>
      <c r="N98" s="8">
        <f t="shared" si="24"/>
        <v>1388.8888888888889</v>
      </c>
      <c r="O98" s="17">
        <v>0.19</v>
      </c>
      <c r="P98" s="17">
        <v>22.4</v>
      </c>
      <c r="Q98" s="9">
        <f t="shared" si="25"/>
        <v>1315.7894736842104</v>
      </c>
    </row>
    <row r="99" spans="1:20" x14ac:dyDescent="0.25">
      <c r="A99" s="3">
        <v>100</v>
      </c>
      <c r="B99" s="4">
        <v>50</v>
      </c>
      <c r="C99" s="4">
        <v>340</v>
      </c>
      <c r="F99" s="14">
        <v>0.18</v>
      </c>
      <c r="G99" s="14">
        <v>22</v>
      </c>
      <c r="H99" s="6">
        <f t="shared" si="22"/>
        <v>1888.8888888888889</v>
      </c>
      <c r="I99" s="15">
        <v>0.18</v>
      </c>
      <c r="J99" s="15">
        <v>22</v>
      </c>
      <c r="K99" s="7">
        <f t="shared" si="23"/>
        <v>1888.8888888888889</v>
      </c>
      <c r="L99" s="16">
        <v>0.2</v>
      </c>
      <c r="M99" s="16">
        <v>23.4</v>
      </c>
      <c r="N99" s="8">
        <f t="shared" si="24"/>
        <v>1700</v>
      </c>
      <c r="O99" s="17">
        <v>0.21</v>
      </c>
      <c r="P99" s="17">
        <v>24.8</v>
      </c>
      <c r="Q99" s="9">
        <f t="shared" si="25"/>
        <v>1619.047619047619</v>
      </c>
    </row>
    <row r="100" spans="1:20" x14ac:dyDescent="0.25">
      <c r="A100" s="3">
        <v>500</v>
      </c>
      <c r="B100" s="4">
        <v>250</v>
      </c>
      <c r="C100" s="4">
        <v>740</v>
      </c>
      <c r="F100" s="14">
        <v>0.24</v>
      </c>
      <c r="G100" s="14">
        <v>29.2</v>
      </c>
      <c r="H100" s="6">
        <f t="shared" si="22"/>
        <v>3083.3333333333335</v>
      </c>
      <c r="I100" s="15">
        <v>0.24</v>
      </c>
      <c r="J100" s="15">
        <v>29.2</v>
      </c>
      <c r="K100" s="7">
        <f t="shared" si="23"/>
        <v>3083.3333333333335</v>
      </c>
      <c r="L100" s="16">
        <v>0.27</v>
      </c>
      <c r="M100" s="16">
        <v>32.200000000000003</v>
      </c>
      <c r="N100" s="8">
        <f t="shared" si="24"/>
        <v>2740.7407407407404</v>
      </c>
      <c r="O100" s="17">
        <v>0.28999999999999998</v>
      </c>
      <c r="P100" s="17">
        <v>35.200000000000003</v>
      </c>
      <c r="Q100" s="9">
        <f t="shared" si="25"/>
        <v>2551.7241379310349</v>
      </c>
    </row>
    <row r="101" spans="1:20" x14ac:dyDescent="0.25">
      <c r="A101" s="3">
        <v>1000</v>
      </c>
      <c r="B101" s="4">
        <v>500</v>
      </c>
      <c r="C101" s="4">
        <v>1240</v>
      </c>
      <c r="F101" s="14">
        <v>0.32</v>
      </c>
      <c r="G101" s="14">
        <v>38.200000000000003</v>
      </c>
      <c r="H101" s="6">
        <f t="shared" si="22"/>
        <v>3875</v>
      </c>
      <c r="I101" s="15">
        <v>0.32</v>
      </c>
      <c r="J101" s="15">
        <v>38.200000000000003</v>
      </c>
      <c r="K101" s="7">
        <f t="shared" si="23"/>
        <v>3875</v>
      </c>
      <c r="L101" s="16">
        <v>0.36</v>
      </c>
      <c r="M101" s="16">
        <v>43.2</v>
      </c>
      <c r="N101" s="8">
        <f t="shared" si="24"/>
        <v>3444.4444444444448</v>
      </c>
      <c r="O101" s="17">
        <v>0.4</v>
      </c>
      <c r="P101" s="17">
        <v>48.2</v>
      </c>
      <c r="Q101" s="9">
        <f t="shared" si="25"/>
        <v>3100</v>
      </c>
    </row>
    <row r="102" spans="1:20" x14ac:dyDescent="0.25">
      <c r="A102" s="3">
        <v>5000</v>
      </c>
      <c r="B102" s="4">
        <v>2500</v>
      </c>
      <c r="C102" s="4">
        <v>5240</v>
      </c>
      <c r="F102" s="14">
        <v>0.79</v>
      </c>
      <c r="G102" s="14">
        <v>94.22</v>
      </c>
      <c r="H102" s="6">
        <f t="shared" si="22"/>
        <v>6632.9113924050625</v>
      </c>
      <c r="I102" s="15">
        <v>0.79</v>
      </c>
      <c r="J102" s="15">
        <v>94.22</v>
      </c>
      <c r="K102" s="7">
        <f t="shared" si="23"/>
        <v>6632.9113924050625</v>
      </c>
      <c r="L102" s="16">
        <v>0.96</v>
      </c>
      <c r="M102" s="16">
        <v>115.18</v>
      </c>
      <c r="N102" s="8">
        <f t="shared" si="24"/>
        <v>5458.3333333333339</v>
      </c>
      <c r="O102" s="17">
        <v>1.1399999999999999</v>
      </c>
      <c r="P102" s="17">
        <v>136.19</v>
      </c>
      <c r="Q102" s="9">
        <f t="shared" si="25"/>
        <v>4596.4912280701756</v>
      </c>
    </row>
    <row r="103" spans="1:20" x14ac:dyDescent="0.25">
      <c r="A103" s="3">
        <v>10000</v>
      </c>
      <c r="B103" s="4">
        <v>5000</v>
      </c>
      <c r="C103" s="4">
        <v>10240</v>
      </c>
      <c r="F103" s="14">
        <v>1.47</v>
      </c>
      <c r="G103" s="14">
        <v>176.03</v>
      </c>
      <c r="H103" s="6">
        <f t="shared" si="22"/>
        <v>6965.9863945578236</v>
      </c>
      <c r="I103" s="15">
        <v>1.47</v>
      </c>
      <c r="J103" s="15">
        <v>176.03</v>
      </c>
      <c r="K103" s="7">
        <f t="shared" si="23"/>
        <v>6965.9863945578236</v>
      </c>
      <c r="L103" s="16">
        <v>1.79</v>
      </c>
      <c r="M103" s="16">
        <v>215.04</v>
      </c>
      <c r="N103" s="8">
        <f t="shared" si="24"/>
        <v>5720.6703910614524</v>
      </c>
      <c r="O103" s="17">
        <v>2.12</v>
      </c>
      <c r="P103" s="17">
        <v>253.85</v>
      </c>
      <c r="Q103" s="9">
        <f t="shared" si="25"/>
        <v>4830.1886792452824</v>
      </c>
    </row>
    <row r="104" spans="1:20" x14ac:dyDescent="0.25">
      <c r="A104" s="3">
        <v>15000</v>
      </c>
      <c r="B104" s="4">
        <v>7500</v>
      </c>
      <c r="C104" s="4">
        <v>15300</v>
      </c>
      <c r="F104" s="14">
        <v>2.19</v>
      </c>
      <c r="G104" s="14">
        <v>263.01</v>
      </c>
      <c r="H104" s="6">
        <f t="shared" si="22"/>
        <v>6986.3013698630139</v>
      </c>
      <c r="I104" s="15">
        <v>2.19</v>
      </c>
      <c r="J104" s="15">
        <v>263.01</v>
      </c>
      <c r="K104" s="7">
        <f t="shared" si="23"/>
        <v>6986.3013698630139</v>
      </c>
      <c r="L104" s="16">
        <v>2.68</v>
      </c>
      <c r="M104" s="16">
        <v>321.14999999999998</v>
      </c>
      <c r="N104" s="8">
        <f t="shared" si="24"/>
        <v>5708.9552238805963</v>
      </c>
      <c r="O104" s="17">
        <v>3.16</v>
      </c>
      <c r="P104" s="17">
        <v>379.44</v>
      </c>
      <c r="Q104" s="9">
        <f t="shared" si="25"/>
        <v>4841.7721518987337</v>
      </c>
    </row>
    <row r="105" spans="1:20" x14ac:dyDescent="0.25">
      <c r="A105" s="3">
        <v>20000</v>
      </c>
      <c r="B105" s="4">
        <v>10000</v>
      </c>
      <c r="C105" s="4">
        <v>20400</v>
      </c>
      <c r="F105" s="14">
        <v>2.92</v>
      </c>
      <c r="G105" s="14">
        <v>350.88</v>
      </c>
      <c r="H105" s="6">
        <f t="shared" si="22"/>
        <v>6986.3013698630139</v>
      </c>
      <c r="I105" s="15">
        <v>2.92</v>
      </c>
      <c r="J105" s="15">
        <v>350.88</v>
      </c>
      <c r="K105" s="7">
        <f t="shared" si="23"/>
        <v>6986.3013698630139</v>
      </c>
      <c r="L105" s="16">
        <v>3.57</v>
      </c>
      <c r="M105" s="16">
        <v>428.4</v>
      </c>
      <c r="N105" s="8">
        <f t="shared" si="24"/>
        <v>5714.2857142857147</v>
      </c>
      <c r="O105" s="17">
        <v>4.22</v>
      </c>
      <c r="P105" s="17">
        <v>505.72</v>
      </c>
      <c r="Q105" s="9">
        <f t="shared" si="25"/>
        <v>4834.1232227488154</v>
      </c>
    </row>
    <row r="106" spans="1:20" x14ac:dyDescent="0.25">
      <c r="A106" s="3">
        <v>30000</v>
      </c>
      <c r="B106" s="4">
        <v>15000</v>
      </c>
      <c r="C106" s="4">
        <v>30300</v>
      </c>
      <c r="F106" s="14">
        <v>4.34</v>
      </c>
      <c r="G106" s="14">
        <v>520.86</v>
      </c>
      <c r="H106" s="6">
        <f t="shared" si="22"/>
        <v>6981.5668202764982</v>
      </c>
      <c r="I106" s="15">
        <v>4.34</v>
      </c>
      <c r="J106" s="15">
        <v>520.86</v>
      </c>
      <c r="K106" s="7">
        <f t="shared" si="23"/>
        <v>6981.5668202764982</v>
      </c>
      <c r="L106" s="16">
        <v>5.3</v>
      </c>
      <c r="M106" s="16">
        <v>636.29999999999995</v>
      </c>
      <c r="N106" s="8">
        <f t="shared" si="24"/>
        <v>5716.9811320754716</v>
      </c>
      <c r="O106" s="17">
        <v>6.26</v>
      </c>
      <c r="P106" s="17">
        <v>751.44</v>
      </c>
      <c r="Q106" s="9">
        <f t="shared" si="25"/>
        <v>4840.2555910543133</v>
      </c>
    </row>
    <row r="108" spans="1:20" x14ac:dyDescent="0.25">
      <c r="B108" s="5" t="s">
        <v>20</v>
      </c>
      <c r="C108" s="2" t="s">
        <v>8</v>
      </c>
      <c r="E108" s="1" t="s">
        <v>16</v>
      </c>
      <c r="F108" s="14" t="s">
        <v>3</v>
      </c>
      <c r="H108" s="6"/>
      <c r="I108" s="15" t="s">
        <v>4</v>
      </c>
      <c r="K108" s="7"/>
      <c r="L108" s="16" t="s">
        <v>5</v>
      </c>
      <c r="N108" s="8"/>
      <c r="O108" s="17" t="s">
        <v>6</v>
      </c>
      <c r="R108" s="1" t="s">
        <v>3</v>
      </c>
      <c r="S108" s="1" t="s">
        <v>5</v>
      </c>
      <c r="T108" s="1" t="s">
        <v>6</v>
      </c>
    </row>
    <row r="109" spans="1:20" x14ac:dyDescent="0.25">
      <c r="A109" s="3">
        <v>10</v>
      </c>
      <c r="C109" s="4">
        <v>750</v>
      </c>
      <c r="F109" s="10">
        <v>0.38</v>
      </c>
      <c r="G109" s="10">
        <v>45.4</v>
      </c>
      <c r="H109" s="6">
        <f t="shared" ref="H109:H116" si="30">C109/F109</f>
        <v>1973.6842105263158</v>
      </c>
      <c r="I109" s="11">
        <v>0.38</v>
      </c>
      <c r="J109" s="11">
        <v>45.4</v>
      </c>
      <c r="K109" s="7">
        <f t="shared" ref="K109:K116" si="31">C109/I109</f>
        <v>1973.6842105263158</v>
      </c>
      <c r="L109" s="12">
        <v>0.4</v>
      </c>
      <c r="M109" s="12">
        <v>48.4</v>
      </c>
      <c r="N109" s="8">
        <f t="shared" ref="N109:N116" si="32">C109/L109</f>
        <v>1875</v>
      </c>
      <c r="O109" s="13">
        <v>0.43</v>
      </c>
      <c r="P109" s="17">
        <v>51.4</v>
      </c>
      <c r="Q109" s="9">
        <f t="shared" ref="Q109:Q116" si="33">C109/O109</f>
        <v>1744.1860465116279</v>
      </c>
    </row>
    <row r="110" spans="1:20" x14ac:dyDescent="0.25">
      <c r="A110" s="3">
        <v>100</v>
      </c>
      <c r="C110" s="4">
        <v>840</v>
      </c>
      <c r="F110" s="10">
        <v>0.39</v>
      </c>
      <c r="G110" s="10">
        <v>47</v>
      </c>
      <c r="H110" s="6">
        <f t="shared" si="30"/>
        <v>2153.8461538461538</v>
      </c>
      <c r="I110" s="11">
        <v>0.39</v>
      </c>
      <c r="J110" s="11">
        <v>47</v>
      </c>
      <c r="K110" s="7">
        <f t="shared" si="31"/>
        <v>2153.8461538461538</v>
      </c>
      <c r="L110" s="12">
        <v>0.42</v>
      </c>
      <c r="M110" s="12">
        <v>50.4</v>
      </c>
      <c r="N110" s="8">
        <f t="shared" si="32"/>
        <v>2000</v>
      </c>
      <c r="O110" s="13">
        <v>0.45</v>
      </c>
      <c r="P110" s="17">
        <v>53.8</v>
      </c>
      <c r="Q110" s="9">
        <f t="shared" si="33"/>
        <v>1866.6666666666665</v>
      </c>
    </row>
    <row r="111" spans="1:20" x14ac:dyDescent="0.25">
      <c r="A111" s="3">
        <v>500</v>
      </c>
      <c r="C111" s="4">
        <v>1240</v>
      </c>
      <c r="F111" s="10">
        <v>0.45</v>
      </c>
      <c r="G111" s="10">
        <v>54.2</v>
      </c>
      <c r="H111" s="6">
        <f t="shared" si="30"/>
        <v>2755.5555555555557</v>
      </c>
      <c r="I111" s="11">
        <v>0.45</v>
      </c>
      <c r="J111" s="11">
        <v>54.2</v>
      </c>
      <c r="K111" s="7">
        <f t="shared" si="31"/>
        <v>2755.5555555555557</v>
      </c>
      <c r="L111" s="12">
        <v>0.49</v>
      </c>
      <c r="M111" s="12">
        <v>59.2</v>
      </c>
      <c r="N111" s="8">
        <f t="shared" si="32"/>
        <v>2530.612244897959</v>
      </c>
      <c r="O111" s="13">
        <v>0.54</v>
      </c>
      <c r="P111" s="17">
        <v>64.19</v>
      </c>
      <c r="Q111" s="9">
        <f t="shared" si="33"/>
        <v>2296.2962962962961</v>
      </c>
    </row>
    <row r="112" spans="1:20" x14ac:dyDescent="0.25">
      <c r="A112" s="3">
        <v>1000</v>
      </c>
      <c r="C112" s="4">
        <v>1740</v>
      </c>
      <c r="F112" s="10">
        <v>0.53</v>
      </c>
      <c r="G112" s="10">
        <v>63.2</v>
      </c>
      <c r="H112" s="6">
        <f t="shared" si="30"/>
        <v>3283.018867924528</v>
      </c>
      <c r="I112" s="11">
        <v>0.53</v>
      </c>
      <c r="J112" s="11">
        <v>63.2</v>
      </c>
      <c r="K112" s="7">
        <f t="shared" si="31"/>
        <v>3283.018867924528</v>
      </c>
      <c r="L112" s="12">
        <v>0.59</v>
      </c>
      <c r="M112" s="12">
        <v>70.19</v>
      </c>
      <c r="N112" s="8">
        <f t="shared" si="32"/>
        <v>2949.1525423728817</v>
      </c>
      <c r="O112" s="13">
        <v>0.64</v>
      </c>
      <c r="P112" s="17">
        <v>77.2</v>
      </c>
      <c r="Q112" s="9">
        <f t="shared" si="33"/>
        <v>2718.75</v>
      </c>
    </row>
    <row r="113" spans="1:20" x14ac:dyDescent="0.25">
      <c r="A113" s="3">
        <v>5000</v>
      </c>
      <c r="C113" s="4">
        <v>5740</v>
      </c>
      <c r="F113" s="10">
        <v>0.86</v>
      </c>
      <c r="G113" s="10">
        <v>103.21</v>
      </c>
      <c r="H113" s="6">
        <f t="shared" si="30"/>
        <v>6674.4186046511632</v>
      </c>
      <c r="I113" s="11">
        <v>0.86</v>
      </c>
      <c r="J113" s="11">
        <v>103.21</v>
      </c>
      <c r="K113" s="7">
        <f t="shared" si="31"/>
        <v>6674.4186046511632</v>
      </c>
      <c r="L113" s="12">
        <v>1.05</v>
      </c>
      <c r="M113" s="12">
        <v>126.22</v>
      </c>
      <c r="N113" s="8">
        <f t="shared" si="32"/>
        <v>5466.6666666666661</v>
      </c>
      <c r="O113" s="13">
        <v>1.24</v>
      </c>
      <c r="P113" s="17">
        <v>149.18</v>
      </c>
      <c r="Q113" s="9">
        <f t="shared" si="33"/>
        <v>4629.0322580645161</v>
      </c>
    </row>
    <row r="114" spans="1:20" x14ac:dyDescent="0.25">
      <c r="A114" s="3">
        <v>10000</v>
      </c>
      <c r="C114" s="4">
        <v>10740</v>
      </c>
      <c r="F114" s="10">
        <v>1.54</v>
      </c>
      <c r="G114" s="10">
        <v>184.62</v>
      </c>
      <c r="H114" s="6">
        <f t="shared" si="30"/>
        <v>6974.0259740259735</v>
      </c>
      <c r="I114" s="11">
        <v>1.54</v>
      </c>
      <c r="J114" s="11">
        <v>184.62</v>
      </c>
      <c r="K114" s="7">
        <f t="shared" si="31"/>
        <v>6974.0259740259735</v>
      </c>
      <c r="L114" s="12">
        <v>1.88</v>
      </c>
      <c r="M114" s="12">
        <v>225.43</v>
      </c>
      <c r="N114" s="8">
        <f t="shared" si="32"/>
        <v>5712.7659574468089</v>
      </c>
      <c r="O114" s="13">
        <v>2.2200000000000002</v>
      </c>
      <c r="P114" s="17">
        <v>266.24</v>
      </c>
      <c r="Q114" s="9">
        <f t="shared" si="33"/>
        <v>4837.8378378378375</v>
      </c>
    </row>
    <row r="115" spans="1:20" x14ac:dyDescent="0.25">
      <c r="A115" s="3">
        <v>15000</v>
      </c>
      <c r="C115" s="4">
        <v>15740</v>
      </c>
      <c r="F115" s="10">
        <v>2.2599999999999998</v>
      </c>
      <c r="G115" s="10">
        <v>270.57</v>
      </c>
      <c r="H115" s="6">
        <f t="shared" si="30"/>
        <v>6964.6017699115055</v>
      </c>
      <c r="I115" s="11">
        <v>2.2599999999999998</v>
      </c>
      <c r="J115" s="11">
        <v>270.57</v>
      </c>
      <c r="K115" s="7">
        <f t="shared" si="31"/>
        <v>6964.6017699115055</v>
      </c>
      <c r="L115" s="12">
        <v>2.75</v>
      </c>
      <c r="M115" s="12">
        <v>330.38</v>
      </c>
      <c r="N115" s="8">
        <f t="shared" si="32"/>
        <v>5723.636363636364</v>
      </c>
      <c r="O115" s="13">
        <v>3.25</v>
      </c>
      <c r="P115" s="17">
        <v>390.19</v>
      </c>
      <c r="Q115" s="9">
        <f t="shared" si="33"/>
        <v>4843.0769230769229</v>
      </c>
    </row>
    <row r="116" spans="1:20" x14ac:dyDescent="0.25">
      <c r="A116" s="3">
        <v>20000</v>
      </c>
      <c r="C116" s="4">
        <v>20800</v>
      </c>
      <c r="F116" s="10">
        <v>2.98</v>
      </c>
      <c r="G116" s="10">
        <v>357.55</v>
      </c>
      <c r="H116" s="6">
        <f t="shared" si="30"/>
        <v>6979.8657718120803</v>
      </c>
      <c r="I116" s="11">
        <v>2.98</v>
      </c>
      <c r="J116" s="11">
        <v>357.55</v>
      </c>
      <c r="K116" s="7">
        <f t="shared" si="31"/>
        <v>6979.8657718120803</v>
      </c>
      <c r="L116" s="12">
        <v>3.64</v>
      </c>
      <c r="M116" s="12">
        <v>436.8</v>
      </c>
      <c r="N116" s="8">
        <f t="shared" si="32"/>
        <v>5714.2857142857138</v>
      </c>
      <c r="O116" s="13">
        <v>4.3</v>
      </c>
      <c r="P116" s="17">
        <v>515.84</v>
      </c>
      <c r="Q116" s="9">
        <f t="shared" si="33"/>
        <v>4837.209302325582</v>
      </c>
    </row>
    <row r="117" spans="1:20" x14ac:dyDescent="0.25">
      <c r="A117" s="3">
        <v>30000</v>
      </c>
      <c r="C117" s="4">
        <v>30740</v>
      </c>
    </row>
    <row r="118" spans="1:20" x14ac:dyDescent="0.25">
      <c r="A118" s="3"/>
      <c r="C118" s="4"/>
    </row>
    <row r="119" spans="1:20" x14ac:dyDescent="0.25">
      <c r="B119" s="5" t="s">
        <v>21</v>
      </c>
      <c r="C119" s="2" t="s">
        <v>8</v>
      </c>
      <c r="F119" s="14" t="s">
        <v>3</v>
      </c>
      <c r="H119" s="6"/>
      <c r="I119" s="15" t="s">
        <v>4</v>
      </c>
      <c r="K119" s="7"/>
      <c r="L119" s="16" t="s">
        <v>5</v>
      </c>
      <c r="N119" s="8"/>
      <c r="O119" s="17" t="s">
        <v>6</v>
      </c>
      <c r="R119" s="1" t="s">
        <v>3</v>
      </c>
      <c r="S119" s="1" t="s">
        <v>5</v>
      </c>
      <c r="T119" s="1" t="s">
        <v>6</v>
      </c>
    </row>
    <row r="120" spans="1:20" x14ac:dyDescent="0.25">
      <c r="A120" s="3">
        <v>10</v>
      </c>
      <c r="C120" s="4">
        <v>850</v>
      </c>
      <c r="F120" s="10">
        <v>0.39</v>
      </c>
      <c r="G120" s="10">
        <v>47.2</v>
      </c>
      <c r="H120" s="6">
        <f t="shared" ref="H120:H127" si="34">C120/F120</f>
        <v>2179.4871794871792</v>
      </c>
      <c r="I120" s="11">
        <v>0.39</v>
      </c>
      <c r="J120" s="11">
        <v>47.2</v>
      </c>
      <c r="K120" s="7">
        <f t="shared" ref="K120:K127" si="35">C120/I120</f>
        <v>2179.4871794871792</v>
      </c>
      <c r="L120" s="12">
        <v>0.42</v>
      </c>
      <c r="M120" s="12">
        <v>50.6</v>
      </c>
      <c r="N120" s="8">
        <f t="shared" ref="N120:N127" si="36">C120/L120</f>
        <v>2023.8095238095239</v>
      </c>
      <c r="O120" s="13">
        <v>0.45</v>
      </c>
      <c r="P120" s="17">
        <v>54</v>
      </c>
      <c r="Q120" s="9">
        <f t="shared" ref="Q120:Q127" si="37">C120/O120</f>
        <v>1888.8888888888889</v>
      </c>
    </row>
    <row r="121" spans="1:20" x14ac:dyDescent="0.25">
      <c r="A121" s="3">
        <v>100</v>
      </c>
      <c r="C121" s="4">
        <v>940</v>
      </c>
      <c r="F121" s="10">
        <v>0.41</v>
      </c>
      <c r="G121" s="10">
        <v>48.8</v>
      </c>
      <c r="H121" s="6">
        <f t="shared" si="34"/>
        <v>2292.6829268292686</v>
      </c>
      <c r="I121" s="11">
        <v>0.41</v>
      </c>
      <c r="J121" s="11">
        <v>48.8</v>
      </c>
      <c r="K121" s="7">
        <f t="shared" si="35"/>
        <v>2292.6829268292686</v>
      </c>
      <c r="L121" s="12">
        <v>0.44</v>
      </c>
      <c r="M121" s="12">
        <v>52.6</v>
      </c>
      <c r="N121" s="8">
        <f t="shared" si="36"/>
        <v>2136.3636363636365</v>
      </c>
      <c r="O121" s="13">
        <v>0.47</v>
      </c>
      <c r="P121" s="17">
        <v>56.4</v>
      </c>
      <c r="Q121" s="9">
        <f t="shared" si="37"/>
        <v>2000</v>
      </c>
    </row>
    <row r="122" spans="1:20" x14ac:dyDescent="0.25">
      <c r="A122" s="3">
        <v>500</v>
      </c>
      <c r="C122" s="4">
        <v>1340</v>
      </c>
      <c r="F122" s="10">
        <v>0.47</v>
      </c>
      <c r="G122" s="10">
        <v>56</v>
      </c>
      <c r="H122" s="6">
        <f t="shared" si="34"/>
        <v>2851.0638297872342</v>
      </c>
      <c r="I122" s="11">
        <v>0.47</v>
      </c>
      <c r="J122" s="11">
        <v>56</v>
      </c>
      <c r="K122" s="7">
        <f t="shared" si="35"/>
        <v>2851.0638297872342</v>
      </c>
      <c r="L122" s="12">
        <v>0.51</v>
      </c>
      <c r="M122" s="12">
        <v>61.4</v>
      </c>
      <c r="N122" s="8">
        <f t="shared" si="36"/>
        <v>2627.4509803921569</v>
      </c>
      <c r="O122" s="13">
        <v>0.56000000000000005</v>
      </c>
      <c r="P122" s="17">
        <v>66.8</v>
      </c>
      <c r="Q122" s="9">
        <f t="shared" si="37"/>
        <v>2392.8571428571427</v>
      </c>
    </row>
    <row r="123" spans="1:20" x14ac:dyDescent="0.25">
      <c r="A123" s="3">
        <v>1000</v>
      </c>
      <c r="C123" s="4">
        <v>1840</v>
      </c>
      <c r="F123" s="10">
        <v>0.54</v>
      </c>
      <c r="G123" s="10">
        <v>65.010000000000005</v>
      </c>
      <c r="H123" s="6">
        <f t="shared" si="34"/>
        <v>3407.4074074074074</v>
      </c>
      <c r="I123" s="11">
        <v>0.54</v>
      </c>
      <c r="J123" s="11">
        <v>65.010000000000005</v>
      </c>
      <c r="K123" s="7">
        <f t="shared" si="35"/>
        <v>3407.4074074074074</v>
      </c>
      <c r="L123" s="12">
        <v>0.6</v>
      </c>
      <c r="M123" s="12">
        <v>72.400000000000006</v>
      </c>
      <c r="N123" s="8">
        <f t="shared" si="36"/>
        <v>3066.666666666667</v>
      </c>
      <c r="O123" s="13">
        <v>0.67</v>
      </c>
      <c r="P123" s="17">
        <v>79.8</v>
      </c>
      <c r="Q123" s="9">
        <f t="shared" si="37"/>
        <v>2746.2686567164178</v>
      </c>
    </row>
    <row r="124" spans="1:20" x14ac:dyDescent="0.25">
      <c r="A124" s="3">
        <v>5000</v>
      </c>
      <c r="C124" s="4">
        <v>5840</v>
      </c>
      <c r="F124" s="10">
        <v>0.88</v>
      </c>
      <c r="G124" s="10">
        <v>105</v>
      </c>
      <c r="H124" s="6">
        <f t="shared" si="34"/>
        <v>6636.363636363636</v>
      </c>
      <c r="I124" s="11">
        <v>0.88</v>
      </c>
      <c r="J124" s="11">
        <v>105</v>
      </c>
      <c r="K124" s="7">
        <f t="shared" si="35"/>
        <v>6636.363636363636</v>
      </c>
      <c r="L124" s="12">
        <v>1.07</v>
      </c>
      <c r="M124" s="12">
        <v>128.41999999999999</v>
      </c>
      <c r="N124" s="8">
        <f t="shared" si="36"/>
        <v>5457.9439252336442</v>
      </c>
      <c r="O124" s="13">
        <v>1.27</v>
      </c>
      <c r="P124" s="17">
        <v>151.78</v>
      </c>
      <c r="Q124" s="9">
        <f t="shared" si="37"/>
        <v>4598.4251968503941</v>
      </c>
    </row>
    <row r="125" spans="1:20" x14ac:dyDescent="0.25">
      <c r="A125" s="3">
        <v>10000</v>
      </c>
      <c r="C125" s="4">
        <v>10840</v>
      </c>
      <c r="F125" s="10">
        <v>1.55</v>
      </c>
      <c r="G125" s="10">
        <v>186.45</v>
      </c>
      <c r="H125" s="6">
        <f t="shared" si="34"/>
        <v>6993.5483870967737</v>
      </c>
      <c r="I125" s="11">
        <v>1.55</v>
      </c>
      <c r="J125" s="11">
        <v>186.45</v>
      </c>
      <c r="K125" s="7">
        <f t="shared" si="35"/>
        <v>6993.5483870967737</v>
      </c>
      <c r="L125" s="12">
        <v>1.9</v>
      </c>
      <c r="M125" s="12">
        <v>227.64</v>
      </c>
      <c r="N125" s="8">
        <f t="shared" si="36"/>
        <v>5705.2631578947376</v>
      </c>
      <c r="O125" s="13">
        <v>2.2400000000000002</v>
      </c>
      <c r="P125" s="17">
        <v>268.83</v>
      </c>
      <c r="Q125" s="9">
        <f t="shared" si="37"/>
        <v>4839.2857142857138</v>
      </c>
    </row>
    <row r="126" spans="1:20" x14ac:dyDescent="0.25">
      <c r="A126" s="3">
        <v>15000</v>
      </c>
      <c r="C126" s="4">
        <v>15840</v>
      </c>
      <c r="F126" s="10">
        <v>2.27</v>
      </c>
      <c r="G126" s="10">
        <v>272.45</v>
      </c>
      <c r="H126" s="6">
        <f t="shared" si="34"/>
        <v>6977.9735682819382</v>
      </c>
      <c r="I126" s="11">
        <v>2.27</v>
      </c>
      <c r="J126" s="11">
        <v>272.45</v>
      </c>
      <c r="K126" s="7">
        <f t="shared" si="35"/>
        <v>6977.9735682819382</v>
      </c>
      <c r="L126" s="12">
        <v>2.77</v>
      </c>
      <c r="M126" s="12">
        <v>332.64</v>
      </c>
      <c r="N126" s="8">
        <f t="shared" si="36"/>
        <v>5718.4115523465707</v>
      </c>
      <c r="O126" s="13">
        <v>3.27</v>
      </c>
      <c r="P126" s="17">
        <v>392.83</v>
      </c>
      <c r="Q126" s="9">
        <f t="shared" si="37"/>
        <v>4844.0366972477068</v>
      </c>
    </row>
    <row r="127" spans="1:20" x14ac:dyDescent="0.25">
      <c r="A127" s="3">
        <v>20000</v>
      </c>
      <c r="C127" s="4">
        <v>20840</v>
      </c>
      <c r="F127" s="10">
        <v>2.99</v>
      </c>
      <c r="G127" s="10">
        <v>358.45</v>
      </c>
      <c r="H127" s="6">
        <f t="shared" si="34"/>
        <v>6969.8996655518386</v>
      </c>
      <c r="I127" s="11">
        <v>2.99</v>
      </c>
      <c r="J127" s="11">
        <v>358.45</v>
      </c>
      <c r="K127" s="7">
        <f t="shared" si="35"/>
        <v>6969.8996655518386</v>
      </c>
      <c r="L127" s="12">
        <v>3.65</v>
      </c>
      <c r="M127" s="12">
        <v>437.64</v>
      </c>
      <c r="N127" s="8">
        <f t="shared" si="36"/>
        <v>5709.5890410958909</v>
      </c>
      <c r="O127" s="13">
        <v>4.3099999999999996</v>
      </c>
      <c r="P127" s="17">
        <v>516.83000000000004</v>
      </c>
      <c r="Q127" s="9">
        <f t="shared" si="37"/>
        <v>4835.2668213457082</v>
      </c>
    </row>
    <row r="128" spans="1:20" x14ac:dyDescent="0.25">
      <c r="A128" s="3">
        <v>30000</v>
      </c>
    </row>
  </sheetData>
  <mergeCells count="1">
    <mergeCell ref="D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S4 POLA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Prodaja</dc:creator>
  <cp:lastModifiedBy>Prodaja</cp:lastModifiedBy>
  <dcterms:created xsi:type="dcterms:W3CDTF">2026-02-20T11:37:56Z</dcterms:created>
  <dcterms:modified xsi:type="dcterms:W3CDTF">2026-03-30T06:49:02Z</dcterms:modified>
</cp:coreProperties>
</file>